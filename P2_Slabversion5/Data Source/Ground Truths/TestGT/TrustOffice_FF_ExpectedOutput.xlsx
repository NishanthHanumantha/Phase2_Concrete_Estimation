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shanth.h\Phase2_Concrete_Estimation\P2_SlabVersion4\Data Source\Ground Truths\TestGT\"/>
    </mc:Choice>
  </mc:AlternateContent>
  <xr:revisionPtr revIDLastSave="0" documentId="13_ncr:1_{044810D0-E85E-4EB0-B76D-F5E90BCEA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J64" i="1"/>
  <c r="I64" i="1"/>
  <c r="J63" i="1"/>
  <c r="I63" i="1"/>
  <c r="I65" i="1" s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J65" i="1" s="1"/>
  <c r="I3" i="1"/>
</calcChain>
</file>

<file path=xl/sharedStrings.xml><?xml version="1.0" encoding="utf-8"?>
<sst xmlns="http://schemas.openxmlformats.org/spreadsheetml/2006/main" count="74" uniqueCount="74">
  <si>
    <t xml:space="preserve">FIRST FLOOR SLAB </t>
  </si>
  <si>
    <t>Floor</t>
  </si>
  <si>
    <t>S.No</t>
  </si>
  <si>
    <t>DESCRIPTION</t>
  </si>
  <si>
    <t>NOS</t>
  </si>
  <si>
    <t>LENGTH</t>
  </si>
  <si>
    <t>BREADTH</t>
  </si>
  <si>
    <t>THICKNESS</t>
  </si>
  <si>
    <t>CONC. QTY</t>
  </si>
  <si>
    <t>SHUTTERING QTY</t>
  </si>
  <si>
    <t>GF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</si>
  <si>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</si>
  <si>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</si>
  <si>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</si>
  <si>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</si>
  <si>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</si>
  <si>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</si>
  <si>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</si>
  <si>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</si>
  <si>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</si>
  <si>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</si>
  <si>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</si>
  <si>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</si>
  <si>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</si>
  <si>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</si>
  <si>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</si>
  <si>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</si>
  <si>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</si>
  <si>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</si>
  <si>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</si>
  <si>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</si>
  <si>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</si>
  <si>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</si>
  <si>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</si>
  <si>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</si>
  <si>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</si>
  <si>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</si>
  <si>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</si>
  <si>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</si>
  <si>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</si>
  <si>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</si>
  <si>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</si>
  <si>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</si>
  <si>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</si>
  <si>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</si>
  <si>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</si>
  <si>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</si>
  <si>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</si>
  <si>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</si>
  <si>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</si>
  <si>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</si>
  <si>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</si>
  <si>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</si>
  <si>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</si>
  <si>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</si>
  <si>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</si>
  <si>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</si>
  <si>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</si>
  <si>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</si>
  <si>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</si>
  <si>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</si>
  <si>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</si>
  <si>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S52-PL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</si>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</sst>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24">
    <xf numFmtId="0" fontId="0" fillId="0" borderId="0" xfId="0"/>
    <xf numFmtId="43" fontId="3" fillId="3" borderId="1" xfId="1" applyFont="1" applyFill="1" applyBorder="1" applyAlignment="1">
      <alignment horizontal="left" vertical="center"/>
    </xf>
    <xf numFmtId="43" fontId="2" fillId="0" borderId="0" xfId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2" fillId="0" borderId="4" xfId="1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3" fontId="3" fillId="4" borderId="2" xfId="1" applyFont="1" applyFill="1" applyBorder="1" applyAlignment="1">
      <alignment horizontal="center" vertical="center"/>
    </xf>
    <xf numFmtId="43" fontId="3" fillId="0" borderId="2" xfId="1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/>
    </xf>
    <xf numFmtId="43" fontId="2" fillId="0" borderId="5" xfId="1" applyFont="1" applyBorder="1" applyAlignment="1">
      <alignment horizontal="center" vertical="center"/>
    </xf>
    <xf numFmtId="0" fontId="2" fillId="0" borderId="5" xfId="1" applyNumberFormat="1" applyFont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/>
    </xf>
    <xf numFmtId="43" fontId="2" fillId="0" borderId="5" xfId="1" applyFont="1" applyBorder="1" applyAlignment="1">
      <alignment horizontal="left" vertical="center"/>
    </xf>
    <xf numFmtId="43" fontId="2" fillId="2" borderId="5" xfId="1" applyFont="1" applyFill="1" applyBorder="1" applyAlignment="1">
      <alignment horizontal="center" vertical="center"/>
    </xf>
    <xf numFmtId="43" fontId="2" fillId="2" borderId="5" xfId="1" applyFont="1" applyFill="1" applyBorder="1" applyAlignment="1">
      <alignment horizontal="left" vertical="center"/>
    </xf>
    <xf numFmtId="43" fontId="2" fillId="2" borderId="4" xfId="1" applyFont="1" applyFill="1" applyBorder="1" applyAlignment="1">
      <alignment horizontal="center" vertical="center"/>
    </xf>
  </cellXfs>
  <cellStyles count="9">
    <cellStyle name="Comma" xfId="1" builtinId="3"/>
    <cellStyle name="Comma 10" xfId="6" xr:uid="{B05676B7-B640-4CF3-8D52-BF37786AC1C8}"/>
    <cellStyle name="Comma 2" xfId="2" xr:uid="{77B1054F-400D-428D-9E26-2E39D18C7592}"/>
    <cellStyle name="Comma 3 2 2" xfId="4" xr:uid="{383A8D2B-EAC2-47CF-8529-279AA0D749F3}"/>
    <cellStyle name="Comma 5" xfId="5" xr:uid="{21608687-A98C-4D3B-892A-B6E7A13E5B83}"/>
    <cellStyle name="Normal" xfId="0" builtinId="0"/>
    <cellStyle name="Normal 2" xfId="3" xr:uid="{AEFC143D-EF92-4F7F-825C-21EABA194333}"/>
    <cellStyle name="Normal 4" xfId="7" xr:uid="{4DDD647C-2808-42BF-945F-4AC4FCD59AB7}"/>
    <cellStyle name="Normal 4 3" xfId="8" xr:uid="{3F5764AD-28F7-4E51-A7A7-4290FA979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sqref="A1:J65"/>
    </sheetView>
  </sheetViews>
  <sheetFormatPr defaultRowHeight="14.4" x14ac:dyDescent="0.3"/>
  <sheetData>
    <row r="1" spans="1:10" x14ac:dyDescent="0.3">
      <c r="A1" s="2"/>
      <c r="B1" s="2"/>
      <c r="C1" s="3"/>
      <c r="D1" s="6" t="s">
        <v>0</v>
      </c>
      <c r="E1" s="2"/>
      <c r="F1" s="2"/>
      <c r="G1" s="2"/>
      <c r="H1" s="2"/>
      <c r="I1" s="2"/>
      <c r="J1" s="2"/>
    </row>
    <row r="2" spans="1:10" ht="52.8" x14ac:dyDescent="0.3">
      <c r="A2" s="4" t="s">
        <v>1</v>
      </c>
      <c r="B2" s="4"/>
      <c r="C2" s="7" t="s">
        <v>2</v>
      </c>
      <c r="D2" s="4" t="s">
        <v>3</v>
      </c>
      <c r="E2" s="4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9" t="s">
        <v>9</v>
      </c>
    </row>
    <row r="3" spans="1:10" x14ac:dyDescent="0.3">
      <c r="A3" s="10" t="s">
        <v>10</v>
      </c>
      <c r="B3" s="20"/>
      <c r="C3" s="12">
        <v>1</v>
      </c>
      <c r="D3" s="22" t="s">
        <v>11</v>
      </c>
      <c r="E3" s="5">
        <v>1</v>
      </c>
      <c r="F3" s="5">
        <v>4.4000000000000004</v>
      </c>
      <c r="G3" s="13">
        <v>3</v>
      </c>
      <c r="H3" s="13">
        <v>0.15</v>
      </c>
      <c r="I3" s="11">
        <f>+E3*F3*G3*H3</f>
        <v>1.98</v>
      </c>
      <c r="J3" s="13">
        <f>+E3*F3*G3</f>
        <v>13.200000000000001</v>
      </c>
    </row>
    <row r="4" spans="1:10" x14ac:dyDescent="0.3">
      <c r="A4" s="10"/>
      <c r="B4" s="20"/>
      <c r="C4" s="12">
        <v>2</v>
      </c>
      <c r="D4" s="22" t="s">
        <v>12</v>
      </c>
      <c r="E4" s="5">
        <v>1</v>
      </c>
      <c r="F4" s="5">
        <v>1.95</v>
      </c>
      <c r="G4" s="13">
        <v>3</v>
      </c>
      <c r="H4" s="13">
        <v>0.15</v>
      </c>
      <c r="I4" s="11">
        <f t="shared" ref="I4:I64" si="0">+E4*F4*G4*H4</f>
        <v>0.87749999999999995</v>
      </c>
      <c r="J4" s="13">
        <f t="shared" ref="J4:J64" si="1">+E4*F4*G4</f>
        <v>5.85</v>
      </c>
    </row>
    <row r="5" spans="1:10" x14ac:dyDescent="0.3">
      <c r="A5" s="10"/>
      <c r="B5" s="20"/>
      <c r="C5" s="12">
        <v>3</v>
      </c>
      <c r="D5" s="22" t="s">
        <v>13</v>
      </c>
      <c r="E5" s="5">
        <v>1</v>
      </c>
      <c r="F5" s="5">
        <v>1.95</v>
      </c>
      <c r="G5" s="13">
        <v>3</v>
      </c>
      <c r="H5" s="13">
        <v>0.15</v>
      </c>
      <c r="I5" s="11">
        <f t="shared" si="0"/>
        <v>0.87749999999999995</v>
      </c>
      <c r="J5" s="13">
        <f t="shared" si="1"/>
        <v>5.85</v>
      </c>
    </row>
    <row r="6" spans="1:10" x14ac:dyDescent="0.3">
      <c r="A6" s="14"/>
      <c r="B6" s="20"/>
      <c r="C6" s="12">
        <v>4</v>
      </c>
      <c r="D6" s="22" t="s">
        <v>14</v>
      </c>
      <c r="E6" s="5">
        <v>1</v>
      </c>
      <c r="F6" s="5">
        <v>4.5</v>
      </c>
      <c r="G6" s="13">
        <v>3</v>
      </c>
      <c r="H6" s="13">
        <v>0.15</v>
      </c>
      <c r="I6" s="11">
        <f t="shared" si="0"/>
        <v>2.0249999999999999</v>
      </c>
      <c r="J6" s="13">
        <f t="shared" si="1"/>
        <v>13.5</v>
      </c>
    </row>
    <row r="7" spans="1:10" x14ac:dyDescent="0.3">
      <c r="A7" s="14"/>
      <c r="B7" s="20"/>
      <c r="C7" s="12">
        <v>5</v>
      </c>
      <c r="D7" s="22" t="s">
        <v>15</v>
      </c>
      <c r="E7" s="23">
        <v>1</v>
      </c>
      <c r="F7" s="23">
        <v>2</v>
      </c>
      <c r="G7" s="13">
        <v>3</v>
      </c>
      <c r="H7" s="13">
        <v>0.15</v>
      </c>
      <c r="I7" s="21">
        <f t="shared" si="0"/>
        <v>0.89999999999999991</v>
      </c>
      <c r="J7" s="21">
        <f t="shared" si="1"/>
        <v>6</v>
      </c>
    </row>
    <row r="8" spans="1:10" x14ac:dyDescent="0.3">
      <c r="A8" s="14"/>
      <c r="B8" s="20"/>
      <c r="C8" s="12">
        <v>6</v>
      </c>
      <c r="D8" s="22" t="s">
        <v>16</v>
      </c>
      <c r="E8" s="23">
        <v>1</v>
      </c>
      <c r="F8" s="23">
        <v>4.5</v>
      </c>
      <c r="G8" s="13">
        <v>3</v>
      </c>
      <c r="H8" s="13">
        <v>0.15</v>
      </c>
      <c r="I8" s="21">
        <f t="shared" si="0"/>
        <v>2.0249999999999999</v>
      </c>
      <c r="J8" s="21">
        <f t="shared" si="1"/>
        <v>13.5</v>
      </c>
    </row>
    <row r="9" spans="1:10" x14ac:dyDescent="0.3">
      <c r="A9" s="14"/>
      <c r="B9" s="20"/>
      <c r="C9" s="12">
        <v>7</v>
      </c>
      <c r="D9" s="22" t="s">
        <v>17</v>
      </c>
      <c r="E9" s="23">
        <v>1</v>
      </c>
      <c r="F9" s="5">
        <v>4.4000000000000004</v>
      </c>
      <c r="G9" s="21">
        <v>2.8</v>
      </c>
      <c r="H9" s="13">
        <v>0.15</v>
      </c>
      <c r="I9" s="21">
        <f t="shared" si="0"/>
        <v>1.8479999999999999</v>
      </c>
      <c r="J9" s="21">
        <f t="shared" si="1"/>
        <v>12.32</v>
      </c>
    </row>
    <row r="10" spans="1:10" x14ac:dyDescent="0.3">
      <c r="A10" s="14"/>
      <c r="B10" s="20"/>
      <c r="C10" s="12">
        <v>8</v>
      </c>
      <c r="D10" s="22" t="s">
        <v>18</v>
      </c>
      <c r="E10" s="23">
        <v>1</v>
      </c>
      <c r="F10" s="5">
        <v>1.95</v>
      </c>
      <c r="G10" s="21">
        <v>2.8</v>
      </c>
      <c r="H10" s="13">
        <v>0.15</v>
      </c>
      <c r="I10" s="21">
        <f t="shared" si="0"/>
        <v>0.81899999999999995</v>
      </c>
      <c r="J10" s="21">
        <f t="shared" si="1"/>
        <v>5.46</v>
      </c>
    </row>
    <row r="11" spans="1:10" x14ac:dyDescent="0.3">
      <c r="A11" s="14"/>
      <c r="B11" s="20"/>
      <c r="C11" s="12">
        <v>9</v>
      </c>
      <c r="D11" s="22" t="s">
        <v>19</v>
      </c>
      <c r="E11" s="23">
        <v>1</v>
      </c>
      <c r="F11" s="5">
        <v>1.95</v>
      </c>
      <c r="G11" s="21">
        <v>2.8</v>
      </c>
      <c r="H11" s="13">
        <v>0.15</v>
      </c>
      <c r="I11" s="21">
        <f t="shared" si="0"/>
        <v>0.81899999999999995</v>
      </c>
      <c r="J11" s="21">
        <f t="shared" si="1"/>
        <v>5.46</v>
      </c>
    </row>
    <row r="12" spans="1:10" x14ac:dyDescent="0.3">
      <c r="A12" s="14"/>
      <c r="B12" s="20"/>
      <c r="C12" s="12">
        <v>10</v>
      </c>
      <c r="D12" s="22" t="s">
        <v>20</v>
      </c>
      <c r="E12" s="23">
        <v>1</v>
      </c>
      <c r="F12" s="5">
        <v>4.5</v>
      </c>
      <c r="G12" s="21">
        <v>2.8</v>
      </c>
      <c r="H12" s="13">
        <v>0.15</v>
      </c>
      <c r="I12" s="21">
        <f t="shared" si="0"/>
        <v>1.89</v>
      </c>
      <c r="J12" s="21">
        <f t="shared" si="1"/>
        <v>12.6</v>
      </c>
    </row>
    <row r="13" spans="1:10" x14ac:dyDescent="0.3">
      <c r="A13" s="14"/>
      <c r="B13" s="20"/>
      <c r="C13" s="12">
        <v>11</v>
      </c>
      <c r="D13" s="22" t="s">
        <v>21</v>
      </c>
      <c r="E13" s="23">
        <v>1</v>
      </c>
      <c r="F13" s="23">
        <v>2</v>
      </c>
      <c r="G13" s="21">
        <v>1.5</v>
      </c>
      <c r="H13" s="13">
        <v>0.15</v>
      </c>
      <c r="I13" s="21">
        <f t="shared" si="0"/>
        <v>0.44999999999999996</v>
      </c>
      <c r="J13" s="21">
        <f t="shared" si="1"/>
        <v>3</v>
      </c>
    </row>
    <row r="14" spans="1:10" x14ac:dyDescent="0.3">
      <c r="A14" s="14"/>
      <c r="B14" s="20"/>
      <c r="C14" s="12">
        <v>12</v>
      </c>
      <c r="D14" s="22" t="s">
        <v>22</v>
      </c>
      <c r="E14" s="23">
        <v>1</v>
      </c>
      <c r="F14" s="23">
        <v>0.95</v>
      </c>
      <c r="G14" s="21">
        <v>1.1000000000000001</v>
      </c>
      <c r="H14" s="13">
        <v>0.15</v>
      </c>
      <c r="I14" s="21">
        <f t="shared" si="0"/>
        <v>0.15674999999999997</v>
      </c>
      <c r="J14" s="21">
        <f t="shared" si="1"/>
        <v>1.0449999999999999</v>
      </c>
    </row>
    <row r="15" spans="1:10" x14ac:dyDescent="0.3">
      <c r="A15" s="14"/>
      <c r="B15" s="20"/>
      <c r="C15" s="12">
        <v>13</v>
      </c>
      <c r="D15" s="22" t="s">
        <v>23</v>
      </c>
      <c r="E15" s="23">
        <v>1</v>
      </c>
      <c r="F15" s="23">
        <v>4.5</v>
      </c>
      <c r="G15" s="21">
        <v>2.8</v>
      </c>
      <c r="H15" s="13">
        <v>0.15</v>
      </c>
      <c r="I15" s="21">
        <f t="shared" si="0"/>
        <v>1.89</v>
      </c>
      <c r="J15" s="21">
        <f t="shared" si="1"/>
        <v>12.6</v>
      </c>
    </row>
    <row r="16" spans="1:10" x14ac:dyDescent="0.3">
      <c r="A16" s="14"/>
      <c r="B16" s="20"/>
      <c r="C16" s="12">
        <v>14</v>
      </c>
      <c r="D16" s="22" t="s">
        <v>24</v>
      </c>
      <c r="E16" s="23">
        <v>1</v>
      </c>
      <c r="F16" s="23">
        <v>5.4749999999999996</v>
      </c>
      <c r="G16" s="21">
        <v>6</v>
      </c>
      <c r="H16" s="13">
        <v>0.15</v>
      </c>
      <c r="I16" s="21">
        <f t="shared" si="0"/>
        <v>4.9274999999999993</v>
      </c>
      <c r="J16" s="21">
        <f t="shared" si="1"/>
        <v>32.849999999999994</v>
      </c>
    </row>
    <row r="17" spans="1:10" x14ac:dyDescent="0.3">
      <c r="A17" s="14"/>
      <c r="B17" s="20"/>
      <c r="C17" s="12">
        <v>15</v>
      </c>
      <c r="D17" s="22" t="s">
        <v>25</v>
      </c>
      <c r="E17" s="23">
        <v>1</v>
      </c>
      <c r="F17" s="23">
        <v>1.9</v>
      </c>
      <c r="G17" s="21">
        <v>3</v>
      </c>
      <c r="H17" s="13">
        <v>0.15</v>
      </c>
      <c r="I17" s="21">
        <f t="shared" si="0"/>
        <v>0.85499999999999987</v>
      </c>
      <c r="J17" s="21">
        <f t="shared" si="1"/>
        <v>5.6999999999999993</v>
      </c>
    </row>
    <row r="18" spans="1:10" x14ac:dyDescent="0.3">
      <c r="A18" s="14"/>
      <c r="B18" s="20"/>
      <c r="C18" s="12">
        <v>16</v>
      </c>
      <c r="D18" s="22" t="s">
        <v>26</v>
      </c>
      <c r="E18" s="23">
        <v>1</v>
      </c>
      <c r="F18" s="23">
        <v>4.45</v>
      </c>
      <c r="G18" s="21">
        <v>3</v>
      </c>
      <c r="H18" s="13">
        <v>0.15</v>
      </c>
      <c r="I18" s="21">
        <f t="shared" si="0"/>
        <v>2.0024999999999999</v>
      </c>
      <c r="J18" s="21">
        <f t="shared" si="1"/>
        <v>13.350000000000001</v>
      </c>
    </row>
    <row r="19" spans="1:10" x14ac:dyDescent="0.3">
      <c r="A19" s="14"/>
      <c r="B19" s="20"/>
      <c r="C19" s="12">
        <v>17</v>
      </c>
      <c r="D19" s="22" t="s">
        <v>27</v>
      </c>
      <c r="E19" s="23">
        <v>1</v>
      </c>
      <c r="F19" s="23">
        <v>4.45</v>
      </c>
      <c r="G19" s="21">
        <v>3</v>
      </c>
      <c r="H19" s="13">
        <v>0.15</v>
      </c>
      <c r="I19" s="21">
        <f t="shared" si="0"/>
        <v>2.0024999999999999</v>
      </c>
      <c r="J19" s="21">
        <f t="shared" si="1"/>
        <v>13.350000000000001</v>
      </c>
    </row>
    <row r="20" spans="1:10" x14ac:dyDescent="0.3">
      <c r="A20" s="14"/>
      <c r="B20" s="20"/>
      <c r="C20" s="12">
        <v>18</v>
      </c>
      <c r="D20" s="22" t="s">
        <v>28</v>
      </c>
      <c r="E20" s="23">
        <v>1</v>
      </c>
      <c r="F20" s="23">
        <v>1.95</v>
      </c>
      <c r="G20" s="21">
        <v>3</v>
      </c>
      <c r="H20" s="13">
        <v>0.15</v>
      </c>
      <c r="I20" s="21">
        <f t="shared" si="0"/>
        <v>0.87749999999999995</v>
      </c>
      <c r="J20" s="21">
        <f t="shared" si="1"/>
        <v>5.85</v>
      </c>
    </row>
    <row r="21" spans="1:10" x14ac:dyDescent="0.3">
      <c r="A21" s="14"/>
      <c r="B21" s="20"/>
      <c r="C21" s="12">
        <v>19</v>
      </c>
      <c r="D21" s="22" t="s">
        <v>29</v>
      </c>
      <c r="E21" s="23">
        <v>1</v>
      </c>
      <c r="F21" s="23">
        <v>1.95</v>
      </c>
      <c r="G21" s="21">
        <v>3</v>
      </c>
      <c r="H21" s="13">
        <v>0.15</v>
      </c>
      <c r="I21" s="21">
        <f t="shared" si="0"/>
        <v>0.87749999999999995</v>
      </c>
      <c r="J21" s="21">
        <f t="shared" si="1"/>
        <v>5.85</v>
      </c>
    </row>
    <row r="22" spans="1:10" x14ac:dyDescent="0.3">
      <c r="A22" s="14"/>
      <c r="B22" s="20"/>
      <c r="C22" s="12">
        <v>20</v>
      </c>
      <c r="D22" s="22" t="s">
        <v>30</v>
      </c>
      <c r="E22" s="23">
        <v>1</v>
      </c>
      <c r="F22" s="23">
        <v>4.4000000000000004</v>
      </c>
      <c r="G22" s="21">
        <v>2.8</v>
      </c>
      <c r="H22" s="13">
        <v>0.15</v>
      </c>
      <c r="I22" s="21">
        <f t="shared" si="0"/>
        <v>1.8479999999999999</v>
      </c>
      <c r="J22" s="21">
        <f t="shared" si="1"/>
        <v>12.32</v>
      </c>
    </row>
    <row r="23" spans="1:10" x14ac:dyDescent="0.3">
      <c r="A23" s="14"/>
      <c r="B23" s="20"/>
      <c r="C23" s="12">
        <v>21</v>
      </c>
      <c r="D23" s="22" t="s">
        <v>31</v>
      </c>
      <c r="E23" s="23">
        <v>1</v>
      </c>
      <c r="F23" s="23">
        <v>1.9</v>
      </c>
      <c r="G23" s="21">
        <v>2.8</v>
      </c>
      <c r="H23" s="13">
        <v>0.15</v>
      </c>
      <c r="I23" s="21">
        <f t="shared" si="0"/>
        <v>0.79799999999999993</v>
      </c>
      <c r="J23" s="21">
        <f t="shared" si="1"/>
        <v>5.3199999999999994</v>
      </c>
    </row>
    <row r="24" spans="1:10" x14ac:dyDescent="0.3">
      <c r="A24" s="14"/>
      <c r="B24" s="20"/>
      <c r="C24" s="12">
        <v>22</v>
      </c>
      <c r="D24" s="22" t="s">
        <v>32</v>
      </c>
      <c r="E24" s="23">
        <v>1</v>
      </c>
      <c r="F24" s="23">
        <v>4.45</v>
      </c>
      <c r="G24" s="21">
        <v>2.8</v>
      </c>
      <c r="H24" s="13">
        <v>0.15</v>
      </c>
      <c r="I24" s="21">
        <f t="shared" si="0"/>
        <v>1.8689999999999998</v>
      </c>
      <c r="J24" s="21">
        <f t="shared" si="1"/>
        <v>12.459999999999999</v>
      </c>
    </row>
    <row r="25" spans="1:10" x14ac:dyDescent="0.3">
      <c r="A25" s="14"/>
      <c r="B25" s="20"/>
      <c r="C25" s="12">
        <v>23</v>
      </c>
      <c r="D25" s="22" t="s">
        <v>33</v>
      </c>
      <c r="E25" s="23">
        <v>1</v>
      </c>
      <c r="F25" s="23">
        <v>4.45</v>
      </c>
      <c r="G25" s="21">
        <v>2.8</v>
      </c>
      <c r="H25" s="13">
        <v>0.15</v>
      </c>
      <c r="I25" s="21">
        <f t="shared" si="0"/>
        <v>1.8689999999999998</v>
      </c>
      <c r="J25" s="21">
        <f t="shared" si="1"/>
        <v>12.459999999999999</v>
      </c>
    </row>
    <row r="26" spans="1:10" x14ac:dyDescent="0.3">
      <c r="A26" s="14"/>
      <c r="B26" s="20"/>
      <c r="C26" s="12">
        <v>24</v>
      </c>
      <c r="D26" s="22" t="s">
        <v>34</v>
      </c>
      <c r="E26" s="23">
        <v>1</v>
      </c>
      <c r="F26" s="23">
        <v>1.95</v>
      </c>
      <c r="G26" s="21">
        <v>2.8</v>
      </c>
      <c r="H26" s="13">
        <v>0.15</v>
      </c>
      <c r="I26" s="21">
        <f t="shared" si="0"/>
        <v>0.81899999999999995</v>
      </c>
      <c r="J26" s="21">
        <f t="shared" si="1"/>
        <v>5.46</v>
      </c>
    </row>
    <row r="27" spans="1:10" x14ac:dyDescent="0.3">
      <c r="A27" s="14"/>
      <c r="B27" s="20"/>
      <c r="C27" s="12">
        <v>25</v>
      </c>
      <c r="D27" s="22" t="s">
        <v>35</v>
      </c>
      <c r="E27" s="23">
        <v>1</v>
      </c>
      <c r="F27" s="23">
        <v>1.95</v>
      </c>
      <c r="G27" s="21">
        <v>2.8</v>
      </c>
      <c r="H27" s="13">
        <v>0.15</v>
      </c>
      <c r="I27" s="21">
        <f t="shared" si="0"/>
        <v>0.81899999999999995</v>
      </c>
      <c r="J27" s="21">
        <f t="shared" si="1"/>
        <v>5.46</v>
      </c>
    </row>
    <row r="28" spans="1:10" x14ac:dyDescent="0.3">
      <c r="A28" s="14"/>
      <c r="B28" s="20"/>
      <c r="C28" s="12">
        <v>26</v>
      </c>
      <c r="D28" s="22" t="s">
        <v>36</v>
      </c>
      <c r="E28" s="23">
        <v>1</v>
      </c>
      <c r="F28" s="23">
        <v>4.4000000000000004</v>
      </c>
      <c r="G28" s="21">
        <v>2.8</v>
      </c>
      <c r="H28" s="13">
        <v>0.15</v>
      </c>
      <c r="I28" s="21">
        <f t="shared" si="0"/>
        <v>1.8479999999999999</v>
      </c>
      <c r="J28" s="21">
        <f t="shared" si="1"/>
        <v>12.32</v>
      </c>
    </row>
    <row r="29" spans="1:10" x14ac:dyDescent="0.3">
      <c r="A29" s="14"/>
      <c r="B29" s="20"/>
      <c r="C29" s="12">
        <v>27</v>
      </c>
      <c r="D29" s="22" t="s">
        <v>37</v>
      </c>
      <c r="E29" s="23">
        <v>1</v>
      </c>
      <c r="F29" s="23">
        <v>6.55</v>
      </c>
      <c r="G29" s="21">
        <v>1.802</v>
      </c>
      <c r="H29" s="13">
        <v>0.15</v>
      </c>
      <c r="I29" s="21">
        <f t="shared" si="0"/>
        <v>1.770465</v>
      </c>
      <c r="J29" s="21">
        <f t="shared" si="1"/>
        <v>11.803100000000001</v>
      </c>
    </row>
    <row r="30" spans="1:10" x14ac:dyDescent="0.3">
      <c r="A30" s="14"/>
      <c r="B30" s="20"/>
      <c r="C30" s="12">
        <v>28</v>
      </c>
      <c r="D30" s="22" t="s">
        <v>38</v>
      </c>
      <c r="E30" s="23">
        <v>1</v>
      </c>
      <c r="F30" s="23">
        <v>6.55</v>
      </c>
      <c r="G30" s="21">
        <v>1.802</v>
      </c>
      <c r="H30" s="13">
        <v>0.15</v>
      </c>
      <c r="I30" s="21">
        <f t="shared" si="0"/>
        <v>1.770465</v>
      </c>
      <c r="J30" s="21">
        <f t="shared" si="1"/>
        <v>11.803100000000001</v>
      </c>
    </row>
    <row r="31" spans="1:10" x14ac:dyDescent="0.3">
      <c r="A31" s="14"/>
      <c r="B31" s="20"/>
      <c r="C31" s="12">
        <v>29</v>
      </c>
      <c r="D31" s="22" t="s">
        <v>39</v>
      </c>
      <c r="E31" s="23">
        <v>1</v>
      </c>
      <c r="F31" s="23">
        <v>6.7</v>
      </c>
      <c r="G31" s="21">
        <v>1.802</v>
      </c>
      <c r="H31" s="13">
        <v>0.15</v>
      </c>
      <c r="I31" s="21">
        <f t="shared" si="0"/>
        <v>1.81101</v>
      </c>
      <c r="J31" s="21">
        <f t="shared" si="1"/>
        <v>12.073400000000001</v>
      </c>
    </row>
    <row r="32" spans="1:10" x14ac:dyDescent="0.3">
      <c r="A32" s="14"/>
      <c r="B32" s="20"/>
      <c r="C32" s="12">
        <v>30</v>
      </c>
      <c r="D32" s="22" t="s">
        <v>40</v>
      </c>
      <c r="E32" s="23">
        <v>1</v>
      </c>
      <c r="F32" s="23">
        <v>5.4749999999999996</v>
      </c>
      <c r="G32" s="21">
        <v>1.802</v>
      </c>
      <c r="H32" s="13">
        <v>0.15</v>
      </c>
      <c r="I32" s="21">
        <f t="shared" si="0"/>
        <v>1.4798924999999998</v>
      </c>
      <c r="J32" s="21">
        <f t="shared" si="1"/>
        <v>9.8659499999999998</v>
      </c>
    </row>
    <row r="33" spans="1:10" x14ac:dyDescent="0.3">
      <c r="A33" s="14"/>
      <c r="B33" s="20"/>
      <c r="C33" s="12">
        <v>31</v>
      </c>
      <c r="D33" s="22" t="s">
        <v>41</v>
      </c>
      <c r="E33" s="23">
        <v>1</v>
      </c>
      <c r="F33" s="23">
        <v>6.55</v>
      </c>
      <c r="G33" s="21">
        <v>1.802</v>
      </c>
      <c r="H33" s="13">
        <v>0.15</v>
      </c>
      <c r="I33" s="21">
        <f t="shared" si="0"/>
        <v>1.770465</v>
      </c>
      <c r="J33" s="21">
        <f t="shared" si="1"/>
        <v>11.803100000000001</v>
      </c>
    </row>
    <row r="34" spans="1:10" x14ac:dyDescent="0.3">
      <c r="A34" s="14"/>
      <c r="B34" s="20"/>
      <c r="C34" s="12">
        <v>32</v>
      </c>
      <c r="D34" s="22" t="s">
        <v>42</v>
      </c>
      <c r="E34" s="23">
        <v>1</v>
      </c>
      <c r="F34" s="23">
        <v>6.6</v>
      </c>
      <c r="G34" s="21">
        <v>1.802</v>
      </c>
      <c r="H34" s="13">
        <v>0.15</v>
      </c>
      <c r="I34" s="21">
        <f t="shared" si="0"/>
        <v>1.7839799999999999</v>
      </c>
      <c r="J34" s="21">
        <f t="shared" si="1"/>
        <v>11.8932</v>
      </c>
    </row>
    <row r="35" spans="1:10" x14ac:dyDescent="0.3">
      <c r="A35" s="14"/>
      <c r="B35" s="20"/>
      <c r="C35" s="12">
        <v>33</v>
      </c>
      <c r="D35" s="22" t="s">
        <v>43</v>
      </c>
      <c r="E35" s="23">
        <v>1</v>
      </c>
      <c r="F35" s="23">
        <v>6.55</v>
      </c>
      <c r="G35" s="21">
        <v>1.802</v>
      </c>
      <c r="H35" s="13">
        <v>0.15</v>
      </c>
      <c r="I35" s="21">
        <f t="shared" si="0"/>
        <v>1.770465</v>
      </c>
      <c r="J35" s="21">
        <f t="shared" si="1"/>
        <v>11.803100000000001</v>
      </c>
    </row>
    <row r="36" spans="1:10" x14ac:dyDescent="0.3">
      <c r="A36" s="14"/>
      <c r="B36" s="20"/>
      <c r="C36" s="12">
        <v>34</v>
      </c>
      <c r="D36" s="22" t="s">
        <v>44</v>
      </c>
      <c r="E36" s="23">
        <v>1</v>
      </c>
      <c r="F36" s="23">
        <v>4.4000000000000004</v>
      </c>
      <c r="G36" s="21">
        <v>2.3980000000000001</v>
      </c>
      <c r="H36" s="13">
        <v>0.15</v>
      </c>
      <c r="I36" s="21">
        <f t="shared" si="0"/>
        <v>1.5826800000000001</v>
      </c>
      <c r="J36" s="21">
        <f t="shared" si="1"/>
        <v>10.551200000000001</v>
      </c>
    </row>
    <row r="37" spans="1:10" x14ac:dyDescent="0.3">
      <c r="A37" s="14"/>
      <c r="B37" s="20"/>
      <c r="C37" s="12">
        <v>35</v>
      </c>
      <c r="D37" s="22" t="s">
        <v>45</v>
      </c>
      <c r="E37" s="23">
        <v>1</v>
      </c>
      <c r="F37" s="23">
        <v>1.95</v>
      </c>
      <c r="G37" s="21">
        <v>1.248</v>
      </c>
      <c r="H37" s="13">
        <v>0.15</v>
      </c>
      <c r="I37" s="21">
        <f t="shared" si="0"/>
        <v>0.36503999999999998</v>
      </c>
      <c r="J37" s="21">
        <f t="shared" si="1"/>
        <v>2.4335999999999998</v>
      </c>
    </row>
    <row r="38" spans="1:10" x14ac:dyDescent="0.3">
      <c r="A38" s="14"/>
      <c r="B38" s="20"/>
      <c r="C38" s="12">
        <v>36</v>
      </c>
      <c r="D38" s="22" t="s">
        <v>46</v>
      </c>
      <c r="E38" s="23">
        <v>1</v>
      </c>
      <c r="F38" s="23">
        <v>1.95</v>
      </c>
      <c r="G38" s="21">
        <v>0.95</v>
      </c>
      <c r="H38" s="13">
        <v>0.15</v>
      </c>
      <c r="I38" s="21">
        <f t="shared" si="0"/>
        <v>0.27787499999999998</v>
      </c>
      <c r="J38" s="21">
        <f t="shared" si="1"/>
        <v>1.8524999999999998</v>
      </c>
    </row>
    <row r="39" spans="1:10" x14ac:dyDescent="0.3">
      <c r="A39" s="14"/>
      <c r="B39" s="20"/>
      <c r="C39" s="12">
        <v>37</v>
      </c>
      <c r="D39" s="22" t="s">
        <v>47</v>
      </c>
      <c r="E39" s="23">
        <v>1</v>
      </c>
      <c r="F39" s="23">
        <v>1.95</v>
      </c>
      <c r="G39" s="21">
        <v>2.798</v>
      </c>
      <c r="H39" s="13">
        <v>0.15</v>
      </c>
      <c r="I39" s="21">
        <f t="shared" si="0"/>
        <v>0.818415</v>
      </c>
      <c r="J39" s="21">
        <f t="shared" si="1"/>
        <v>5.4561000000000002</v>
      </c>
    </row>
    <row r="40" spans="1:10" x14ac:dyDescent="0.3">
      <c r="A40" s="14"/>
      <c r="B40" s="20"/>
      <c r="C40" s="12">
        <v>38</v>
      </c>
      <c r="D40" s="22" t="s">
        <v>48</v>
      </c>
      <c r="E40" s="23">
        <v>1</v>
      </c>
      <c r="F40" s="23">
        <v>4.5</v>
      </c>
      <c r="G40" s="21">
        <v>2.798</v>
      </c>
      <c r="H40" s="13">
        <v>0.15</v>
      </c>
      <c r="I40" s="21">
        <f t="shared" si="0"/>
        <v>1.8886500000000002</v>
      </c>
      <c r="J40" s="21">
        <f t="shared" si="1"/>
        <v>12.591000000000001</v>
      </c>
    </row>
    <row r="41" spans="1:10" x14ac:dyDescent="0.3">
      <c r="A41" s="14"/>
      <c r="B41" s="20"/>
      <c r="C41" s="12">
        <v>39</v>
      </c>
      <c r="D41" s="22" t="s">
        <v>49</v>
      </c>
      <c r="E41" s="23">
        <v>1</v>
      </c>
      <c r="F41" s="23">
        <v>6.55</v>
      </c>
      <c r="G41" s="21">
        <v>3.4</v>
      </c>
      <c r="H41" s="13">
        <v>0.15</v>
      </c>
      <c r="I41" s="21">
        <f t="shared" si="0"/>
        <v>3.3405</v>
      </c>
      <c r="J41" s="21">
        <f t="shared" si="1"/>
        <v>22.27</v>
      </c>
    </row>
    <row r="42" spans="1:10" x14ac:dyDescent="0.3">
      <c r="A42" s="14"/>
      <c r="B42" s="20"/>
      <c r="C42" s="12">
        <v>40</v>
      </c>
      <c r="D42" s="22" t="s">
        <v>50</v>
      </c>
      <c r="E42" s="23">
        <v>1</v>
      </c>
      <c r="F42" s="23">
        <v>1.95</v>
      </c>
      <c r="G42" s="21">
        <v>3</v>
      </c>
      <c r="H42" s="13">
        <v>0.15</v>
      </c>
      <c r="I42" s="21">
        <f t="shared" si="0"/>
        <v>0.87749999999999995</v>
      </c>
      <c r="J42" s="21">
        <f t="shared" si="1"/>
        <v>5.85</v>
      </c>
    </row>
    <row r="43" spans="1:10" x14ac:dyDescent="0.3">
      <c r="A43" s="14"/>
      <c r="B43" s="20"/>
      <c r="C43" s="12">
        <v>41</v>
      </c>
      <c r="D43" s="22" t="s">
        <v>51</v>
      </c>
      <c r="E43" s="23">
        <v>1</v>
      </c>
      <c r="F43" s="23">
        <v>4.5</v>
      </c>
      <c r="G43" s="21">
        <v>3</v>
      </c>
      <c r="H43" s="13">
        <v>0.15</v>
      </c>
      <c r="I43" s="21">
        <f t="shared" si="0"/>
        <v>2.0249999999999999</v>
      </c>
      <c r="J43" s="21">
        <f t="shared" si="1"/>
        <v>13.5</v>
      </c>
    </row>
    <row r="44" spans="1:10" x14ac:dyDescent="0.3">
      <c r="A44" s="14"/>
      <c r="B44" s="20"/>
      <c r="C44" s="12">
        <v>42</v>
      </c>
      <c r="D44" s="22" t="s">
        <v>52</v>
      </c>
      <c r="E44" s="23">
        <v>1</v>
      </c>
      <c r="F44" s="23">
        <v>2.1</v>
      </c>
      <c r="G44" s="21">
        <v>1.748</v>
      </c>
      <c r="H44" s="13">
        <v>0.15</v>
      </c>
      <c r="I44" s="21">
        <f t="shared" si="0"/>
        <v>0.55062</v>
      </c>
      <c r="J44" s="21">
        <f t="shared" si="1"/>
        <v>3.6708000000000003</v>
      </c>
    </row>
    <row r="45" spans="1:10" x14ac:dyDescent="0.3">
      <c r="A45" s="14"/>
      <c r="B45" s="20"/>
      <c r="C45" s="12">
        <v>43</v>
      </c>
      <c r="D45" s="22" t="s">
        <v>53</v>
      </c>
      <c r="E45" s="23">
        <v>1</v>
      </c>
      <c r="F45" s="23">
        <v>5.4749999999999996</v>
      </c>
      <c r="G45" s="21">
        <v>5.0039999999999996</v>
      </c>
      <c r="H45" s="13">
        <v>0.15</v>
      </c>
      <c r="I45" s="21">
        <f t="shared" si="0"/>
        <v>4.1095349999999993</v>
      </c>
      <c r="J45" s="21">
        <f t="shared" si="1"/>
        <v>27.396899999999995</v>
      </c>
    </row>
    <row r="46" spans="1:10" x14ac:dyDescent="0.3">
      <c r="A46" s="14"/>
      <c r="B46" s="20"/>
      <c r="C46" s="12">
        <v>44</v>
      </c>
      <c r="D46" s="22" t="s">
        <v>54</v>
      </c>
      <c r="E46" s="23">
        <v>1</v>
      </c>
      <c r="F46" s="23">
        <v>1.9</v>
      </c>
      <c r="G46" s="21">
        <v>2.798</v>
      </c>
      <c r="H46" s="13">
        <v>0.15</v>
      </c>
      <c r="I46" s="21">
        <f t="shared" si="0"/>
        <v>0.79742999999999997</v>
      </c>
      <c r="J46" s="21">
        <f t="shared" si="1"/>
        <v>5.3162000000000003</v>
      </c>
    </row>
    <row r="47" spans="1:10" x14ac:dyDescent="0.3">
      <c r="A47" s="14"/>
      <c r="B47" s="20"/>
      <c r="C47" s="12">
        <v>45</v>
      </c>
      <c r="D47" s="22" t="s">
        <v>55</v>
      </c>
      <c r="E47" s="23">
        <v>1</v>
      </c>
      <c r="F47" s="23">
        <v>4.45</v>
      </c>
      <c r="G47" s="21">
        <v>2.798</v>
      </c>
      <c r="H47" s="13">
        <v>0.15</v>
      </c>
      <c r="I47" s="21">
        <f t="shared" si="0"/>
        <v>1.8676649999999999</v>
      </c>
      <c r="J47" s="21">
        <f t="shared" si="1"/>
        <v>12.4511</v>
      </c>
    </row>
    <row r="48" spans="1:10" x14ac:dyDescent="0.3">
      <c r="A48" s="14"/>
      <c r="B48" s="20"/>
      <c r="C48" s="12">
        <v>46</v>
      </c>
      <c r="D48" s="22" t="s">
        <v>56</v>
      </c>
      <c r="E48" s="23">
        <v>1</v>
      </c>
      <c r="F48" s="23">
        <v>4.45</v>
      </c>
      <c r="G48" s="21">
        <v>2.798</v>
      </c>
      <c r="H48" s="13">
        <v>0.15</v>
      </c>
      <c r="I48" s="21">
        <f t="shared" si="0"/>
        <v>1.8676649999999999</v>
      </c>
      <c r="J48" s="21">
        <f t="shared" si="1"/>
        <v>12.4511</v>
      </c>
    </row>
    <row r="49" spans="1:10" x14ac:dyDescent="0.3">
      <c r="A49" s="14"/>
      <c r="B49" s="20"/>
      <c r="C49" s="12">
        <v>47</v>
      </c>
      <c r="D49" s="22" t="s">
        <v>57</v>
      </c>
      <c r="E49" s="23">
        <v>1</v>
      </c>
      <c r="F49" s="23">
        <v>1.95</v>
      </c>
      <c r="G49" s="21">
        <v>2.798</v>
      </c>
      <c r="H49" s="13">
        <v>0.15</v>
      </c>
      <c r="I49" s="21">
        <f t="shared" si="0"/>
        <v>0.818415</v>
      </c>
      <c r="J49" s="21">
        <f t="shared" si="1"/>
        <v>5.4561000000000002</v>
      </c>
    </row>
    <row r="50" spans="1:10" x14ac:dyDescent="0.3">
      <c r="A50" s="14"/>
      <c r="B50" s="20"/>
      <c r="C50" s="12">
        <v>48</v>
      </c>
      <c r="D50" s="22" t="s">
        <v>58</v>
      </c>
      <c r="E50" s="23">
        <v>1</v>
      </c>
      <c r="F50" s="23">
        <v>1.9</v>
      </c>
      <c r="G50" s="21">
        <v>3</v>
      </c>
      <c r="H50" s="13">
        <v>0.15</v>
      </c>
      <c r="I50" s="21">
        <f t="shared" si="0"/>
        <v>0.85499999999999987</v>
      </c>
      <c r="J50" s="21">
        <f t="shared" si="1"/>
        <v>5.6999999999999993</v>
      </c>
    </row>
    <row r="51" spans="1:10" x14ac:dyDescent="0.3">
      <c r="A51" s="14"/>
      <c r="B51" s="20"/>
      <c r="C51" s="12">
        <v>49</v>
      </c>
      <c r="D51" s="22" t="s">
        <v>59</v>
      </c>
      <c r="E51" s="23">
        <v>1</v>
      </c>
      <c r="F51" s="23">
        <v>4.45</v>
      </c>
      <c r="G51" s="21">
        <v>3</v>
      </c>
      <c r="H51" s="13">
        <v>0.15</v>
      </c>
      <c r="I51" s="21">
        <f t="shared" si="0"/>
        <v>2.0024999999999999</v>
      </c>
      <c r="J51" s="21">
        <f t="shared" si="1"/>
        <v>13.350000000000001</v>
      </c>
    </row>
    <row r="52" spans="1:10" x14ac:dyDescent="0.3">
      <c r="A52" s="14"/>
      <c r="B52" s="20"/>
      <c r="C52" s="12">
        <v>50</v>
      </c>
      <c r="D52" s="22" t="s">
        <v>60</v>
      </c>
      <c r="E52" s="23">
        <v>1</v>
      </c>
      <c r="F52" s="23">
        <v>4.45</v>
      </c>
      <c r="G52" s="21">
        <v>3</v>
      </c>
      <c r="H52" s="13">
        <v>0.15</v>
      </c>
      <c r="I52" s="21">
        <f t="shared" si="0"/>
        <v>2.0024999999999999</v>
      </c>
      <c r="J52" s="21">
        <f t="shared" si="1"/>
        <v>13.350000000000001</v>
      </c>
    </row>
    <row r="53" spans="1:10" x14ac:dyDescent="0.3">
      <c r="A53" s="14"/>
      <c r="B53" s="20"/>
      <c r="C53" s="12">
        <v>51</v>
      </c>
      <c r="D53" s="22" t="s">
        <v>61</v>
      </c>
      <c r="E53" s="23">
        <v>1</v>
      </c>
      <c r="F53" s="23">
        <v>1.95</v>
      </c>
      <c r="G53" s="21">
        <v>3</v>
      </c>
      <c r="H53" s="13">
        <v>0.15</v>
      </c>
      <c r="I53" s="21">
        <f t="shared" si="0"/>
        <v>0.87749999999999995</v>
      </c>
      <c r="J53" s="21">
        <f t="shared" si="1"/>
        <v>5.85</v>
      </c>
    </row>
    <row r="54" spans="1:10" x14ac:dyDescent="0.3">
      <c r="A54" s="14"/>
      <c r="B54" s="20"/>
      <c r="C54" s="12">
        <v>52</v>
      </c>
      <c r="D54" s="22" t="s">
        <v>62</v>
      </c>
      <c r="E54" s="23">
        <v>1</v>
      </c>
      <c r="F54" s="23">
        <v>18.114726399999999</v>
      </c>
      <c r="G54" s="21">
        <v>18.395688199999999</v>
      </c>
      <c r="H54" s="13">
        <v>0.15</v>
      </c>
      <c r="I54" s="21">
        <f>+E54*F54*H54</f>
        <v>2.7172089599999998</v>
      </c>
      <c r="J54" s="21">
        <f>+E54*G54</f>
        <v>18.395688199999999</v>
      </c>
    </row>
    <row r="55" spans="1:10" x14ac:dyDescent="0.3">
      <c r="A55" s="14"/>
      <c r="B55" s="20"/>
      <c r="C55" s="12">
        <v>53</v>
      </c>
      <c r="D55" s="22" t="s">
        <v>63</v>
      </c>
      <c r="E55" s="23">
        <v>1</v>
      </c>
      <c r="F55" s="23">
        <v>3.15</v>
      </c>
      <c r="G55" s="21">
        <v>5.9980000000000002</v>
      </c>
      <c r="H55" s="13">
        <v>0.15</v>
      </c>
      <c r="I55" s="21">
        <f t="shared" si="0"/>
        <v>2.8340549999999998</v>
      </c>
      <c r="J55" s="21">
        <f t="shared" si="1"/>
        <v>18.893699999999999</v>
      </c>
    </row>
    <row r="56" spans="1:10" x14ac:dyDescent="0.3">
      <c r="A56" s="14"/>
      <c r="B56" s="20"/>
      <c r="C56" s="12">
        <v>54</v>
      </c>
      <c r="D56" s="22" t="s">
        <v>64</v>
      </c>
      <c r="E56" s="23">
        <v>1</v>
      </c>
      <c r="F56" s="23">
        <v>1.4</v>
      </c>
      <c r="G56" s="21">
        <v>0.8</v>
      </c>
      <c r="H56" s="13">
        <v>0.15</v>
      </c>
      <c r="I56" s="21">
        <f t="shared" si="0"/>
        <v>0.16799999999999998</v>
      </c>
      <c r="J56" s="21">
        <f t="shared" si="1"/>
        <v>1.1199999999999999</v>
      </c>
    </row>
    <row r="57" spans="1:10" x14ac:dyDescent="0.3">
      <c r="A57" s="14"/>
      <c r="B57" s="20"/>
      <c r="C57" s="12">
        <v>55</v>
      </c>
      <c r="D57" s="22" t="s">
        <v>65</v>
      </c>
      <c r="E57" s="23">
        <v>1</v>
      </c>
      <c r="F57" s="23">
        <v>1.5</v>
      </c>
      <c r="G57" s="21">
        <v>0.8</v>
      </c>
      <c r="H57" s="13">
        <v>0.15</v>
      </c>
      <c r="I57" s="21">
        <f t="shared" si="0"/>
        <v>0.18000000000000002</v>
      </c>
      <c r="J57" s="21">
        <f t="shared" si="1"/>
        <v>1.2000000000000002</v>
      </c>
    </row>
    <row r="58" spans="1:10" x14ac:dyDescent="0.3">
      <c r="A58" s="14"/>
      <c r="B58" s="20"/>
      <c r="C58" s="12">
        <v>56</v>
      </c>
      <c r="D58" s="22" t="s">
        <v>66</v>
      </c>
      <c r="E58" s="23">
        <v>1</v>
      </c>
      <c r="F58" s="23">
        <v>1.5</v>
      </c>
      <c r="G58" s="21">
        <v>0.8</v>
      </c>
      <c r="H58" s="13">
        <v>0.15</v>
      </c>
      <c r="I58" s="21">
        <f t="shared" si="0"/>
        <v>0.18000000000000002</v>
      </c>
      <c r="J58" s="21">
        <f t="shared" si="1"/>
        <v>1.2000000000000002</v>
      </c>
    </row>
    <row r="59" spans="1:10" x14ac:dyDescent="0.3">
      <c r="A59" s="14"/>
      <c r="B59" s="20"/>
      <c r="C59" s="12">
        <v>57</v>
      </c>
      <c r="D59" s="22" t="s">
        <v>67</v>
      </c>
      <c r="E59" s="23">
        <v>1</v>
      </c>
      <c r="F59" s="23">
        <v>1.5</v>
      </c>
      <c r="G59" s="21">
        <v>0.8</v>
      </c>
      <c r="H59" s="13">
        <v>0.15</v>
      </c>
      <c r="I59" s="21">
        <f t="shared" si="0"/>
        <v>0.18000000000000002</v>
      </c>
      <c r="J59" s="21">
        <f t="shared" si="1"/>
        <v>1.2000000000000002</v>
      </c>
    </row>
    <row r="60" spans="1:10" x14ac:dyDescent="0.3">
      <c r="A60" s="14"/>
      <c r="B60" s="20"/>
      <c r="C60" s="12">
        <v>58</v>
      </c>
      <c r="D60" s="22" t="s">
        <v>68</v>
      </c>
      <c r="E60" s="23">
        <v>1</v>
      </c>
      <c r="F60" s="23">
        <v>1.5</v>
      </c>
      <c r="G60" s="21">
        <v>0.8</v>
      </c>
      <c r="H60" s="13">
        <v>0.15</v>
      </c>
      <c r="I60" s="21">
        <f t="shared" si="0"/>
        <v>0.18000000000000002</v>
      </c>
      <c r="J60" s="21">
        <f t="shared" si="1"/>
        <v>1.2000000000000002</v>
      </c>
    </row>
    <row r="61" spans="1:10" x14ac:dyDescent="0.3">
      <c r="A61" s="14"/>
      <c r="B61" s="20"/>
      <c r="C61" s="12">
        <v>59</v>
      </c>
      <c r="D61" s="22" t="s">
        <v>69</v>
      </c>
      <c r="E61" s="23">
        <v>1</v>
      </c>
      <c r="F61" s="23">
        <v>1.5</v>
      </c>
      <c r="G61" s="21">
        <v>0.8</v>
      </c>
      <c r="H61" s="13">
        <v>0.15</v>
      </c>
      <c r="I61" s="21">
        <f t="shared" si="0"/>
        <v>0.18000000000000002</v>
      </c>
      <c r="J61" s="21">
        <f t="shared" si="1"/>
        <v>1.2000000000000002</v>
      </c>
    </row>
    <row r="62" spans="1:10" x14ac:dyDescent="0.3">
      <c r="A62" s="14"/>
      <c r="B62" s="20"/>
      <c r="C62" s="12">
        <v>60</v>
      </c>
      <c r="D62" s="22" t="s">
        <v>70</v>
      </c>
      <c r="E62" s="23">
        <v>1</v>
      </c>
      <c r="F62" s="23">
        <v>2.5249999999999999</v>
      </c>
      <c r="G62" s="21">
        <v>0.8</v>
      </c>
      <c r="H62" s="13">
        <v>0.15</v>
      </c>
      <c r="I62" s="21">
        <f t="shared" si="0"/>
        <v>0.30299999999999999</v>
      </c>
      <c r="J62" s="21">
        <f t="shared" si="1"/>
        <v>2.02</v>
      </c>
    </row>
    <row r="63" spans="1:10" x14ac:dyDescent="0.3">
      <c r="A63" s="14"/>
      <c r="B63" s="20"/>
      <c r="C63" s="12">
        <v>61</v>
      </c>
      <c r="D63" s="22" t="s">
        <v>71</v>
      </c>
      <c r="E63" s="23">
        <v>1</v>
      </c>
      <c r="F63" s="23">
        <v>1.5</v>
      </c>
      <c r="G63" s="21">
        <v>0.8</v>
      </c>
      <c r="H63" s="13">
        <v>0.15</v>
      </c>
      <c r="I63" s="21">
        <f t="shared" si="0"/>
        <v>0.18000000000000002</v>
      </c>
      <c r="J63" s="21">
        <f t="shared" si="1"/>
        <v>1.2000000000000002</v>
      </c>
    </row>
    <row r="64" spans="1:10" ht="15" thickBot="1" x14ac:dyDescent="0.35">
      <c r="A64" s="14"/>
      <c r="B64" s="20"/>
      <c r="C64" s="12">
        <v>62</v>
      </c>
      <c r="D64" s="22" t="s">
        <v>72</v>
      </c>
      <c r="E64" s="23">
        <v>1</v>
      </c>
      <c r="F64" s="23">
        <v>1.5</v>
      </c>
      <c r="G64" s="21">
        <v>0.8</v>
      </c>
      <c r="H64" s="13">
        <v>0.15</v>
      </c>
      <c r="I64" s="21">
        <f t="shared" si="0"/>
        <v>0.18000000000000002</v>
      </c>
      <c r="J64" s="21">
        <f t="shared" si="1"/>
        <v>1.2000000000000002</v>
      </c>
    </row>
    <row r="65" spans="1:10" ht="15" thickBot="1" x14ac:dyDescent="0.35">
      <c r="A65" s="15"/>
      <c r="B65" s="16"/>
      <c r="C65" s="17"/>
      <c r="D65" s="1" t="s">
        <v>73</v>
      </c>
      <c r="E65" s="16">
        <f>SUM(E3:E49)</f>
        <v>47</v>
      </c>
      <c r="F65" s="16"/>
      <c r="G65" s="16"/>
      <c r="H65" s="18"/>
      <c r="I65" s="19">
        <f>+SUM(I3:I64)</f>
        <v>84.333746460000071</v>
      </c>
      <c r="J65" s="19">
        <f>+SUM(J3:J64)</f>
        <v>562.50593820000017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Bilimagga Hanumantha</dc:creator>
  <cp:lastModifiedBy>Nishanth Bilimagga Hanumantha</cp:lastModifiedBy>
  <dcterms:created xsi:type="dcterms:W3CDTF">2015-06-05T18:17:20Z</dcterms:created>
  <dcterms:modified xsi:type="dcterms:W3CDTF">2026-06-05T12:04:13Z</dcterms:modified>
</cp:coreProperties>
</file>