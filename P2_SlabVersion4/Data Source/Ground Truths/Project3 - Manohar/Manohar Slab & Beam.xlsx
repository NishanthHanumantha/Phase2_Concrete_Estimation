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\\datasvm01.sobha.com\Data_003\Common\04_Est_Ref\CSR- Sobha Community Housing\Manohar Residence\Manohar Residence - 28-04-2025\01. Estimate\"/>
    </mc:Choice>
  </mc:AlternateContent>
  <xr:revisionPtr revIDLastSave="0" documentId="13_ncr:1_{B8CDC948-D2F5-4A4A-A53C-0EF2148A17A8}" xr6:coauthVersionLast="47" xr6:coauthVersionMax="47" xr10:uidLastSave="{00000000-0000-0000-0000-000000000000}"/>
  <bookViews>
    <workbookView xWindow="-120" yWindow="-120" windowWidth="20730" windowHeight="11040" activeTab="4" xr2:uid="{1B2984A4-1DB7-47CA-BEA1-C9F4FEDAADD1}"/>
  </bookViews>
  <sheets>
    <sheet name="Footing" sheetId="2" r:id="rId1"/>
    <sheet name="Beams" sheetId="3" r:id="rId2"/>
    <sheet name="Staircase" sheetId="5" r:id="rId3"/>
    <sheet name="RW" sheetId="6" r:id="rId4"/>
    <sheet name="columns" sheetId="4" r:id="rId5"/>
    <sheet name="Slabs" sheetId="1" r:id="rId6"/>
  </sheets>
  <externalReferences>
    <externalReference r:id="rId7"/>
  </externalReferences>
  <definedNames>
    <definedName name="\0" localSheetId="1">#REF!</definedName>
    <definedName name="\0">#REF!</definedName>
    <definedName name="\a">#REF!</definedName>
    <definedName name="\C">#REF!</definedName>
    <definedName name="\kl">#REF!</definedName>
    <definedName name="\l">#REF!</definedName>
    <definedName name="\p">#REF!</definedName>
    <definedName name="________________________________________________kp1" localSheetId="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____________________kp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___________________dcd3" localSheetId="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___________________dcd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___________________kp1" localSheetId="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___________________kp1" localSheetId="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___________________kp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__________________dcd3" localSheetId="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__________________dcd3" localSheetId="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__________________dcd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__________________iv66666">#REF!</definedName>
    <definedName name="______________________________________________kp1" localSheetId="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__________________kp1" localSheetId="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__________________kp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_________________dcd3" localSheetId="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_________________dcd3" localSheetId="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_________________dcd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_________________iv66666">#REF!</definedName>
    <definedName name="_____________________________________________kp1" localSheetId="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_________________kp1" localSheetId="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_________________kp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________________dcd3" localSheetId="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________________dcd3" localSheetId="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________________dcd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________________iv66666">#REF!</definedName>
    <definedName name="____________________________________________kp1" localSheetId="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________________kp1" localSheetId="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________________kp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_______________dcd3" localSheetId="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_______________dcd3" localSheetId="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_______________dcd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_______________iv66666">#REF!</definedName>
    <definedName name="___________________________________________kp1" localSheetId="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_______________kp1" localSheetId="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_______________kp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______________dcd3" localSheetId="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______________dcd3" localSheetId="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______________dcd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______________iv66666" localSheetId="1">#REF!</definedName>
    <definedName name="__________________________________________iv66666">#REF!</definedName>
    <definedName name="__________________________________________kp1" localSheetId="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______________kp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______________kp2" localSheetId="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______________kp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_____________aj1">#REF!</definedName>
    <definedName name="_________________________________________b1">#REF!</definedName>
    <definedName name="_________________________________________B100000">#REF!</definedName>
    <definedName name="_________________________________________bol1">#REF!</definedName>
    <definedName name="_________________________________________can430">40.73</definedName>
    <definedName name="_________________________________________can435">43.3</definedName>
    <definedName name="_________________________________________dcd3" localSheetId="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_____________dcd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_____________iv66666">#REF!</definedName>
    <definedName name="_________________________________________kp1" localSheetId="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_____________kp1" localSheetId="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_____________kp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_____________kp2" localSheetId="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_____________kp2" localSheetId="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_____________kp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_____________sdb2">#REF!</definedName>
    <definedName name="________________________________________aj1">#REF!</definedName>
    <definedName name="________________________________________b1">#REF!</definedName>
    <definedName name="________________________________________B100000">#REF!</definedName>
    <definedName name="________________________________________bol1">#REF!</definedName>
    <definedName name="________________________________________can430">40.73</definedName>
    <definedName name="________________________________________can435">43.3</definedName>
    <definedName name="________________________________________dcd3" localSheetId="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____________dcd3" localSheetId="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____________dcd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____________iv66666">#REF!</definedName>
    <definedName name="________________________________________kp1" localSheetId="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____________kp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____________kp2" localSheetId="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____________kp2" localSheetId="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____________kp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____________sdb2">#REF!</definedName>
    <definedName name="_______________________________________aj1">#REF!</definedName>
    <definedName name="_______________________________________b1">#REF!</definedName>
    <definedName name="_______________________________________B100000">#REF!</definedName>
    <definedName name="_______________________________________bol1">#REF!</definedName>
    <definedName name="_______________________________________can430">40.73</definedName>
    <definedName name="_______________________________________can435">43.3</definedName>
    <definedName name="_______________________________________dcd3" localSheetId="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___________dcd3" localSheetId="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___________dcd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___________iv66666" localSheetId="1">#REF!</definedName>
    <definedName name="_______________________________________iv66666">#REF!</definedName>
    <definedName name="_______________________________________kp1" localSheetId="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___________kp1" localSheetId="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___________kp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___________kp2" localSheetId="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___________kp2" localSheetId="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___________kp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___________sdb2">#REF!</definedName>
    <definedName name="______________________________________aj1">#REF!</definedName>
    <definedName name="______________________________________b1">#REF!</definedName>
    <definedName name="______________________________________B100000">#REF!</definedName>
    <definedName name="______________________________________bol1">#REF!</definedName>
    <definedName name="______________________________________can430">40.73</definedName>
    <definedName name="______________________________________can435">43.3</definedName>
    <definedName name="______________________________________dcd3" localSheetId="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__________dcd3" localSheetId="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__________dcd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__________iv66666" localSheetId="1">#REF!</definedName>
    <definedName name="______________________________________iv66666">#REF!</definedName>
    <definedName name="______________________________________kp1" localSheetId="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__________kp1" localSheetId="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__________kp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__________kp2" localSheetId="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__________kp2" localSheetId="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__________kp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__________sdb2">#REF!</definedName>
    <definedName name="_____________________________________aj1">#REF!</definedName>
    <definedName name="_____________________________________b1">#REF!</definedName>
    <definedName name="_____________________________________B100000">#REF!</definedName>
    <definedName name="_____________________________________bol1">#REF!</definedName>
    <definedName name="_____________________________________can430">40.73</definedName>
    <definedName name="_____________________________________can435">43.3</definedName>
    <definedName name="_____________________________________dcd3" localSheetId="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_________dcd3" localSheetId="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_________dcd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_________iv66666" localSheetId="1">#REF!</definedName>
    <definedName name="_____________________________________iv66666">#REF!</definedName>
    <definedName name="_____________________________________kp1" localSheetId="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_________kp1" localSheetId="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_________kp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_________kp2" localSheetId="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_________kp2" localSheetId="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_________kp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_________sdb2">#REF!</definedName>
    <definedName name="____________________________________aj1">#REF!</definedName>
    <definedName name="____________________________________b1">#REF!</definedName>
    <definedName name="____________________________________B100000">#REF!</definedName>
    <definedName name="____________________________________bol1">#REF!</definedName>
    <definedName name="____________________________________can430">40.73</definedName>
    <definedName name="____________________________________can435">43.3</definedName>
    <definedName name="____________________________________dcd3" localSheetId="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________dcd3" localSheetId="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________dcd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________iv66666" localSheetId="1">#REF!</definedName>
    <definedName name="____________________________________iv66666">#REF!</definedName>
    <definedName name="____________________________________kp1" localSheetId="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________kp1" localSheetId="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________kp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________sdb2">#REF!</definedName>
    <definedName name="___________________________________aj1">#REF!</definedName>
    <definedName name="___________________________________b1">#REF!</definedName>
    <definedName name="___________________________________B100000">#REF!</definedName>
    <definedName name="___________________________________bol1">#REF!</definedName>
    <definedName name="___________________________________can430">40.73</definedName>
    <definedName name="___________________________________can435">43.3</definedName>
    <definedName name="___________________________________dcd3" localSheetId="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_______dcd3" localSheetId="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_______dcd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_______iv66666" localSheetId="1">#REF!</definedName>
    <definedName name="___________________________________iv66666">#REF!</definedName>
    <definedName name="___________________________________kp1" localSheetId="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_______kp1" localSheetId="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_______kp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_______kp2" localSheetId="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_______kp2" localSheetId="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_______kp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_______sdb2">#REF!</definedName>
    <definedName name="__________________________________aj1">#REF!</definedName>
    <definedName name="__________________________________b1">#REF!</definedName>
    <definedName name="__________________________________B100000">#REF!</definedName>
    <definedName name="__________________________________bol1">#REF!</definedName>
    <definedName name="__________________________________can430">40.73</definedName>
    <definedName name="__________________________________can435">43.3</definedName>
    <definedName name="__________________________________dcd3" localSheetId="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______dcd3" localSheetId="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______dcd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______iv66666" localSheetId="1">#REF!</definedName>
    <definedName name="__________________________________iv66666">#REF!</definedName>
    <definedName name="__________________________________kp1" localSheetId="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______kp1" localSheetId="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______kp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______kp2" localSheetId="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______kp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______sdb2">#REF!</definedName>
    <definedName name="_________________________________aj1" localSheetId="1">#REF!</definedName>
    <definedName name="_________________________________aj1">#REF!</definedName>
    <definedName name="_________________________________b1" localSheetId="1">#REF!</definedName>
    <definedName name="_________________________________b1">#REF!</definedName>
    <definedName name="_________________________________B100000">#REF!</definedName>
    <definedName name="_________________________________bol1">#REF!</definedName>
    <definedName name="_________________________________can430">40.73</definedName>
    <definedName name="_________________________________can435">43.3</definedName>
    <definedName name="_________________________________dcd3" localSheetId="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_____dcd3" localSheetId="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_____dcd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_____iv66666" localSheetId="1">#REF!</definedName>
    <definedName name="_________________________________iv66666">#REF!</definedName>
    <definedName name="_________________________________kp1" localSheetId="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_____kp1" localSheetId="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_____kp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_____kp2" localSheetId="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_____kp2" localSheetId="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_____kp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_____PO1">#REF!</definedName>
    <definedName name="_________________________________PO2">#REF!</definedName>
    <definedName name="_________________________________sdb2" localSheetId="1">#REF!</definedName>
    <definedName name="_________________________________sdb2">#REF!</definedName>
    <definedName name="________________________________aj1">#REF!</definedName>
    <definedName name="________________________________b1">#REF!</definedName>
    <definedName name="________________________________B100000">#REF!</definedName>
    <definedName name="________________________________bol1">#REF!</definedName>
    <definedName name="________________________________can430">40.73</definedName>
    <definedName name="________________________________can435">43.3</definedName>
    <definedName name="________________________________dcd3" localSheetId="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____dcd3" localSheetId="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____dcd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____iv66666" localSheetId="1">#REF!</definedName>
    <definedName name="________________________________iv66666">#REF!</definedName>
    <definedName name="________________________________kp1" localSheetId="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____kp1" localSheetId="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____kp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____kp2" localSheetId="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____kp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____PO1">#REF!</definedName>
    <definedName name="________________________________PO2">#REF!</definedName>
    <definedName name="________________________________sdb2" localSheetId="1">#REF!</definedName>
    <definedName name="________________________________sdb2">#REF!</definedName>
    <definedName name="_______________________________aj1">#REF!</definedName>
    <definedName name="_______________________________b1">#REF!</definedName>
    <definedName name="_______________________________B100000">#REF!</definedName>
    <definedName name="_______________________________bol1">#REF!</definedName>
    <definedName name="_______________________________can430">40.73</definedName>
    <definedName name="_______________________________can435">43.3</definedName>
    <definedName name="_______________________________dcd3" localSheetId="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___dcd3" localSheetId="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___dcd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___iv66666" localSheetId="1">#REF!</definedName>
    <definedName name="_______________________________iv66666">#REF!</definedName>
    <definedName name="_______________________________kp1" localSheetId="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___kp1" localSheetId="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___kp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___kp2" localSheetId="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___kp2" localSheetId="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___kp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___sdb2" localSheetId="1">#REF!</definedName>
    <definedName name="_______________________________sdb2">#REF!</definedName>
    <definedName name="______________________________aj1" localSheetId="1">#REF!</definedName>
    <definedName name="______________________________aj1">#REF!</definedName>
    <definedName name="______________________________b1" localSheetId="1">#REF!</definedName>
    <definedName name="______________________________b1">#REF!</definedName>
    <definedName name="______________________________B100000">#REF!</definedName>
    <definedName name="______________________________bol1">#REF!</definedName>
    <definedName name="______________________________can430">40.73</definedName>
    <definedName name="______________________________can435">43.3</definedName>
    <definedName name="______________________________dcd3" localSheetId="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__dcd3" localSheetId="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__dcd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__iv66666" localSheetId="1">#REF!</definedName>
    <definedName name="______________________________iv66666">#REF!</definedName>
    <definedName name="______________________________kp1" localSheetId="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__kp1" localSheetId="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__kp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__kp2" localSheetId="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__kp2" localSheetId="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__kp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__PO1">#REF!</definedName>
    <definedName name="______________________________PO2">#REF!</definedName>
    <definedName name="______________________________sdb2" localSheetId="1">#REF!</definedName>
    <definedName name="______________________________sdb2">#REF!</definedName>
    <definedName name="_____________________________aj1">#REF!</definedName>
    <definedName name="_____________________________b1">#REF!</definedName>
    <definedName name="_____________________________B100000">#REF!</definedName>
    <definedName name="_____________________________bol1">#REF!</definedName>
    <definedName name="_____________________________can430">40.73</definedName>
    <definedName name="_____________________________can435">43.3</definedName>
    <definedName name="_____________________________dcd3" localSheetId="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_dcd3" localSheetId="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_dcd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_iv66666" localSheetId="1">#REF!</definedName>
    <definedName name="_____________________________iv66666">#REF!</definedName>
    <definedName name="_____________________________kp1" localSheetId="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_kp1" localSheetId="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_kp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_kp2" localSheetId="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_kp2" localSheetId="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_kp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_PO1">#REF!</definedName>
    <definedName name="_____________________________PO2">#REF!</definedName>
    <definedName name="_____________________________sdb2" localSheetId="1">#REF!</definedName>
    <definedName name="_____________________________sdb2">#REF!</definedName>
    <definedName name="____________________________aj1">#REF!</definedName>
    <definedName name="____________________________b1">#REF!</definedName>
    <definedName name="____________________________B100000">#REF!</definedName>
    <definedName name="____________________________bol1">#REF!</definedName>
    <definedName name="____________________________can430">40.73</definedName>
    <definedName name="____________________________can435">43.3</definedName>
    <definedName name="____________________________dcd3" localSheetId="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dcd3" localSheetId="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dcd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iv66666" localSheetId="1">#REF!</definedName>
    <definedName name="____________________________iv66666">#REF!</definedName>
    <definedName name="____________________________kp1" localSheetId="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kp1" localSheetId="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kp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kp2" localSheetId="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kp2" localSheetId="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kp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PO1">#REF!</definedName>
    <definedName name="____________________________PO2">#REF!</definedName>
    <definedName name="____________________________sdb2" localSheetId="1">#REF!</definedName>
    <definedName name="____________________________sdb2">#REF!</definedName>
    <definedName name="____________________________zz65536" localSheetId="1">#REF!</definedName>
    <definedName name="____________________________zz65536">#REF!</definedName>
    <definedName name="___________________________aj1" localSheetId="1">#REF!</definedName>
    <definedName name="___________________________aj1">#REF!</definedName>
    <definedName name="___________________________b1" localSheetId="1">#REF!</definedName>
    <definedName name="___________________________b1">#REF!</definedName>
    <definedName name="___________________________B100000" localSheetId="1">#REF!</definedName>
    <definedName name="___________________________B100000">#REF!</definedName>
    <definedName name="___________________________bol1">#REF!</definedName>
    <definedName name="___________________________can430">40.73</definedName>
    <definedName name="___________________________can435">43.3</definedName>
    <definedName name="___________________________dcd3" localSheetId="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dcd3" localSheetId="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dcd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dfS2">#REF!</definedName>
    <definedName name="___________________________iv66666" localSheetId="1">#REF!</definedName>
    <definedName name="___________________________iv66666">#REF!</definedName>
    <definedName name="___________________________kp1" localSheetId="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kp1" localSheetId="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kp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kp2" localSheetId="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kp2" localSheetId="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kp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PO1" localSheetId="1">#REF!</definedName>
    <definedName name="___________________________PO1">#REF!</definedName>
    <definedName name="___________________________PO2" localSheetId="1">#REF!</definedName>
    <definedName name="___________________________PO2">#REF!</definedName>
    <definedName name="___________________________sdb2" localSheetId="1">#REF!</definedName>
    <definedName name="___________________________sdb2">#REF!</definedName>
    <definedName name="___________________________zz65536" localSheetId="1">#REF!</definedName>
    <definedName name="___________________________zz65536">#REF!</definedName>
    <definedName name="__________________________aj1" localSheetId="1">#REF!</definedName>
    <definedName name="__________________________aj1">#REF!</definedName>
    <definedName name="__________________________b1" localSheetId="1">#REF!</definedName>
    <definedName name="__________________________b1">#REF!</definedName>
    <definedName name="__________________________B100000" localSheetId="1">#REF!</definedName>
    <definedName name="__________________________B100000">#REF!</definedName>
    <definedName name="__________________________bol1">#REF!</definedName>
    <definedName name="__________________________can430">40.73</definedName>
    <definedName name="__________________________can435">43.3</definedName>
    <definedName name="__________________________dcd3" localSheetId="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dcd3" localSheetId="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dcd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dfS2">#REF!</definedName>
    <definedName name="__________________________DIA1">#REF!</definedName>
    <definedName name="__________________________DIA2">#REF!</definedName>
    <definedName name="__________________________iv66666" localSheetId="1">#REF!</definedName>
    <definedName name="__________________________iv66666">#REF!</definedName>
    <definedName name="__________________________kp1" localSheetId="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kp1" localSheetId="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kp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kp2" localSheetId="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kp2" localSheetId="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kp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PO1" localSheetId="1">#REF!</definedName>
    <definedName name="__________________________PO1">#REF!</definedName>
    <definedName name="__________________________PO2" localSheetId="1">#REF!</definedName>
    <definedName name="__________________________PO2">#REF!</definedName>
    <definedName name="__________________________sdb2" localSheetId="1">#REF!</definedName>
    <definedName name="__________________________sdb2">#REF!</definedName>
    <definedName name="__________________________zz65536" localSheetId="1">#REF!</definedName>
    <definedName name="__________________________zz65536">#REF!</definedName>
    <definedName name="_________________________A1">#REF!</definedName>
    <definedName name="_________________________aj1" localSheetId="1">#REF!</definedName>
    <definedName name="_________________________aj1">#REF!</definedName>
    <definedName name="_________________________b1" localSheetId="1">#REF!</definedName>
    <definedName name="_________________________b1">#REF!</definedName>
    <definedName name="_________________________B100000" localSheetId="1">#REF!</definedName>
    <definedName name="_________________________B100000">#REF!</definedName>
    <definedName name="_________________________bol1">#REF!</definedName>
    <definedName name="_________________________can430">40.73</definedName>
    <definedName name="_________________________can435">43.3</definedName>
    <definedName name="_________________________dcd3" localSheetId="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dcd3" localSheetId="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dcd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dfS2">#REF!</definedName>
    <definedName name="_________________________iv66666" localSheetId="1">#REF!</definedName>
    <definedName name="_________________________iv66666">#REF!</definedName>
    <definedName name="_________________________kp1" localSheetId="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kp1" localSheetId="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kp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kp2" localSheetId="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kp2" localSheetId="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kp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PO1">#REF!</definedName>
    <definedName name="_________________________PO2">#REF!</definedName>
    <definedName name="_________________________sdb2" localSheetId="1">#REF!</definedName>
    <definedName name="_________________________sdb2">#REF!</definedName>
    <definedName name="_________________________TB2" localSheetId="1">#REF!</definedName>
    <definedName name="_________________________TB2">#REF!</definedName>
    <definedName name="_________________________zz65536" localSheetId="1">#REF!</definedName>
    <definedName name="_________________________zz65536">#REF!</definedName>
    <definedName name="________________________A1">#REF!</definedName>
    <definedName name="________________________aj1" localSheetId="1">#REF!</definedName>
    <definedName name="________________________aj1">#REF!</definedName>
    <definedName name="________________________b1" localSheetId="1">#REF!</definedName>
    <definedName name="________________________b1">#REF!</definedName>
    <definedName name="________________________B100000" localSheetId="1">#REF!</definedName>
    <definedName name="________________________B100000">#REF!</definedName>
    <definedName name="________________________bak151" localSheetId="1">#REF!</definedName>
    <definedName name="________________________bak151">#REF!</definedName>
    <definedName name="________________________bol1" localSheetId="1">#REF!</definedName>
    <definedName name="________________________bol1">#REF!</definedName>
    <definedName name="________________________can430">40.73</definedName>
    <definedName name="________________________can435">43.3</definedName>
    <definedName name="________________________cbd148" localSheetId="1">#REF!</definedName>
    <definedName name="________________________cbd148">#REF!</definedName>
    <definedName name="________________________dcd3" localSheetId="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dcd3" localSheetId="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dcd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dfS2">#REF!</definedName>
    <definedName name="________________________DIA1">#REF!</definedName>
    <definedName name="________________________DIA2">#REF!</definedName>
    <definedName name="________________________iv66666" localSheetId="1">#REF!</definedName>
    <definedName name="________________________iv66666">#REF!</definedName>
    <definedName name="________________________kp1" localSheetId="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kp1" localSheetId="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kp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kp2" localSheetId="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kp2" localSheetId="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kp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PO1" localSheetId="1">#REF!</definedName>
    <definedName name="________________________PO1">#REF!</definedName>
    <definedName name="________________________PO2" localSheetId="1">#REF!</definedName>
    <definedName name="________________________PO2">#REF!</definedName>
    <definedName name="________________________sdb2" localSheetId="1">#REF!</definedName>
    <definedName name="________________________sdb2">#REF!</definedName>
    <definedName name="________________________TB2" localSheetId="1">#REF!</definedName>
    <definedName name="________________________TB2">#REF!</definedName>
    <definedName name="________________________zz65536" localSheetId="1">#REF!</definedName>
    <definedName name="________________________zz65536">#REF!</definedName>
    <definedName name="_______________________A1">#REF!</definedName>
    <definedName name="_______________________aj1" localSheetId="1">#REF!</definedName>
    <definedName name="_______________________aj1">#REF!</definedName>
    <definedName name="_______________________b1" localSheetId="1">#REF!</definedName>
    <definedName name="_______________________b1">#REF!</definedName>
    <definedName name="_______________________B100000" localSheetId="1">#REF!</definedName>
    <definedName name="_______________________B100000">#REF!</definedName>
    <definedName name="_______________________bak151" localSheetId="1">#REF!</definedName>
    <definedName name="_______________________bak151">#REF!</definedName>
    <definedName name="_______________________bol1" localSheetId="1">#REF!</definedName>
    <definedName name="_______________________bol1">#REF!</definedName>
    <definedName name="_______________________can430">40.73</definedName>
    <definedName name="_______________________can435">43.3</definedName>
    <definedName name="_______________________cbd148" localSheetId="1">#REF!</definedName>
    <definedName name="_______________________cbd148">#REF!</definedName>
    <definedName name="_______________________dcd3" localSheetId="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dcd3" localSheetId="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dcd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dfS2">#REF!</definedName>
    <definedName name="_______________________DIA1">#REF!</definedName>
    <definedName name="_______________________DIA2">#REF!</definedName>
    <definedName name="_______________________iv66666" localSheetId="1">#REF!</definedName>
    <definedName name="_______________________iv66666">#REF!</definedName>
    <definedName name="_______________________kp1" localSheetId="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kp1" localSheetId="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kp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kp2" localSheetId="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kp2" localSheetId="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kp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PO1" localSheetId="1">#REF!</definedName>
    <definedName name="_______________________PO1">#REF!</definedName>
    <definedName name="_______________________PO2" localSheetId="1">#REF!</definedName>
    <definedName name="_______________________PO2">#REF!</definedName>
    <definedName name="_______________________sdb2" localSheetId="1">#REF!</definedName>
    <definedName name="_______________________sdb2">#REF!</definedName>
    <definedName name="_______________________TB2" localSheetId="1">#REF!</definedName>
    <definedName name="_______________________TB2">#REF!</definedName>
    <definedName name="_______________________zz65536" localSheetId="1">#REF!</definedName>
    <definedName name="_______________________zz65536">#REF!</definedName>
    <definedName name="______________________A1">#REF!</definedName>
    <definedName name="______________________aj1" localSheetId="1">#REF!</definedName>
    <definedName name="______________________aj1">#REF!</definedName>
    <definedName name="______________________b1" localSheetId="1">#REF!</definedName>
    <definedName name="______________________b1">#REF!</definedName>
    <definedName name="______________________B100000" localSheetId="1">#REF!</definedName>
    <definedName name="______________________B100000">#REF!</definedName>
    <definedName name="______________________bak151" localSheetId="1">#REF!</definedName>
    <definedName name="______________________bak151">#REF!</definedName>
    <definedName name="______________________bol1" localSheetId="1">#REF!</definedName>
    <definedName name="______________________bol1">#REF!</definedName>
    <definedName name="______________________can430">40.73</definedName>
    <definedName name="______________________can435">43.3</definedName>
    <definedName name="______________________cbd148">#REF!</definedName>
    <definedName name="______________________dcd3" localSheetId="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dcd3" localSheetId="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dcd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dfS2">#REF!</definedName>
    <definedName name="______________________DIA1">#REF!</definedName>
    <definedName name="______________________DIA2">#REF!</definedName>
    <definedName name="______________________fab1" localSheetId="1">#REF!</definedName>
    <definedName name="______________________fab1">#REF!</definedName>
    <definedName name="______________________iv66666" localSheetId="1">#REF!</definedName>
    <definedName name="______________________iv66666">#REF!</definedName>
    <definedName name="______________________kp1" localSheetId="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kp1" localSheetId="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kp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kp2" localSheetId="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kp2" localSheetId="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kp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PO1" localSheetId="1">#REF!</definedName>
    <definedName name="______________________PO1">#REF!</definedName>
    <definedName name="______________________PO2" localSheetId="1">#REF!</definedName>
    <definedName name="______________________PO2">#REF!</definedName>
    <definedName name="______________________sdb2" localSheetId="1">#REF!</definedName>
    <definedName name="______________________sdb2">#REF!</definedName>
    <definedName name="______________________TB2" localSheetId="1">#REF!</definedName>
    <definedName name="______________________TB2">#REF!</definedName>
    <definedName name="______________________zz65536" localSheetId="1">#REF!</definedName>
    <definedName name="______________________zz65536">#REF!</definedName>
    <definedName name="_____________________A1">#REF!</definedName>
    <definedName name="_____________________aj1" localSheetId="1">#REF!</definedName>
    <definedName name="_____________________aj1">#REF!</definedName>
    <definedName name="_____________________b1" localSheetId="1">#REF!</definedName>
    <definedName name="_____________________b1">#REF!</definedName>
    <definedName name="_____________________B100000" localSheetId="1">#REF!</definedName>
    <definedName name="_____________________B100000">#REF!</definedName>
    <definedName name="_____________________bak151" localSheetId="1">#REF!</definedName>
    <definedName name="_____________________bak151">#REF!</definedName>
    <definedName name="_____________________bol1" localSheetId="1">#REF!</definedName>
    <definedName name="_____________________bol1">#REF!</definedName>
    <definedName name="_____________________can430">40.73</definedName>
    <definedName name="_____________________can435">43.3</definedName>
    <definedName name="_____________________cbd148" localSheetId="1">#REF!</definedName>
    <definedName name="_____________________cbd148">#REF!</definedName>
    <definedName name="_____________________dcd3" localSheetId="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dcd3" localSheetId="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dcd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dfS2">#REF!</definedName>
    <definedName name="_____________________DIA1">#REF!</definedName>
    <definedName name="_____________________DIA2">#REF!</definedName>
    <definedName name="_____________________fab1" localSheetId="1">#REF!</definedName>
    <definedName name="_____________________fab1">#REF!</definedName>
    <definedName name="_____________________iv66666" localSheetId="1">#REF!</definedName>
    <definedName name="_____________________iv66666">#REF!</definedName>
    <definedName name="_____________________kp1" localSheetId="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kp1" localSheetId="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kp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kp2" localSheetId="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kp2" localSheetId="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kp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MS010">#REF!</definedName>
    <definedName name="_____________________PO1" localSheetId="1">#REF!</definedName>
    <definedName name="_____________________PO1">#REF!</definedName>
    <definedName name="_____________________PO2" localSheetId="1">#REF!</definedName>
    <definedName name="_____________________PO2">#REF!</definedName>
    <definedName name="_____________________sdb2">#REF!</definedName>
    <definedName name="_____________________TB2" localSheetId="1">#REF!</definedName>
    <definedName name="_____________________TB2">#REF!</definedName>
    <definedName name="_____________________zz65536" localSheetId="1">#REF!</definedName>
    <definedName name="_____________________zz65536">#REF!</definedName>
    <definedName name="____________________A1">#REF!</definedName>
    <definedName name="____________________aj1" localSheetId="1">#REF!</definedName>
    <definedName name="____________________aj1">#REF!</definedName>
    <definedName name="____________________b1" localSheetId="1">#REF!</definedName>
    <definedName name="____________________b1">#REF!</definedName>
    <definedName name="____________________B100000" localSheetId="1">#REF!</definedName>
    <definedName name="____________________B100000">#REF!</definedName>
    <definedName name="____________________bak151" localSheetId="1">#REF!</definedName>
    <definedName name="____________________bak151">#REF!</definedName>
    <definedName name="____________________bol1" localSheetId="1">#REF!</definedName>
    <definedName name="____________________bol1">#REF!</definedName>
    <definedName name="____________________can430">40.73</definedName>
    <definedName name="____________________can435">43.3</definedName>
    <definedName name="____________________cbd148" localSheetId="1">#REF!</definedName>
    <definedName name="____________________cbd148">#REF!</definedName>
    <definedName name="____________________dcd3" localSheetId="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dcd3" localSheetId="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dcd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dfS2">#REF!</definedName>
    <definedName name="____________________DIA1">#REF!</definedName>
    <definedName name="____________________DIA2">#REF!</definedName>
    <definedName name="____________________fab1" localSheetId="1">#REF!</definedName>
    <definedName name="____________________fab1">#REF!</definedName>
    <definedName name="____________________iv66666" localSheetId="1">#REF!</definedName>
    <definedName name="____________________iv66666">#REF!</definedName>
    <definedName name="____________________kp1" localSheetId="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kp1" localSheetId="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kp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kp2" localSheetId="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kp2" localSheetId="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kp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PO1" localSheetId="1">#REF!</definedName>
    <definedName name="____________________PO1">#REF!</definedName>
    <definedName name="____________________PO2" localSheetId="1">#REF!</definedName>
    <definedName name="____________________PO2">#REF!</definedName>
    <definedName name="____________________sdb2" localSheetId="1">#REF!</definedName>
    <definedName name="____________________sdb2">#REF!</definedName>
    <definedName name="____________________TB2" localSheetId="1">#REF!</definedName>
    <definedName name="____________________TB2">#REF!</definedName>
    <definedName name="____________________zz65536" localSheetId="1">#REF!</definedName>
    <definedName name="____________________zz65536">#REF!</definedName>
    <definedName name="___________________A1">#REF!</definedName>
    <definedName name="___________________aj1" localSheetId="1">#REF!</definedName>
    <definedName name="___________________aj1">#REF!</definedName>
    <definedName name="___________________b1" localSheetId="1">#REF!</definedName>
    <definedName name="___________________b1">#REF!</definedName>
    <definedName name="___________________B100000" localSheetId="1">#REF!</definedName>
    <definedName name="___________________B100000">#REF!</definedName>
    <definedName name="___________________bak151" localSheetId="1">#REF!</definedName>
    <definedName name="___________________bak151">#REF!</definedName>
    <definedName name="___________________bol1" localSheetId="1">#REF!</definedName>
    <definedName name="___________________bol1">#REF!</definedName>
    <definedName name="___________________can430">40.73</definedName>
    <definedName name="___________________can435">43.3</definedName>
    <definedName name="___________________cbd148" localSheetId="1">#REF!</definedName>
    <definedName name="___________________cbd148">#REF!</definedName>
    <definedName name="___________________dcd3" localSheetId="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dcd3" localSheetId="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dcd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dfS2">#REF!</definedName>
    <definedName name="___________________DIA1">#REF!</definedName>
    <definedName name="___________________DIA2">#REF!</definedName>
    <definedName name="___________________fab1" localSheetId="1">#REF!</definedName>
    <definedName name="___________________fab1">#REF!</definedName>
    <definedName name="___________________FLG2">#REF!</definedName>
    <definedName name="___________________iv66666" localSheetId="1">#REF!</definedName>
    <definedName name="___________________iv66666">#REF!</definedName>
    <definedName name="___________________kp1" localSheetId="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kp1" localSheetId="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kp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kp2" localSheetId="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kp2" localSheetId="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kp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MS010">#REF!</definedName>
    <definedName name="___________________PO1" localSheetId="1">#REF!</definedName>
    <definedName name="___________________PO1">#REF!</definedName>
    <definedName name="___________________PO2" localSheetId="1">#REF!</definedName>
    <definedName name="___________________PO2">#REF!</definedName>
    <definedName name="___________________sdb2">#REF!</definedName>
    <definedName name="___________________TB2" localSheetId="1">#REF!</definedName>
    <definedName name="___________________TB2">#REF!</definedName>
    <definedName name="___________________zz65536" localSheetId="1">#REF!</definedName>
    <definedName name="___________________zz65536">#REF!</definedName>
    <definedName name="__________________A1">#REF!</definedName>
    <definedName name="__________________aj1" localSheetId="1">#REF!</definedName>
    <definedName name="__________________aj1">#REF!</definedName>
    <definedName name="__________________b1" localSheetId="1">#REF!</definedName>
    <definedName name="__________________b1">#REF!</definedName>
    <definedName name="__________________B100000" localSheetId="1">#REF!</definedName>
    <definedName name="__________________B100000">#REF!</definedName>
    <definedName name="__________________bak151" localSheetId="1">#REF!</definedName>
    <definedName name="__________________bak151">#REF!</definedName>
    <definedName name="__________________bol1" localSheetId="1">#REF!</definedName>
    <definedName name="__________________bol1">#REF!</definedName>
    <definedName name="__________________can430">40.73</definedName>
    <definedName name="__________________can435">43.3</definedName>
    <definedName name="__________________cbd148" localSheetId="1">#REF!</definedName>
    <definedName name="__________________cbd148">#REF!</definedName>
    <definedName name="__________________dcd3" localSheetId="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dcd3" localSheetId="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dcd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dfS2">#REF!</definedName>
    <definedName name="__________________DIA1">#REF!</definedName>
    <definedName name="__________________DIA2">#REF!</definedName>
    <definedName name="__________________fab1" localSheetId="1">#REF!</definedName>
    <definedName name="__________________fab1">#REF!</definedName>
    <definedName name="__________________FLG2">#REF!</definedName>
    <definedName name="__________________iv66666" localSheetId="1">#REF!</definedName>
    <definedName name="__________________iv66666">#REF!</definedName>
    <definedName name="__________________kp1" localSheetId="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kp1" localSheetId="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kp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kp2" localSheetId="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kp2" localSheetId="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kp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MS010">#REF!</definedName>
    <definedName name="__________________PO1">#REF!</definedName>
    <definedName name="__________________PO2">#REF!</definedName>
    <definedName name="__________________sdb2">#REF!</definedName>
    <definedName name="__________________TB2" localSheetId="1">#REF!</definedName>
    <definedName name="__________________TB2">#REF!</definedName>
    <definedName name="__________________zz65536" localSheetId="1">#REF!</definedName>
    <definedName name="__________________zz65536">#REF!</definedName>
    <definedName name="_________________A1">#REF!</definedName>
    <definedName name="_________________aj1" localSheetId="1">#REF!</definedName>
    <definedName name="_________________aj1">#REF!</definedName>
    <definedName name="_________________b1" localSheetId="1">#REF!</definedName>
    <definedName name="_________________b1">#REF!</definedName>
    <definedName name="_________________B100000" localSheetId="1">#REF!</definedName>
    <definedName name="_________________B100000">#REF!</definedName>
    <definedName name="_________________bak151" localSheetId="1">#REF!</definedName>
    <definedName name="_________________bak151">#REF!</definedName>
    <definedName name="_________________bol1" localSheetId="1">#REF!</definedName>
    <definedName name="_________________bol1">#REF!</definedName>
    <definedName name="_________________can430">40.73</definedName>
    <definedName name="_________________can435">43.3</definedName>
    <definedName name="_________________cbd148" localSheetId="1">#REF!</definedName>
    <definedName name="_________________cbd148">#REF!</definedName>
    <definedName name="_________________dcd3" localSheetId="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dcd3" localSheetId="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dcd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dfS2">#REF!</definedName>
    <definedName name="_________________DIA1">#REF!</definedName>
    <definedName name="_________________dia10">#REF!</definedName>
    <definedName name="_________________dia12">#REF!</definedName>
    <definedName name="_________________dia16">#REF!</definedName>
    <definedName name="_________________DIA2" localSheetId="1">#REF!</definedName>
    <definedName name="_________________DIA2">#REF!</definedName>
    <definedName name="_________________dia20">#REF!</definedName>
    <definedName name="_________________dia25">#REF!</definedName>
    <definedName name="_________________dia8">#REF!</definedName>
    <definedName name="_________________fab1" localSheetId="1">#REF!</definedName>
    <definedName name="_________________fab1">#REF!</definedName>
    <definedName name="_________________FLG2">#REF!</definedName>
    <definedName name="_________________iv66666" localSheetId="1">#REF!</definedName>
    <definedName name="_________________iv66666">#REF!</definedName>
    <definedName name="_________________kp1" localSheetId="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kp1" localSheetId="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kp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kp2" localSheetId="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kp2" localSheetId="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kp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MS010">#REF!</definedName>
    <definedName name="_________________PO1" localSheetId="1">#REF!</definedName>
    <definedName name="_________________PO1">#REF!</definedName>
    <definedName name="_________________PO2" localSheetId="1">#REF!</definedName>
    <definedName name="_________________PO2">#REF!</definedName>
    <definedName name="_________________sdb2">#REF!</definedName>
    <definedName name="_________________TB2" localSheetId="1">#REF!</definedName>
    <definedName name="_________________TB2">#REF!</definedName>
    <definedName name="_________________UGF1">#REF!</definedName>
    <definedName name="_________________zz65536" localSheetId="1">#REF!</definedName>
    <definedName name="_________________zz65536">#REF!</definedName>
    <definedName name="________________A1">#REF!</definedName>
    <definedName name="________________aj1" localSheetId="1">#REF!</definedName>
    <definedName name="________________aj1">#REF!</definedName>
    <definedName name="________________b1" localSheetId="1">#REF!</definedName>
    <definedName name="________________b1">#REF!</definedName>
    <definedName name="________________B100000" localSheetId="1">#REF!</definedName>
    <definedName name="________________B100000">#REF!</definedName>
    <definedName name="________________bak151" localSheetId="1">#REF!</definedName>
    <definedName name="________________bak151">#REF!</definedName>
    <definedName name="________________bol1" localSheetId="1">#REF!</definedName>
    <definedName name="________________bol1">#REF!</definedName>
    <definedName name="________________can430">40.73</definedName>
    <definedName name="________________can435">43.3</definedName>
    <definedName name="________________cbd148" localSheetId="1">#REF!</definedName>
    <definedName name="________________cbd148">#REF!</definedName>
    <definedName name="________________dcd3" localSheetId="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dcd3" localSheetId="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dcd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dfS2">#REF!</definedName>
    <definedName name="________________DIA1" localSheetId="1">#REF!</definedName>
    <definedName name="________________DIA1">#REF!</definedName>
    <definedName name="________________dia10">#REF!</definedName>
    <definedName name="________________dia12">#REF!</definedName>
    <definedName name="________________dia16">#REF!</definedName>
    <definedName name="________________DIA2" localSheetId="1">#REF!</definedName>
    <definedName name="________________DIA2">#REF!</definedName>
    <definedName name="________________dia20">#REF!</definedName>
    <definedName name="________________dia25">#REF!</definedName>
    <definedName name="________________dia8">#REF!</definedName>
    <definedName name="________________fab1" localSheetId="1">#REF!</definedName>
    <definedName name="________________fab1">#REF!</definedName>
    <definedName name="________________FLG2">#REF!</definedName>
    <definedName name="________________iv66666" localSheetId="1">#REF!</definedName>
    <definedName name="________________iv66666">#REF!</definedName>
    <definedName name="________________kp1" localSheetId="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kp1" localSheetId="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kp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kp2" localSheetId="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kp2" localSheetId="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kp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MS010">#REF!</definedName>
    <definedName name="________________PO1" localSheetId="1">#REF!</definedName>
    <definedName name="________________PO1">#REF!</definedName>
    <definedName name="________________PO2" localSheetId="1">#REF!</definedName>
    <definedName name="________________PO2">#REF!</definedName>
    <definedName name="________________sdb2">#REF!</definedName>
    <definedName name="________________TB2" localSheetId="1">#REF!</definedName>
    <definedName name="________________TB2">#REF!</definedName>
    <definedName name="________________UGF1">#REF!</definedName>
    <definedName name="________________zz65536" localSheetId="1">#REF!</definedName>
    <definedName name="________________zz65536">#REF!</definedName>
    <definedName name="_______________A1">#REF!</definedName>
    <definedName name="_______________aj1" localSheetId="1">#REF!</definedName>
    <definedName name="_______________aj1">#REF!</definedName>
    <definedName name="_______________b1" localSheetId="1">#REF!</definedName>
    <definedName name="_______________b1">#REF!</definedName>
    <definedName name="_______________B100000" localSheetId="1">#REF!</definedName>
    <definedName name="_______________B100000">#REF!</definedName>
    <definedName name="_______________bak151" localSheetId="1">#REF!</definedName>
    <definedName name="_______________bak151">#REF!</definedName>
    <definedName name="_______________bol1" localSheetId="1">#REF!</definedName>
    <definedName name="_______________bol1">#REF!</definedName>
    <definedName name="_______________can430">40.73</definedName>
    <definedName name="_______________can435">43.3</definedName>
    <definedName name="_______________cbd148">#REF!</definedName>
    <definedName name="_______________dcd3" localSheetId="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dcd3" localSheetId="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dcd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dfS2">#REF!</definedName>
    <definedName name="_______________DIA1" localSheetId="1">#REF!</definedName>
    <definedName name="_______________DIA1">#REF!</definedName>
    <definedName name="_______________dia10">#REF!</definedName>
    <definedName name="_______________dia12">#REF!</definedName>
    <definedName name="_______________dia16">#REF!</definedName>
    <definedName name="_______________DIA2" localSheetId="1">#REF!</definedName>
    <definedName name="_______________DIA2">#REF!</definedName>
    <definedName name="_______________dia20">#REF!</definedName>
    <definedName name="_______________dia25">#REF!</definedName>
    <definedName name="_______________dia8">#REF!</definedName>
    <definedName name="_______________fab1" localSheetId="1">#REF!</definedName>
    <definedName name="_______________fab1">#REF!</definedName>
    <definedName name="_______________FLG2">#REF!</definedName>
    <definedName name="_______________iv66666" localSheetId="1">#REF!</definedName>
    <definedName name="_______________iv66666">#REF!</definedName>
    <definedName name="_______________kp1" localSheetId="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kp1" localSheetId="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kp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kp2" localSheetId="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kp2" localSheetId="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kp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MS010">#REF!</definedName>
    <definedName name="_______________PO1" localSheetId="1">#REF!</definedName>
    <definedName name="_______________PO1">#REF!</definedName>
    <definedName name="_______________PO2" localSheetId="1">#REF!</definedName>
    <definedName name="_______________PO2">#REF!</definedName>
    <definedName name="_______________sdb2">#REF!</definedName>
    <definedName name="_______________TB2" localSheetId="1">#REF!</definedName>
    <definedName name="_______________TB2">#REF!</definedName>
    <definedName name="_______________UGF1">#REF!</definedName>
    <definedName name="_______________zz65536" localSheetId="1">#REF!</definedName>
    <definedName name="_______________zz65536">#REF!</definedName>
    <definedName name="______________A1">#REF!</definedName>
    <definedName name="______________aj1" localSheetId="1">#REF!</definedName>
    <definedName name="______________aj1">#REF!</definedName>
    <definedName name="______________b1" localSheetId="1">#REF!</definedName>
    <definedName name="______________b1">#REF!</definedName>
    <definedName name="______________B100000" localSheetId="1">#REF!</definedName>
    <definedName name="______________B100000">#REF!</definedName>
    <definedName name="______________bak151" localSheetId="1">#REF!</definedName>
    <definedName name="______________bak151">#REF!</definedName>
    <definedName name="______________bol1" localSheetId="1">#REF!</definedName>
    <definedName name="______________bol1">#REF!</definedName>
    <definedName name="______________can430">40.73</definedName>
    <definedName name="______________can435">43.3</definedName>
    <definedName name="______________cbd148" localSheetId="1">#REF!</definedName>
    <definedName name="______________cbd148">#REF!</definedName>
    <definedName name="______________dcd3" localSheetId="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dcd3" localSheetId="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dcd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dfS2">#REF!</definedName>
    <definedName name="______________DIA1" localSheetId="1">#REF!</definedName>
    <definedName name="______________DIA1">#REF!</definedName>
    <definedName name="______________dia10">#REF!</definedName>
    <definedName name="______________dia12">#REF!</definedName>
    <definedName name="______________dia16">#REF!</definedName>
    <definedName name="______________DIA2" localSheetId="1">#REF!</definedName>
    <definedName name="______________DIA2">#REF!</definedName>
    <definedName name="______________dia20">#REF!</definedName>
    <definedName name="______________dia25">#REF!</definedName>
    <definedName name="______________dia8">#REF!</definedName>
    <definedName name="______________fab1" localSheetId="1">#REF!</definedName>
    <definedName name="______________fab1">#REF!</definedName>
    <definedName name="______________iv66666" localSheetId="1">#REF!</definedName>
    <definedName name="______________iv66666">#REF!</definedName>
    <definedName name="______________kp1" localSheetId="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kp1" localSheetId="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kp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kp2" localSheetId="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kp2" localSheetId="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kp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MS010">#REF!</definedName>
    <definedName name="______________PO1" localSheetId="1">#REF!</definedName>
    <definedName name="______________PO1">#REF!</definedName>
    <definedName name="______________PO2" localSheetId="1">#REF!</definedName>
    <definedName name="______________PO2">#REF!</definedName>
    <definedName name="______________sdb2">#REF!</definedName>
    <definedName name="______________TB2" localSheetId="1">#REF!</definedName>
    <definedName name="______________TB2">#REF!</definedName>
    <definedName name="______________UGF1">#REF!</definedName>
    <definedName name="______________zz65536" localSheetId="1">#REF!</definedName>
    <definedName name="______________zz65536">#REF!</definedName>
    <definedName name="_____________A1">#REF!</definedName>
    <definedName name="_____________aj1" localSheetId="1">#REF!</definedName>
    <definedName name="_____________aj1">#REF!</definedName>
    <definedName name="_____________b1" localSheetId="1">#REF!</definedName>
    <definedName name="_____________b1">#REF!</definedName>
    <definedName name="_____________B100000" localSheetId="1">#REF!</definedName>
    <definedName name="_____________B100000">#REF!</definedName>
    <definedName name="_____________bak151" localSheetId="1">#REF!</definedName>
    <definedName name="_____________bak151">#REF!</definedName>
    <definedName name="_____________bol1" localSheetId="1">#REF!</definedName>
    <definedName name="_____________bol1">#REF!</definedName>
    <definedName name="_____________can430">40.73</definedName>
    <definedName name="_____________can435">43.3</definedName>
    <definedName name="_____________cbd148" localSheetId="1">#REF!</definedName>
    <definedName name="_____________cbd148">#REF!</definedName>
    <definedName name="_____________dcd3" localSheetId="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dcd3" localSheetId="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dcd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dfS2">#REF!</definedName>
    <definedName name="_____________DIA1" localSheetId="1">#REF!</definedName>
    <definedName name="_____________DIA1">#REF!</definedName>
    <definedName name="_____________dia10">#REF!</definedName>
    <definedName name="_____________dia12">#REF!</definedName>
    <definedName name="_____________dia16">#REF!</definedName>
    <definedName name="_____________DIA2" localSheetId="1">#REF!</definedName>
    <definedName name="_____________DIA2">#REF!</definedName>
    <definedName name="_____________dia20">#REF!</definedName>
    <definedName name="_____________dia25">#REF!</definedName>
    <definedName name="_____________dia8">#REF!</definedName>
    <definedName name="_____________fab1" localSheetId="1">#REF!</definedName>
    <definedName name="_____________fab1">#REF!</definedName>
    <definedName name="_____________FLG2">#REF!</definedName>
    <definedName name="_____________iv66666" localSheetId="1">#REF!</definedName>
    <definedName name="_____________iv66666">#REF!</definedName>
    <definedName name="_____________kp1" localSheetId="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kp1" localSheetId="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kp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kp2" localSheetId="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kp2" localSheetId="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kp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MS010">#REF!</definedName>
    <definedName name="_____________PO1" localSheetId="1">#REF!</definedName>
    <definedName name="_____________PO1">#REF!</definedName>
    <definedName name="_____________PO2" localSheetId="1">#REF!</definedName>
    <definedName name="_____________PO2">#REF!</definedName>
    <definedName name="_____________sdb2">#REF!</definedName>
    <definedName name="_____________TB2" localSheetId="1">#REF!</definedName>
    <definedName name="_____________TB2">#REF!</definedName>
    <definedName name="_____________UGF1">#REF!</definedName>
    <definedName name="_____________zz65536" localSheetId="1">#REF!</definedName>
    <definedName name="_____________zz65536">#REF!</definedName>
    <definedName name="____________A1">#REF!</definedName>
    <definedName name="____________aj1" localSheetId="1">#REF!</definedName>
    <definedName name="____________aj1">#REF!</definedName>
    <definedName name="____________b1" localSheetId="1">#REF!</definedName>
    <definedName name="____________b1">#REF!</definedName>
    <definedName name="____________B100000" localSheetId="1">#REF!</definedName>
    <definedName name="____________B100000">#REF!</definedName>
    <definedName name="____________bak151" localSheetId="1">#REF!</definedName>
    <definedName name="____________bak151">#REF!</definedName>
    <definedName name="____________bol1" localSheetId="1">#REF!</definedName>
    <definedName name="____________bol1">#REF!</definedName>
    <definedName name="____________can430">40.73</definedName>
    <definedName name="____________can435">43.3</definedName>
    <definedName name="____________cbd148" localSheetId="1">#REF!</definedName>
    <definedName name="____________cbd148">#REF!</definedName>
    <definedName name="____________dcd3" localSheetId="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dcd3" localSheetId="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dcd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dfS2">#REF!</definedName>
    <definedName name="____________DIA1" localSheetId="1">#REF!</definedName>
    <definedName name="____________DIA1">#REF!</definedName>
    <definedName name="____________dia10">#REF!</definedName>
    <definedName name="____________dia12">#REF!</definedName>
    <definedName name="____________dia16">#REF!</definedName>
    <definedName name="____________DIA2" localSheetId="1">#REF!</definedName>
    <definedName name="____________DIA2">#REF!</definedName>
    <definedName name="____________dia20">#REF!</definedName>
    <definedName name="____________dia25">#REF!</definedName>
    <definedName name="____________dia8">#REF!</definedName>
    <definedName name="____________fab1" localSheetId="1">#REF!</definedName>
    <definedName name="____________fab1">#REF!</definedName>
    <definedName name="____________FLG2">#REF!</definedName>
    <definedName name="____________iv66666" localSheetId="1">#REF!</definedName>
    <definedName name="____________iv66666">#REF!</definedName>
    <definedName name="____________kp1" localSheetId="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kp1" localSheetId="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kp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kp2" localSheetId="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kp2" localSheetId="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kp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MS010">#REF!</definedName>
    <definedName name="____________PO1" localSheetId="1">#REF!</definedName>
    <definedName name="____________PO1">#REF!</definedName>
    <definedName name="____________PO2" localSheetId="1">#REF!</definedName>
    <definedName name="____________PO2">#REF!</definedName>
    <definedName name="____________sdb2">#REF!</definedName>
    <definedName name="____________TB2" localSheetId="1">#REF!</definedName>
    <definedName name="____________TB2">#REF!</definedName>
    <definedName name="____________UGF1">#REF!</definedName>
    <definedName name="____________zz65536" localSheetId="1">#REF!</definedName>
    <definedName name="____________zz65536">#REF!</definedName>
    <definedName name="___________A1">#REF!</definedName>
    <definedName name="___________aj1" localSheetId="1">#REF!</definedName>
    <definedName name="___________aj1">#REF!</definedName>
    <definedName name="___________b1" localSheetId="1">#REF!</definedName>
    <definedName name="___________b1">#REF!</definedName>
    <definedName name="___________B100000" localSheetId="1">#REF!</definedName>
    <definedName name="___________B100000">#REF!</definedName>
    <definedName name="___________bak151" localSheetId="1">#REF!</definedName>
    <definedName name="___________bak151">#REF!</definedName>
    <definedName name="___________bol1" localSheetId="1">#REF!</definedName>
    <definedName name="___________bol1">#REF!</definedName>
    <definedName name="___________can430">40.73</definedName>
    <definedName name="___________can435">43.3</definedName>
    <definedName name="___________cbd148" localSheetId="1">#REF!</definedName>
    <definedName name="___________cbd148">#REF!</definedName>
    <definedName name="___________dcd3" localSheetId="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dcd3" localSheetId="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dcd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dfS2">#REF!</definedName>
    <definedName name="___________DIA1" localSheetId="1">#REF!</definedName>
    <definedName name="___________DIA1">#REF!</definedName>
    <definedName name="___________dia10">#REF!</definedName>
    <definedName name="___________dia12">#REF!</definedName>
    <definedName name="___________dia16">#REF!</definedName>
    <definedName name="___________DIA2" localSheetId="1">#REF!</definedName>
    <definedName name="___________DIA2">#REF!</definedName>
    <definedName name="___________dia20">#REF!</definedName>
    <definedName name="___________dia25">#REF!</definedName>
    <definedName name="___________dia8">#REF!</definedName>
    <definedName name="___________fab1" localSheetId="1">#REF!</definedName>
    <definedName name="___________fab1">#REF!</definedName>
    <definedName name="___________FLG2">#REF!</definedName>
    <definedName name="___________iv66666" localSheetId="1">#REF!</definedName>
    <definedName name="___________iv66666">#REF!</definedName>
    <definedName name="___________kp1" localSheetId="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kp1" localSheetId="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kp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kp2" localSheetId="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kp2" localSheetId="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kp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MS010" localSheetId="1">#REF!</definedName>
    <definedName name="___________MS010">#REF!</definedName>
    <definedName name="___________PO1" localSheetId="1">#REF!</definedName>
    <definedName name="___________PO1">#REF!</definedName>
    <definedName name="___________PO2" localSheetId="1">#REF!</definedName>
    <definedName name="___________PO2">#REF!</definedName>
    <definedName name="___________sdb2">#REF!</definedName>
    <definedName name="___________TB2" localSheetId="1">#REF!</definedName>
    <definedName name="___________TB2">#REF!</definedName>
    <definedName name="___________UGF1">#REF!</definedName>
    <definedName name="___________zz65536" localSheetId="1">#REF!</definedName>
    <definedName name="___________zz65536">#REF!</definedName>
    <definedName name="__________A1">#REF!</definedName>
    <definedName name="__________aj1" localSheetId="1">#REF!</definedName>
    <definedName name="__________aj1">#REF!</definedName>
    <definedName name="__________b1" localSheetId="1">#REF!</definedName>
    <definedName name="__________b1">#REF!</definedName>
    <definedName name="__________B100000" localSheetId="1">#REF!</definedName>
    <definedName name="__________B100000">#REF!</definedName>
    <definedName name="__________bak151" localSheetId="1">#REF!</definedName>
    <definedName name="__________bak151">#REF!</definedName>
    <definedName name="__________bol1" localSheetId="1">#REF!</definedName>
    <definedName name="__________bol1">#REF!</definedName>
    <definedName name="__________can430">40.73</definedName>
    <definedName name="__________can435">43.3</definedName>
    <definedName name="__________cbd148" localSheetId="1">#REF!</definedName>
    <definedName name="__________cbd148">#REF!</definedName>
    <definedName name="__________dcd3" localSheetId="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dcd3" localSheetId="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dcd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dfS2">#REF!</definedName>
    <definedName name="__________DIA1" localSheetId="1">#REF!</definedName>
    <definedName name="__________DIA1">#REF!</definedName>
    <definedName name="__________dia10">#REF!</definedName>
    <definedName name="__________dia12">#REF!</definedName>
    <definedName name="__________dia16">#REF!</definedName>
    <definedName name="__________DIA2" localSheetId="1">#REF!</definedName>
    <definedName name="__________DIA2">#REF!</definedName>
    <definedName name="__________dia20">#REF!</definedName>
    <definedName name="__________dia25">#REF!</definedName>
    <definedName name="__________dia8">#REF!</definedName>
    <definedName name="__________fab1" localSheetId="1">#REF!</definedName>
    <definedName name="__________fab1">#REF!</definedName>
    <definedName name="__________FLG2">#REF!</definedName>
    <definedName name="__________iv66666" localSheetId="1">#REF!</definedName>
    <definedName name="__________iv66666">#REF!</definedName>
    <definedName name="__________kp1" localSheetId="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kp1" localSheetId="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kp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kp2" localSheetId="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kp2" localSheetId="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kp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MS010" localSheetId="1">#REF!</definedName>
    <definedName name="__________MS010">#REF!</definedName>
    <definedName name="__________PO1" localSheetId="1">#REF!</definedName>
    <definedName name="__________PO1">#REF!</definedName>
    <definedName name="__________PO2" localSheetId="1">#REF!</definedName>
    <definedName name="__________PO2">#REF!</definedName>
    <definedName name="__________sdb2">#REF!</definedName>
    <definedName name="__________TB2" localSheetId="1">#REF!</definedName>
    <definedName name="__________TB2">#REF!</definedName>
    <definedName name="__________UGF1">#REF!</definedName>
    <definedName name="__________zz65536" localSheetId="1">#REF!</definedName>
    <definedName name="__________zz65536">#REF!</definedName>
    <definedName name="_________A1">#REF!</definedName>
    <definedName name="_________aj1" localSheetId="1">#REF!</definedName>
    <definedName name="_________aj1">#REF!</definedName>
    <definedName name="_________b1" localSheetId="1">#REF!</definedName>
    <definedName name="_________b1">#REF!</definedName>
    <definedName name="_________B100000" localSheetId="1">#REF!</definedName>
    <definedName name="_________B100000">#REF!</definedName>
    <definedName name="_________bak151" localSheetId="1">#REF!</definedName>
    <definedName name="_________bak151">#REF!</definedName>
    <definedName name="_________bol1" localSheetId="1">#REF!</definedName>
    <definedName name="_________bol1">#REF!</definedName>
    <definedName name="_________can430">40.73</definedName>
    <definedName name="_________can435">43.3</definedName>
    <definedName name="_________cbd148" localSheetId="1">#REF!</definedName>
    <definedName name="_________cbd148">#REF!</definedName>
    <definedName name="_________dcd3" localSheetId="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dcd3" localSheetId="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dcd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dfS2">#REF!</definedName>
    <definedName name="_________DIA1" localSheetId="1">#REF!</definedName>
    <definedName name="_________DIA1">#REF!</definedName>
    <definedName name="_________dia10">#REF!</definedName>
    <definedName name="_________dia12">#REF!</definedName>
    <definedName name="_________dia16">#REF!</definedName>
    <definedName name="_________DIA2" localSheetId="1">#REF!</definedName>
    <definedName name="_________DIA2">#REF!</definedName>
    <definedName name="_________dia20">#REF!</definedName>
    <definedName name="_________dia25">#REF!</definedName>
    <definedName name="_________dia8">#REF!</definedName>
    <definedName name="_________fab1" localSheetId="1">#REF!</definedName>
    <definedName name="_________fab1">#REF!</definedName>
    <definedName name="_________FLG2">#REF!</definedName>
    <definedName name="_________iv66666" localSheetId="1">#REF!</definedName>
    <definedName name="_________iv66666">#REF!</definedName>
    <definedName name="_________kp1" localSheetId="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kp1" localSheetId="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kp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kp2" localSheetId="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kp2" localSheetId="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kp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MS010" localSheetId="1">#REF!</definedName>
    <definedName name="_________MS010">#REF!</definedName>
    <definedName name="_________PO1" localSheetId="1">#REF!</definedName>
    <definedName name="_________PO1">#REF!</definedName>
    <definedName name="_________PO2" localSheetId="1">#REF!</definedName>
    <definedName name="_________PO2">#REF!</definedName>
    <definedName name="_________sdb2">#REF!</definedName>
    <definedName name="_________TB2" localSheetId="1">#REF!</definedName>
    <definedName name="_________TB2">#REF!</definedName>
    <definedName name="_________UGF1">#REF!</definedName>
    <definedName name="_________zz65536" localSheetId="1">#REF!</definedName>
    <definedName name="_________zz65536">#REF!</definedName>
    <definedName name="________A1">#REF!</definedName>
    <definedName name="________aj1" localSheetId="1">#REF!</definedName>
    <definedName name="________aj1">#REF!</definedName>
    <definedName name="________b1" localSheetId="1">#REF!</definedName>
    <definedName name="________b1">#REF!</definedName>
    <definedName name="________B100000" localSheetId="1">#REF!</definedName>
    <definedName name="________B100000">#REF!</definedName>
    <definedName name="________bak151" localSheetId="1">#REF!</definedName>
    <definedName name="________bak151">#REF!</definedName>
    <definedName name="________bol1" localSheetId="1">#REF!</definedName>
    <definedName name="________bol1">#REF!</definedName>
    <definedName name="________can430">40.73</definedName>
    <definedName name="________can435">43.3</definedName>
    <definedName name="________cbd148" localSheetId="1">#REF!</definedName>
    <definedName name="________cbd148">#REF!</definedName>
    <definedName name="________dcd3" localSheetId="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dcd3" localSheetId="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dcd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dfS2">#REF!</definedName>
    <definedName name="________DIA1" localSheetId="1">#REF!</definedName>
    <definedName name="________DIA1">#REF!</definedName>
    <definedName name="________dia10">#REF!</definedName>
    <definedName name="________dia12">#REF!</definedName>
    <definedName name="________dia16">#REF!</definedName>
    <definedName name="________DIA2" localSheetId="1">#REF!</definedName>
    <definedName name="________DIA2">#REF!</definedName>
    <definedName name="________dia20">#REF!</definedName>
    <definedName name="________dia25">#REF!</definedName>
    <definedName name="________dia8">#REF!</definedName>
    <definedName name="________fab1" localSheetId="1">#REF!</definedName>
    <definedName name="________fab1">#REF!</definedName>
    <definedName name="________FLG2">#REF!</definedName>
    <definedName name="________iv66666" localSheetId="1">#REF!</definedName>
    <definedName name="________iv66666">#REF!</definedName>
    <definedName name="________kp1" localSheetId="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kp1" localSheetId="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kp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kp2" localSheetId="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kp2" localSheetId="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kp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MS010" localSheetId="1">#REF!</definedName>
    <definedName name="________MS010">#REF!</definedName>
    <definedName name="________PO1" localSheetId="1">#REF!</definedName>
    <definedName name="________PO1">#REF!</definedName>
    <definedName name="________PO2" localSheetId="1">#REF!</definedName>
    <definedName name="________PO2">#REF!</definedName>
    <definedName name="________sdb2">#REF!</definedName>
    <definedName name="________TB2" localSheetId="1">#REF!</definedName>
    <definedName name="________TB2">#REF!</definedName>
    <definedName name="________UGF1">#REF!</definedName>
    <definedName name="________zz65536" localSheetId="1">#REF!</definedName>
    <definedName name="________zz65536">#REF!</definedName>
    <definedName name="_______A1">#REF!</definedName>
    <definedName name="_______aj1" localSheetId="1">#REF!</definedName>
    <definedName name="_______aj1">#REF!</definedName>
    <definedName name="_______b1" localSheetId="1">#REF!</definedName>
    <definedName name="_______b1">#REF!</definedName>
    <definedName name="_______B100000" localSheetId="1">#REF!</definedName>
    <definedName name="_______B100000">#REF!</definedName>
    <definedName name="_______bak151" localSheetId="1">#REF!</definedName>
    <definedName name="_______bak151">#REF!</definedName>
    <definedName name="_______bol1" localSheetId="1">#REF!</definedName>
    <definedName name="_______bol1">#REF!</definedName>
    <definedName name="_______can430">40.73</definedName>
    <definedName name="_______can435">43.3</definedName>
    <definedName name="_______cbd148" localSheetId="1">#REF!</definedName>
    <definedName name="_______cbd148">#REF!</definedName>
    <definedName name="_______dcd3" localSheetId="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dcd3" localSheetId="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dcd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dfS2">#REF!</definedName>
    <definedName name="_______DIA1" localSheetId="1">#REF!</definedName>
    <definedName name="_______DIA1">#REF!</definedName>
    <definedName name="_______dia10">#REF!</definedName>
    <definedName name="_______dia12">#REF!</definedName>
    <definedName name="_______dia16">#REF!</definedName>
    <definedName name="_______DIA2" localSheetId="1">#REF!</definedName>
    <definedName name="_______DIA2">#REF!</definedName>
    <definedName name="_______dia20">#REF!</definedName>
    <definedName name="_______dia25">#REF!</definedName>
    <definedName name="_______dia8">#REF!</definedName>
    <definedName name="_______fab1" localSheetId="1">#REF!</definedName>
    <definedName name="_______fab1">#REF!</definedName>
    <definedName name="_______FLG2">#REF!</definedName>
    <definedName name="_______iv66666" localSheetId="1">#REF!</definedName>
    <definedName name="_______iv66666">#REF!</definedName>
    <definedName name="_______kp1" localSheetId="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kp1" localSheetId="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kp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kp2" localSheetId="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kp2" localSheetId="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kp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MS010" localSheetId="1">#REF!</definedName>
    <definedName name="_______MS010">#REF!</definedName>
    <definedName name="_______PO1" localSheetId="1">#REF!</definedName>
    <definedName name="_______PO1">#REF!</definedName>
    <definedName name="_______PO2" localSheetId="1">#REF!</definedName>
    <definedName name="_______PO2">#REF!</definedName>
    <definedName name="_______sdb2">#REF!</definedName>
    <definedName name="_______TB2" localSheetId="1">#REF!</definedName>
    <definedName name="_______TB2">#REF!</definedName>
    <definedName name="_______UGF1">#REF!</definedName>
    <definedName name="_______zz65536" localSheetId="1">#REF!</definedName>
    <definedName name="_______zz65536">#REF!</definedName>
    <definedName name="______A1">#REF!</definedName>
    <definedName name="______aj1" localSheetId="1">#REF!</definedName>
    <definedName name="______aj1">#REF!</definedName>
    <definedName name="______b1" localSheetId="1">#REF!</definedName>
    <definedName name="______b1">#REF!</definedName>
    <definedName name="______B100000" localSheetId="1">#REF!</definedName>
    <definedName name="______B100000">#REF!</definedName>
    <definedName name="______bak151" localSheetId="1">#REF!</definedName>
    <definedName name="______bak151">#REF!</definedName>
    <definedName name="______bol1" localSheetId="1">#REF!</definedName>
    <definedName name="______bol1">#REF!</definedName>
    <definedName name="______can430">40.73</definedName>
    <definedName name="______can435">43.3</definedName>
    <definedName name="______cbd148" localSheetId="1">#REF!</definedName>
    <definedName name="______cbd148">#REF!</definedName>
    <definedName name="______dcd3" localSheetId="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dcd3" localSheetId="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dcd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dfS2">#REF!</definedName>
    <definedName name="______DIA1" localSheetId="1">#REF!</definedName>
    <definedName name="______DIA1">#REF!</definedName>
    <definedName name="______dia10">#REF!</definedName>
    <definedName name="______dia12">#REF!</definedName>
    <definedName name="______dia16">#REF!</definedName>
    <definedName name="______DIA2" localSheetId="1">#REF!</definedName>
    <definedName name="______DIA2">#REF!</definedName>
    <definedName name="______dia20">#REF!</definedName>
    <definedName name="______dia25">#REF!</definedName>
    <definedName name="______dia8">#REF!</definedName>
    <definedName name="______fab1" localSheetId="1">#REF!</definedName>
    <definedName name="______fab1">#REF!</definedName>
    <definedName name="______FLG2">#REF!</definedName>
    <definedName name="______iv66666" localSheetId="1">#REF!</definedName>
    <definedName name="______iv66666">#REF!</definedName>
    <definedName name="______kp1" localSheetId="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kp1" localSheetId="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kp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kp2" localSheetId="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kp2" localSheetId="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kp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MS010" localSheetId="1">#REF!</definedName>
    <definedName name="______MS010">#REF!</definedName>
    <definedName name="______PO1" localSheetId="1">#REF!</definedName>
    <definedName name="______PO1">#REF!</definedName>
    <definedName name="______PO2" localSheetId="1">#REF!</definedName>
    <definedName name="______PO2">#REF!</definedName>
    <definedName name="______sdb2">#REF!</definedName>
    <definedName name="______TB2" localSheetId="1">#REF!</definedName>
    <definedName name="______TB2">#REF!</definedName>
    <definedName name="______UGF1">#REF!</definedName>
    <definedName name="______zz65536" localSheetId="1">#REF!</definedName>
    <definedName name="______zz65536">#REF!</definedName>
    <definedName name="_____A1">#REF!</definedName>
    <definedName name="_____aj1" localSheetId="1">#REF!</definedName>
    <definedName name="_____aj1">#REF!</definedName>
    <definedName name="_____b1" localSheetId="1">#REF!</definedName>
    <definedName name="_____b1">#REF!</definedName>
    <definedName name="_____B100000" localSheetId="1">#REF!</definedName>
    <definedName name="_____B100000">#REF!</definedName>
    <definedName name="_____bak151" localSheetId="1">#REF!</definedName>
    <definedName name="_____bak151">#REF!</definedName>
    <definedName name="_____bol1" localSheetId="1">#REF!</definedName>
    <definedName name="_____bol1">#REF!</definedName>
    <definedName name="_____can430">40.73</definedName>
    <definedName name="_____can435">43.3</definedName>
    <definedName name="_____cbd148" localSheetId="1">#REF!</definedName>
    <definedName name="_____cbd148">#REF!</definedName>
    <definedName name="_____dcd3" localSheetId="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dcd3" localSheetId="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dcd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dfS2">#REF!</definedName>
    <definedName name="_____DIA1" localSheetId="1">#REF!</definedName>
    <definedName name="_____DIA1">#REF!</definedName>
    <definedName name="_____dia10">#REF!</definedName>
    <definedName name="_____dia12">#REF!</definedName>
    <definedName name="_____dia16">#REF!</definedName>
    <definedName name="_____DIA2" localSheetId="1">#REF!</definedName>
    <definedName name="_____DIA2">#REF!</definedName>
    <definedName name="_____dia20">#REF!</definedName>
    <definedName name="_____dia25">#REF!</definedName>
    <definedName name="_____dia8">#REF!</definedName>
    <definedName name="_____fab1" localSheetId="1">#REF!</definedName>
    <definedName name="_____fab1">#REF!</definedName>
    <definedName name="_____FLG2">#REF!</definedName>
    <definedName name="_____iv66666" localSheetId="1">#REF!</definedName>
    <definedName name="_____iv66666">#REF!</definedName>
    <definedName name="_____kp1" localSheetId="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kp1" localSheetId="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kp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kp2" localSheetId="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kp2" localSheetId="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kp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MS010" localSheetId="1">#REF!</definedName>
    <definedName name="_____MS010">#REF!</definedName>
    <definedName name="_____PO1" localSheetId="1">#REF!</definedName>
    <definedName name="_____PO1">#REF!</definedName>
    <definedName name="_____PO2" localSheetId="1">#REF!</definedName>
    <definedName name="_____PO2">#REF!</definedName>
    <definedName name="_____sdb2">#REF!</definedName>
    <definedName name="_____TB2" localSheetId="1">#REF!</definedName>
    <definedName name="_____TB2">#REF!</definedName>
    <definedName name="_____UGF1">#REF!</definedName>
    <definedName name="_____zz65536" localSheetId="1">#REF!</definedName>
    <definedName name="_____zz65536">#REF!</definedName>
    <definedName name="____A1">#REF!</definedName>
    <definedName name="____aj1" localSheetId="1">#REF!</definedName>
    <definedName name="____aj1">#REF!</definedName>
    <definedName name="____b1" localSheetId="1">#REF!</definedName>
    <definedName name="____b1">#REF!</definedName>
    <definedName name="____B100000" localSheetId="1">#REF!</definedName>
    <definedName name="____B100000">#REF!</definedName>
    <definedName name="____bak151" localSheetId="1">#REF!</definedName>
    <definedName name="____bak151">#REF!</definedName>
    <definedName name="____bol1" localSheetId="1">#REF!</definedName>
    <definedName name="____bol1">#REF!</definedName>
    <definedName name="____can430">40.73</definedName>
    <definedName name="____can435">43.3</definedName>
    <definedName name="____cbd148" localSheetId="1">#REF!</definedName>
    <definedName name="____cbd148">#REF!</definedName>
    <definedName name="____dcd3" localSheetId="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dcd3" localSheetId="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dcd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dfS2">#REF!</definedName>
    <definedName name="____DIA1" localSheetId="1">#REF!</definedName>
    <definedName name="____DIA1">#REF!</definedName>
    <definedName name="____dia10">#REF!</definedName>
    <definedName name="____dia12">#REF!</definedName>
    <definedName name="____dia16">#REF!</definedName>
    <definedName name="____DIA2" localSheetId="1">#REF!</definedName>
    <definedName name="____DIA2">#REF!</definedName>
    <definedName name="____dia20">#REF!</definedName>
    <definedName name="____dia25">#REF!</definedName>
    <definedName name="____dia8">#REF!</definedName>
    <definedName name="____fab1" localSheetId="1">#REF!</definedName>
    <definedName name="____fab1">#REF!</definedName>
    <definedName name="____FLG2">#REF!</definedName>
    <definedName name="____iv66666" localSheetId="1">#REF!</definedName>
    <definedName name="____iv66666">#REF!</definedName>
    <definedName name="____kp1" localSheetId="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kp1" localSheetId="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kp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kp2" localSheetId="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kp2" localSheetId="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kp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MS010" localSheetId="1">#REF!</definedName>
    <definedName name="____MS010">#REF!</definedName>
    <definedName name="____PO1" localSheetId="1">#REF!</definedName>
    <definedName name="____PO1">#REF!</definedName>
    <definedName name="____PO2" localSheetId="1">#REF!</definedName>
    <definedName name="____PO2">#REF!</definedName>
    <definedName name="____sdb2">#REF!</definedName>
    <definedName name="____TB2" localSheetId="1">#REF!</definedName>
    <definedName name="____TB2">#REF!</definedName>
    <definedName name="____UGF1">#REF!</definedName>
    <definedName name="____zz65536" localSheetId="1">#REF!</definedName>
    <definedName name="____zz65536">#REF!</definedName>
    <definedName name="___A1">#REF!</definedName>
    <definedName name="___aj1" localSheetId="1">#REF!</definedName>
    <definedName name="___aj1">#REF!</definedName>
    <definedName name="___b1" localSheetId="1">#REF!</definedName>
    <definedName name="___b1">#REF!</definedName>
    <definedName name="___B100000" localSheetId="1">#REF!</definedName>
    <definedName name="___B100000">#REF!</definedName>
    <definedName name="___b111121">#REF!</definedName>
    <definedName name="___bak151" localSheetId="1">#REF!</definedName>
    <definedName name="___bak151">#REF!</definedName>
    <definedName name="___bol1" localSheetId="1">#REF!</definedName>
    <definedName name="___bol1">#REF!</definedName>
    <definedName name="___can430">40.73</definedName>
    <definedName name="___can435">43.3</definedName>
    <definedName name="___cbd148" localSheetId="1">#REF!</definedName>
    <definedName name="___cbd148">#REF!</definedName>
    <definedName name="___dcd3" localSheetId="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dcd3" localSheetId="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dcd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dfS2" localSheetId="1">#REF!</definedName>
    <definedName name="___dfS2">#REF!</definedName>
    <definedName name="___DIA1" localSheetId="1">#REF!</definedName>
    <definedName name="___DIA1">#REF!</definedName>
    <definedName name="___dia10">#REF!</definedName>
    <definedName name="___dia12">#REF!</definedName>
    <definedName name="___dia16">#REF!</definedName>
    <definedName name="___DIA2" localSheetId="1">#REF!</definedName>
    <definedName name="___DIA2">#REF!</definedName>
    <definedName name="___dia20">#REF!</definedName>
    <definedName name="___dia25">#REF!</definedName>
    <definedName name="___dia8">#REF!</definedName>
    <definedName name="___fab1" localSheetId="1">#REF!</definedName>
    <definedName name="___fab1">#REF!</definedName>
    <definedName name="___FLG2">#REF!</definedName>
    <definedName name="___iv66666" localSheetId="1">#REF!</definedName>
    <definedName name="___iv66666">#REF!</definedName>
    <definedName name="___Ki1" localSheetId="1">#REF!</definedName>
    <definedName name="___Ki1">#REF!</definedName>
    <definedName name="___Ki2" localSheetId="1">#REF!</definedName>
    <definedName name="___Ki2">#REF!</definedName>
    <definedName name="___kp1" localSheetId="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kp1" localSheetId="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kp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kp2" localSheetId="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kp2" localSheetId="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kp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MAN1">#REF!</definedName>
    <definedName name="___MS010" localSheetId="1">#REF!</definedName>
    <definedName name="___MS010">#REF!</definedName>
    <definedName name="___PB1" localSheetId="1">#REF!</definedName>
    <definedName name="___PB1">#REF!</definedName>
    <definedName name="___PO1">#REF!</definedName>
    <definedName name="___PO2">#REF!</definedName>
    <definedName name="___sdb2">#REF!</definedName>
    <definedName name="___TB2" localSheetId="1">#REF!</definedName>
    <definedName name="___TB2">#REF!</definedName>
    <definedName name="___UGF1">#REF!</definedName>
    <definedName name="___zz65536" localSheetId="1">#REF!</definedName>
    <definedName name="___zz65536">#REF!</definedName>
    <definedName name="__A1">#REF!</definedName>
    <definedName name="__aj1" localSheetId="1">#REF!</definedName>
    <definedName name="__aj1">#REF!</definedName>
    <definedName name="__b1" localSheetId="1">#REF!</definedName>
    <definedName name="__b1">#REF!</definedName>
    <definedName name="__B100000" localSheetId="1">#REF!</definedName>
    <definedName name="__B100000">#REF!</definedName>
    <definedName name="__b111121">#REF!</definedName>
    <definedName name="__bak151" localSheetId="1">#REF!</definedName>
    <definedName name="__bak151">#REF!</definedName>
    <definedName name="__bol1" localSheetId="1">#REF!</definedName>
    <definedName name="__bol1">#REF!</definedName>
    <definedName name="__can430">40.73</definedName>
    <definedName name="__can435">43.3</definedName>
    <definedName name="__cbd148" localSheetId="1">#REF!</definedName>
    <definedName name="__cbd148">#REF!</definedName>
    <definedName name="__dcd3" localSheetId="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dcd3" localSheetId="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dcd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dfS2" localSheetId="1">#REF!</definedName>
    <definedName name="__dfS2">#REF!</definedName>
    <definedName name="__DIA1" localSheetId="1">#REF!</definedName>
    <definedName name="__DIA1">#REF!</definedName>
    <definedName name="__dia10">#REF!</definedName>
    <definedName name="__dia12">#REF!</definedName>
    <definedName name="__dia16">#REF!</definedName>
    <definedName name="__DIA2" localSheetId="1">#REF!</definedName>
    <definedName name="__DIA2">#REF!</definedName>
    <definedName name="__dia20">#REF!</definedName>
    <definedName name="__dia25">#REF!</definedName>
    <definedName name="__dia8">#REF!</definedName>
    <definedName name="__fab1" localSheetId="1">#REF!</definedName>
    <definedName name="__fab1">#REF!</definedName>
    <definedName name="__FLG2">#REF!</definedName>
    <definedName name="__iv66666" localSheetId="1">#REF!</definedName>
    <definedName name="__iv66666">#REF!</definedName>
    <definedName name="__Ki1" localSheetId="1">#REF!</definedName>
    <definedName name="__Ki1">#REF!</definedName>
    <definedName name="__Ki2" localSheetId="1">#REF!</definedName>
    <definedName name="__Ki2">#REF!</definedName>
    <definedName name="__kp1" localSheetId="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kp1" localSheetId="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kp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kp2" localSheetId="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kp2" localSheetId="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kp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MAN1">#REF!</definedName>
    <definedName name="__MS010" localSheetId="1">#REF!</definedName>
    <definedName name="__MS010">#REF!</definedName>
    <definedName name="__PB1" localSheetId="1">#REF!</definedName>
    <definedName name="__PB1">#REF!</definedName>
    <definedName name="__PO1">#REF!</definedName>
    <definedName name="__PO2">#REF!</definedName>
    <definedName name="__sdb2">#REF!</definedName>
    <definedName name="__TB2" localSheetId="1">#REF!</definedName>
    <definedName name="__TB2">#REF!</definedName>
    <definedName name="__UGF1">#REF!</definedName>
    <definedName name="__xlnm.Print_Area_2" localSheetId="1">#REF!</definedName>
    <definedName name="__xlnm.Print_Area_2">#REF!</definedName>
    <definedName name="__xlnm.Print_Titles_2" localSheetId="1">#REF!</definedName>
    <definedName name="__xlnm.Print_Titles_2">#REF!</definedName>
    <definedName name="__zz65536" localSheetId="1">#REF!</definedName>
    <definedName name="__zz65536">#REF!</definedName>
    <definedName name="_0" localSheetId="1">#REF!</definedName>
    <definedName name="_0">#REF!</definedName>
    <definedName name="_0___0" localSheetId="1">#REF!</definedName>
    <definedName name="_0___0">#REF!</definedName>
    <definedName name="_0_1" localSheetId="1">#REF!</definedName>
    <definedName name="_0_1">#REF!</definedName>
    <definedName name="_06_26_03" localSheetId="1">#REF!</definedName>
    <definedName name="_06_26_03">#REF!</definedName>
    <definedName name="_1" localSheetId="1">#REF!</definedName>
    <definedName name="_1">#REF!</definedName>
    <definedName name="_1_a_1" localSheetId="1">#REF!</definedName>
    <definedName name="_1_a_1">#REF!</definedName>
    <definedName name="_10" localSheetId="1">#REF!</definedName>
    <definedName name="_10">#REF!</definedName>
    <definedName name="_100SalesMgr_4_1" localSheetId="1">#REF!</definedName>
    <definedName name="_100SalesMgr_4_1">#REF!</definedName>
    <definedName name="_101saud_4_1" localSheetId="1">#REF!</definedName>
    <definedName name="_101saud_4_1">#REF!</definedName>
    <definedName name="_102sauf_4_1" localSheetId="1">#REF!</definedName>
    <definedName name="_102sauf_4_1">#REF!</definedName>
    <definedName name="_103sauif_4_1">#REF!</definedName>
    <definedName name="_104SelectedLanguage_4_1">#REF!</definedName>
    <definedName name="_105SiteID_4_1">#REF!</definedName>
    <definedName name="_106SiteType_4_1">#REF!</definedName>
    <definedName name="_107SmallProj_4_1">#REF!</definedName>
    <definedName name="_108SmallProj_Text_4_1">#REF!</definedName>
    <definedName name="_109SP1Branch_4_1">#REF!</definedName>
    <definedName name="_10BidClass_4_1">#REF!</definedName>
    <definedName name="_11" localSheetId="1">#REF!</definedName>
    <definedName name="_11">#REF!</definedName>
    <definedName name="_110SP1Credit_4_1" localSheetId="1">#REF!</definedName>
    <definedName name="_110SP1Credit_4_1">#REF!</definedName>
    <definedName name="_111SP1Name_4_1" localSheetId="1">#REF!</definedName>
    <definedName name="_111SP1Name_4_1">#REF!</definedName>
    <definedName name="_112SP1Number_4_1" localSheetId="1">#REF!</definedName>
    <definedName name="_112SP1Number_4_1">#REF!</definedName>
    <definedName name="_113SP2Branch_4_1">#REF!</definedName>
    <definedName name="_114SP2Credit_4_1">#REF!</definedName>
    <definedName name="_115SP2Name_4_1">#REF!</definedName>
    <definedName name="_116SP2Number_4_1">#REF!</definedName>
    <definedName name="_117SP3Branch_4_1">#REF!</definedName>
    <definedName name="_118SP3Credit_4_1">#REF!</definedName>
    <definedName name="_119SP3Name_4_1">#REF!</definedName>
    <definedName name="_11BidClass_Text_4_1">#REF!</definedName>
    <definedName name="_12" localSheetId="1">#REF!</definedName>
    <definedName name="_12">#REF!</definedName>
    <definedName name="_120SP3Number_4_1" localSheetId="1">#REF!</definedName>
    <definedName name="_120SP3Number_4_1">#REF!</definedName>
    <definedName name="_121SP4Branch_4_1" localSheetId="1">#REF!</definedName>
    <definedName name="_121SP4Branch_4_1">#REF!</definedName>
    <definedName name="_122SP4Credit_4_1" localSheetId="1">#REF!</definedName>
    <definedName name="_122SP4Credit_4_1">#REF!</definedName>
    <definedName name="_123SP4Name_4_1">#REF!</definedName>
    <definedName name="_124SP4Number_4_1">#REF!</definedName>
    <definedName name="_125SP5Branch_4_1">#REF!</definedName>
    <definedName name="_126SP5Credit_4_1">#REF!</definedName>
    <definedName name="_127SP5Name_4_1">#REF!</definedName>
    <definedName name="_128SP5Number_4_1">#REF!</definedName>
    <definedName name="_129SpecClass_4_1">#REF!</definedName>
    <definedName name="_12BillingFreq_4_1">#REF!</definedName>
    <definedName name="_13" localSheetId="1">#REF!</definedName>
    <definedName name="_13">#REF!</definedName>
    <definedName name="_130SpecClass_Text_4_1" localSheetId="1">#REF!</definedName>
    <definedName name="_130SpecClass_Text_4_1">#REF!</definedName>
    <definedName name="_131SpecEnv1_4_1" localSheetId="1">#REF!</definedName>
    <definedName name="_131SpecEnv1_4_1">#REF!</definedName>
    <definedName name="_132SpecEnv1_Text_4_1" localSheetId="1">#REF!</definedName>
    <definedName name="_132SpecEnv1_Text_4_1">#REF!</definedName>
    <definedName name="_133SpecEnv2_4_1">#REF!</definedName>
    <definedName name="_134SpecEnv2_Text_4_1">#REF!</definedName>
    <definedName name="_135SPLR_4_1">#REF!</definedName>
    <definedName name="_136SrvcCode1_4_1">#REF!</definedName>
    <definedName name="_137SrvcCode1_Text_4_1">#REF!</definedName>
    <definedName name="_138SrvcCode2_4_1">#REF!</definedName>
    <definedName name="_139SrvcCode2_Text_4_1">#REF!</definedName>
    <definedName name="_13BillingTiming_4_1">#REF!</definedName>
    <definedName name="_14" localSheetId="1">#REF!</definedName>
    <definedName name="_14">#REF!</definedName>
    <definedName name="_140SrvcCode3_4_1" localSheetId="1">#REF!</definedName>
    <definedName name="_140SrvcCode3_4_1">#REF!</definedName>
    <definedName name="_141SrvcCode3_Text_4_1" localSheetId="1">#REF!</definedName>
    <definedName name="_141SrvcCode3_Text_4_1">#REF!</definedName>
    <definedName name="_142SrvcCode4_4_1" localSheetId="1">#REF!</definedName>
    <definedName name="_142SrvcCode4_4_1">#REF!</definedName>
    <definedName name="_143SrvcCode4_Text_4_1">#REF!</definedName>
    <definedName name="_144SrvcCode5_4_1">#REF!</definedName>
    <definedName name="_145SrvcCode5_Text_4_1">#REF!</definedName>
    <definedName name="_146StartDate_4_1">#REF!</definedName>
    <definedName name="_147swf_4_1">#REF!</definedName>
    <definedName name="_148TierCode_4_1">#REF!</definedName>
    <definedName name="_149TierCode_Text_4_1">#REF!</definedName>
    <definedName name="_14BusType_4_1">#REF!</definedName>
    <definedName name="_15" localSheetId="1">#REF!</definedName>
    <definedName name="_15">#REF!</definedName>
    <definedName name="_150vatf_4_1" localSheetId="1">#REF!</definedName>
    <definedName name="_150vatf_4_1">#REF!</definedName>
    <definedName name="_15BusType_Text_4_1" localSheetId="1">#REF!</definedName>
    <definedName name="_15BusType_Text_4_1">#REF!</definedName>
    <definedName name="_16" localSheetId="1">#REF!</definedName>
    <definedName name="_16">#REF!</definedName>
    <definedName name="_16cab21.5tp_4_1" localSheetId="1">#REF!</definedName>
    <definedName name="_16cab21.5tp_4_1">#REF!</definedName>
    <definedName name="_17" localSheetId="1">#REF!</definedName>
    <definedName name="_17">#REF!</definedName>
    <definedName name="_17cab21s_4_1" localSheetId="1">#REF!</definedName>
    <definedName name="_17cab21s_4_1">#REF!</definedName>
    <definedName name="_18" localSheetId="1">#REF!</definedName>
    <definedName name="_18">#REF!</definedName>
    <definedName name="_18cab21us_4_1" localSheetId="1">#REF!</definedName>
    <definedName name="_18cab21us_4_1">#REF!</definedName>
    <definedName name="_19" localSheetId="1">#REF!</definedName>
    <definedName name="_19">#REF!</definedName>
    <definedName name="_19cab31s_4_1" localSheetId="1">#REF!</definedName>
    <definedName name="_19cab31s_4_1">#REF!</definedName>
    <definedName name="_1Excel_BuiltIn_Print_Titles_1_1" localSheetId="1">#REF!</definedName>
    <definedName name="_1Excel_BuiltIn_Print_Titles_1_1">#REF!</definedName>
    <definedName name="_2" localSheetId="1">#REF!</definedName>
    <definedName name="_2">#REF!</definedName>
    <definedName name="_2_a_4_1" localSheetId="1">#REF!</definedName>
    <definedName name="_2_a_4_1">#REF!</definedName>
    <definedName name="_20" localSheetId="1">#REF!</definedName>
    <definedName name="_20">#REF!</definedName>
    <definedName name="_20cab31us_4_1" localSheetId="1">#REF!</definedName>
    <definedName name="_20cab31us_4_1">#REF!</definedName>
    <definedName name="_21" localSheetId="1">#REF!</definedName>
    <definedName name="_21">#REF!</definedName>
    <definedName name="_21cab41s_4_1" localSheetId="1">#REF!</definedName>
    <definedName name="_21cab41s_4_1">#REF!</definedName>
    <definedName name="_22" localSheetId="1">#REF!</definedName>
    <definedName name="_22">#REF!</definedName>
    <definedName name="_22cab41us_4_1" localSheetId="1">#REF!</definedName>
    <definedName name="_22cab41us_4_1">#REF!</definedName>
    <definedName name="_23" localSheetId="1">#REF!</definedName>
    <definedName name="_23">#REF!</definedName>
    <definedName name="_23cabf_4_1" localSheetId="1">#REF!</definedName>
    <definedName name="_23cabf_4_1">#REF!</definedName>
    <definedName name="_24" localSheetId="1">#REF!</definedName>
    <definedName name="_24">#REF!</definedName>
    <definedName name="_24CABLE_4_1" localSheetId="1">#REF!</definedName>
    <definedName name="_24CABLE_4_1">#REF!</definedName>
    <definedName name="_25" localSheetId="1">#REF!</definedName>
    <definedName name="_25">#REF!</definedName>
    <definedName name="_25CALf_4_1" localSheetId="1">#REF!</definedName>
    <definedName name="_25CALf_4_1">#REF!</definedName>
    <definedName name="_26" localSheetId="1">#REF!</definedName>
    <definedName name="_26">#REF!</definedName>
    <definedName name="_26ChangeBy_4_1" localSheetId="1">#REF!</definedName>
    <definedName name="_26ChangeBy_4_1">#REF!</definedName>
    <definedName name="_27" localSheetId="1">#REF!</definedName>
    <definedName name="_27">#REF!</definedName>
    <definedName name="_27ChangeDate_4_1" localSheetId="1">#REF!</definedName>
    <definedName name="_27ChangeDate_4_1">#REF!</definedName>
    <definedName name="_28" localSheetId="1">#REF!</definedName>
    <definedName name="_28">#REF!</definedName>
    <definedName name="_28CompDate_4_1" localSheetId="1">#REF!</definedName>
    <definedName name="_28CompDate_4_1">#REF!</definedName>
    <definedName name="_29" localSheetId="1">#REF!</definedName>
    <definedName name="_29">#REF!</definedName>
    <definedName name="_29conf_4_1" localSheetId="1">#REF!</definedName>
    <definedName name="_29conf_4_1">#REF!</definedName>
    <definedName name="_3" localSheetId="1">#REF!</definedName>
    <definedName name="_3">#REF!</definedName>
    <definedName name="_3_l_1" localSheetId="1">#REF!</definedName>
    <definedName name="_3_l_1">#REF!</definedName>
    <definedName name="_30" localSheetId="1">#REF!</definedName>
    <definedName name="_30">#REF!</definedName>
    <definedName name="_30cd___Horizontal_Strobe_light_speaker__wall_mounted" localSheetId="1">#REF!</definedName>
    <definedName name="_30cd___Horizontal_Strobe_light_speaker__wall_mounted">#REF!</definedName>
    <definedName name="_30cd__Vertical_strobe_light__wall_mounted" localSheetId="1">#REF!</definedName>
    <definedName name="_30cd__Vertical_strobe_light__wall_mounted">#REF!</definedName>
    <definedName name="_30ContAmt_4_1" localSheetId="1">#REF!</definedName>
    <definedName name="_30ContAmt_4_1">#REF!</definedName>
    <definedName name="_31" localSheetId="1">#REF!</definedName>
    <definedName name="_31">#REF!</definedName>
    <definedName name="_31ContWithAcct_4_1" localSheetId="1">#REF!</definedName>
    <definedName name="_31ContWithAcct_4_1">#REF!</definedName>
    <definedName name="_32" localSheetId="1">#REF!</definedName>
    <definedName name="_32">#REF!</definedName>
    <definedName name="_32ContWithName_4_1" localSheetId="1">#REF!</definedName>
    <definedName name="_32ContWithName_4_1">#REF!</definedName>
    <definedName name="_33" localSheetId="1">#REF!</definedName>
    <definedName name="_33">#REF!</definedName>
    <definedName name="_33ContWithPrio_4_1" localSheetId="1">#REF!</definedName>
    <definedName name="_33ContWithPrio_4_1">#REF!</definedName>
    <definedName name="_34" localSheetId="1">#REF!</definedName>
    <definedName name="_34">#REF!</definedName>
    <definedName name="_34ContWithPrio_Text_4_1" localSheetId="1">#REF!</definedName>
    <definedName name="_34ContWithPrio_Text_4_1">#REF!</definedName>
    <definedName name="_35" localSheetId="1">#REF!</definedName>
    <definedName name="_35">#REF!</definedName>
    <definedName name="_35CONum_4_1" localSheetId="1">#REF!</definedName>
    <definedName name="_35CONum_4_1">#REF!</definedName>
    <definedName name="_36" localSheetId="1">#REF!</definedName>
    <definedName name="_36">#REF!</definedName>
    <definedName name="_36CorpClient_4_1" localSheetId="1">#REF!</definedName>
    <definedName name="_36CorpClient_4_1">#REF!</definedName>
    <definedName name="_37" localSheetId="1">#REF!</definedName>
    <definedName name="_37">#REF!</definedName>
    <definedName name="_37CorpClient_Text_4_1" localSheetId="1">#REF!</definedName>
    <definedName name="_37CorpClient_Text_4_1">#REF!</definedName>
    <definedName name="_38" localSheetId="1">#REF!</definedName>
    <definedName name="_38">#REF!</definedName>
    <definedName name="_38CURR_4_1" localSheetId="1">#REF!</definedName>
    <definedName name="_38CURR_4_1">#REF!</definedName>
    <definedName name="_39" localSheetId="1">#REF!</definedName>
    <definedName name="_39">#REF!</definedName>
    <definedName name="_39CurrencyRate_4_1" localSheetId="1">#REF!</definedName>
    <definedName name="_39CurrencyRate_4_1">#REF!</definedName>
    <definedName name="_4" localSheetId="1">#REF!</definedName>
    <definedName name="_4">#REF!</definedName>
    <definedName name="_4_l_4_1" localSheetId="1">#REF!</definedName>
    <definedName name="_4_l_4_1">#REF!</definedName>
    <definedName name="_40" localSheetId="1">#REF!</definedName>
    <definedName name="_40">#REF!</definedName>
    <definedName name="_40dim4_4_1" localSheetId="1">#REF!</definedName>
    <definedName name="_40dim4_4_1">#REF!</definedName>
    <definedName name="_41" localSheetId="1">#REF!</definedName>
    <definedName name="_41">#REF!</definedName>
    <definedName name="_41EngAddress_4_1" localSheetId="1">#REF!</definedName>
    <definedName name="_41EngAddress_4_1">#REF!</definedName>
    <definedName name="_42" localSheetId="1">#REF!</definedName>
    <definedName name="_42">#REF!</definedName>
    <definedName name="_42EngCity_4_1" localSheetId="1">#REF!</definedName>
    <definedName name="_42EngCity_4_1">#REF!</definedName>
    <definedName name="_43" localSheetId="1">#REF!</definedName>
    <definedName name="_43">#REF!</definedName>
    <definedName name="_43EngName_4_1" localSheetId="1">#REF!</definedName>
    <definedName name="_43EngName_4_1">#REF!</definedName>
    <definedName name="_44" localSheetId="1">#REF!</definedName>
    <definedName name="_44">#REF!</definedName>
    <definedName name="_44EngPostal_4_1" localSheetId="1">#REF!</definedName>
    <definedName name="_44EngPostal_4_1">#REF!</definedName>
    <definedName name="_45" localSheetId="1">#REF!</definedName>
    <definedName name="_45">#REF!</definedName>
    <definedName name="_45EngPrio_4_1" localSheetId="1">#REF!</definedName>
    <definedName name="_45EngPrio_4_1">#REF!</definedName>
    <definedName name="_46" localSheetId="1">#REF!</definedName>
    <definedName name="_46">#REF!</definedName>
    <definedName name="_46EngPrio_Text_4_1" localSheetId="1">#REF!</definedName>
    <definedName name="_46EngPrio_Text_4_1">#REF!</definedName>
    <definedName name="_47" localSheetId="1">#REF!</definedName>
    <definedName name="_47">#REF!</definedName>
    <definedName name="_47EngState_4_1" localSheetId="1">#REF!</definedName>
    <definedName name="_47EngState_4_1">#REF!</definedName>
    <definedName name="_48" localSheetId="1">#REF!</definedName>
    <definedName name="_48">#REF!</definedName>
    <definedName name="_48EstCost_4_1" localSheetId="1">#REF!</definedName>
    <definedName name="_48EstCost_4_1">#REF!</definedName>
    <definedName name="_49" localSheetId="1">#REF!</definedName>
    <definedName name="_49">#REF!</definedName>
    <definedName name="_49eu_4_1" localSheetId="1">#REF!</definedName>
    <definedName name="_49eu_4_1">#REF!</definedName>
    <definedName name="_5" localSheetId="1">#REF!</definedName>
    <definedName name="_5">#REF!</definedName>
    <definedName name="_5_p_1" localSheetId="1">#REF!</definedName>
    <definedName name="_5_p_1">#REF!</definedName>
    <definedName name="_50" localSheetId="1">#REF!</definedName>
    <definedName name="_50">#REF!</definedName>
    <definedName name="_50Excel_BuiltIn_Print_Area_1" localSheetId="1">#REF!</definedName>
    <definedName name="_50Excel_BuiltIn_Print_Area_1">#REF!</definedName>
    <definedName name="_51" localSheetId="1">#REF!</definedName>
    <definedName name="_51">#REF!</definedName>
    <definedName name="_51Excel_BuiltIn_Print_Titles_3_4_1" localSheetId="1">#REF!</definedName>
    <definedName name="_51Excel_BuiltIn_Print_Titles_3_4_1">#REF!</definedName>
    <definedName name="_52" localSheetId="1">#REF!</definedName>
    <definedName name="_52">#REF!</definedName>
    <definedName name="_52FiscalIDNum_4_1" localSheetId="1">#REF!</definedName>
    <definedName name="_52FiscalIDNum_4_1">#REF!</definedName>
    <definedName name="_53" localSheetId="1">#REF!</definedName>
    <definedName name="_53">#REF!</definedName>
    <definedName name="_53FormTitle_4_1" localSheetId="1">#REF!</definedName>
    <definedName name="_53FormTitle_4_1">#REF!</definedName>
    <definedName name="_54" localSheetId="1">#REF!</definedName>
    <definedName name="_54">#REF!</definedName>
    <definedName name="_54GMAmount_4_1" localSheetId="1">#REF!</definedName>
    <definedName name="_54GMAmount_4_1">#REF!</definedName>
    <definedName name="_55" localSheetId="1">#REF!</definedName>
    <definedName name="_55">#REF!</definedName>
    <definedName name="_55GMPercent_4_1" localSheetId="1">#REF!</definedName>
    <definedName name="_55GMPercent_4_1">#REF!</definedName>
    <definedName name="_56" localSheetId="1">#REF!</definedName>
    <definedName name="_56">#REF!</definedName>
    <definedName name="_56Headings_4_1" localSheetId="1">#REF!</definedName>
    <definedName name="_56Headings_4_1">#REF!</definedName>
    <definedName name="_57" localSheetId="1">#REF!</definedName>
    <definedName name="_57">#REF!</definedName>
    <definedName name="_57indf_4_1" localSheetId="1">#REF!</definedName>
    <definedName name="_57indf_4_1">#REF!</definedName>
    <definedName name="_58" localSheetId="1">#REF!</definedName>
    <definedName name="_58">#REF!</definedName>
    <definedName name="_58InstBillingMethod_4_1" localSheetId="1">#REF!</definedName>
    <definedName name="_58InstBillingMethod_4_1">#REF!</definedName>
    <definedName name="_59" localSheetId="1">#REF!</definedName>
    <definedName name="_59">#REF!</definedName>
    <definedName name="_59instf_4_1" localSheetId="1">#REF!</definedName>
    <definedName name="_59instf_4_1">#REF!</definedName>
    <definedName name="_6" localSheetId="1">#REF!</definedName>
    <definedName name="_6">#REF!</definedName>
    <definedName name="_6_p_4_1" localSheetId="1">#REF!</definedName>
    <definedName name="_6_p_4_1">#REF!</definedName>
    <definedName name="_60" localSheetId="1">#REF!</definedName>
    <definedName name="_60">#REF!</definedName>
    <definedName name="_60MarketType_4_1" localSheetId="1">#REF!</definedName>
    <definedName name="_60MarketType_4_1">#REF!</definedName>
    <definedName name="_61" localSheetId="1">#REF!</definedName>
    <definedName name="_61">#REF!</definedName>
    <definedName name="_61MarketType_Text_4_1" localSheetId="1">#REF!</definedName>
    <definedName name="_61MarketType_Text_4_1">#REF!</definedName>
    <definedName name="_62" localSheetId="1">#REF!</definedName>
    <definedName name="_62">#REF!</definedName>
    <definedName name="_62nonmodular_4_1" localSheetId="1">#REF!</definedName>
    <definedName name="_62nonmodular_4_1">#REF!</definedName>
    <definedName name="_63" localSheetId="1">#REF!</definedName>
    <definedName name="_63">#REF!</definedName>
    <definedName name="_63OwnAcctNum_4_1" localSheetId="1">#REF!</definedName>
    <definedName name="_63OwnAcctNum_4_1">#REF!</definedName>
    <definedName name="_64" localSheetId="1">#REF!</definedName>
    <definedName name="_64">#REF!</definedName>
    <definedName name="_64po_4_1" localSheetId="1">#REF!</definedName>
    <definedName name="_64po_4_1">#REF!</definedName>
    <definedName name="_65" localSheetId="1">#REF!</definedName>
    <definedName name="_65">#REF!</definedName>
    <definedName name="_65PrimeAddress_4_1" localSheetId="1">#REF!</definedName>
    <definedName name="_65PrimeAddress_4_1">#REF!</definedName>
    <definedName name="_66" localSheetId="1">#REF!</definedName>
    <definedName name="_66">#REF!</definedName>
    <definedName name="_66PrimeCity_4_1" localSheetId="1">#REF!</definedName>
    <definedName name="_66PrimeCity_4_1">#REF!</definedName>
    <definedName name="_67" localSheetId="1">#REF!</definedName>
    <definedName name="_67">#REF!</definedName>
    <definedName name="_67PrimeName_4_1" localSheetId="1">#REF!</definedName>
    <definedName name="_67PrimeName_4_1">#REF!</definedName>
    <definedName name="_68" localSheetId="1">#REF!</definedName>
    <definedName name="_68">#REF!</definedName>
    <definedName name="_68PrimePostal_4_1" localSheetId="1">#REF!</definedName>
    <definedName name="_68PrimePostal_4_1">#REF!</definedName>
    <definedName name="_69" localSheetId="1">#REF!</definedName>
    <definedName name="_69">#REF!</definedName>
    <definedName name="_69PrimePrio_4_1" localSheetId="1">#REF!</definedName>
    <definedName name="_69PrimePrio_4_1">#REF!</definedName>
    <definedName name="_7" localSheetId="1">#REF!</definedName>
    <definedName name="_7">#REF!</definedName>
    <definedName name="_70" localSheetId="1">#REF!</definedName>
    <definedName name="_70">#REF!</definedName>
    <definedName name="_70PrimePrio_Text_4_1" localSheetId="1">#REF!</definedName>
    <definedName name="_70PrimePrio_Text_4_1">#REF!</definedName>
    <definedName name="_71" localSheetId="1">#REF!</definedName>
    <definedName name="_71">#REF!</definedName>
    <definedName name="_71PrimeState_4_1" localSheetId="1">#REF!</definedName>
    <definedName name="_71PrimeState_4_1">#REF!</definedName>
    <definedName name="_72" localSheetId="1">#REF!</definedName>
    <definedName name="_72">#REF!</definedName>
    <definedName name="_72PRINT_AREA_MI_4_1" localSheetId="1">#REF!</definedName>
    <definedName name="_72PRINT_AREA_MI_4_1">#REF!</definedName>
    <definedName name="_73" localSheetId="1">#REF!</definedName>
    <definedName name="_73">#REF!</definedName>
    <definedName name="_73PROD_4_1" localSheetId="1">#REF!</definedName>
    <definedName name="_73PROD_4_1">#REF!</definedName>
    <definedName name="_74" localSheetId="1">#REF!</definedName>
    <definedName name="_74">#REF!</definedName>
    <definedName name="_74ProdCode1_4_1" localSheetId="1">#REF!</definedName>
    <definedName name="_74ProdCode1_4_1">#REF!</definedName>
    <definedName name="_75" localSheetId="1">#REF!</definedName>
    <definedName name="_75">#REF!</definedName>
    <definedName name="_75ProdCode1_Text_4_1" localSheetId="1">#REF!</definedName>
    <definedName name="_75ProdCode1_Text_4_1">#REF!</definedName>
    <definedName name="_76ProdCode2_4_1" localSheetId="1">#REF!</definedName>
    <definedName name="_76ProdCode2_4_1">#REF!</definedName>
    <definedName name="_77ProdCode2_Text_4_1" localSheetId="1">#REF!</definedName>
    <definedName name="_77ProdCode2_Text_4_1">#REF!</definedName>
    <definedName name="_78ProdCode3_4_1">#REF!</definedName>
    <definedName name="_79ProdCode3_Text_4_1">#REF!</definedName>
    <definedName name="_7AcctName_4_1">#REF!</definedName>
    <definedName name="_8" localSheetId="1">#REF!</definedName>
    <definedName name="_8">#REF!</definedName>
    <definedName name="_80ProdCode4_4_1" localSheetId="1">#REF!</definedName>
    <definedName name="_80ProdCode4_4_1">#REF!</definedName>
    <definedName name="_81ProdCode4_Text_4_1" localSheetId="1">#REF!</definedName>
    <definedName name="_81ProdCode4_Text_4_1">#REF!</definedName>
    <definedName name="_82ProdCode5_4_1" localSheetId="1">#REF!</definedName>
    <definedName name="_82ProdCode5_4_1">#REF!</definedName>
    <definedName name="_83ProdCode5_Text_4_1">#REF!</definedName>
    <definedName name="_84ProdPct1_4_1">#REF!</definedName>
    <definedName name="_85ProdPct2_4_1">#REF!</definedName>
    <definedName name="_86ProdPct3_4_1">#REF!</definedName>
    <definedName name="_87ProdPct4_4_1">#REF!</definedName>
    <definedName name="_88ProdPct5_4_1">#REF!</definedName>
    <definedName name="_89ProjAddress1_4_1">#REF!</definedName>
    <definedName name="_8AcctPrio_4_1">#REF!</definedName>
    <definedName name="_9" localSheetId="1">#REF!</definedName>
    <definedName name="_9">#REF!</definedName>
    <definedName name="_90ProjAddress2_4_1" localSheetId="1">#REF!</definedName>
    <definedName name="_90ProjAddress2_4_1">#REF!</definedName>
    <definedName name="_91ProjCity_4_1" localSheetId="1">#REF!</definedName>
    <definedName name="_91ProjCity_4_1">#REF!</definedName>
    <definedName name="_92ProjCountry_4_1" localSheetId="1">#REF!</definedName>
    <definedName name="_92ProjCountry_4_1">#REF!</definedName>
    <definedName name="_93ProjCounty_4_1">#REF!</definedName>
    <definedName name="_94ProjName_4_1">#REF!</definedName>
    <definedName name="_95ProjNum_4_1">#REF!</definedName>
    <definedName name="_96ProjPostal_4_1">#REF!</definedName>
    <definedName name="_97ProjState_4_1">#REF!</definedName>
    <definedName name="_98PSABillingMethod_4_1">#REF!</definedName>
    <definedName name="_99rim4_4_1">#REF!</definedName>
    <definedName name="_9AcctPrio_Text_4_1">#REF!</definedName>
    <definedName name="_a">#REF!</definedName>
    <definedName name="_a_4">#REF!</definedName>
    <definedName name="_a_6">#REF!</definedName>
    <definedName name="_A1">#REF!</definedName>
    <definedName name="_A31" localSheetId="1">#REF!</definedName>
    <definedName name="_A31">#REF!</definedName>
    <definedName name="_AA1" localSheetId="1">#REF!</definedName>
    <definedName name="_AA1">#REF!</definedName>
    <definedName name="_aj1" localSheetId="1">#REF!</definedName>
    <definedName name="_aj1">#REF!</definedName>
    <definedName name="_alt1">#REF!</definedName>
    <definedName name="_ALT2">#REF!</definedName>
    <definedName name="_ALT3">#REF!</definedName>
    <definedName name="_ALT4">#REF!</definedName>
    <definedName name="_b1">#REF!</definedName>
    <definedName name="_B100000">#REF!</definedName>
    <definedName name="_b111121">#REF!</definedName>
    <definedName name="_bak151" localSheetId="1">#REF!</definedName>
    <definedName name="_bak151">#REF!</definedName>
    <definedName name="_bol1" localSheetId="1">#REF!</definedName>
    <definedName name="_bol1">#REF!</definedName>
    <definedName name="_C" localSheetId="1">#REF!</definedName>
    <definedName name="_C">#REF!</definedName>
    <definedName name="_C___0" localSheetId="1">#REF!</definedName>
    <definedName name="_C___0">#REF!</definedName>
    <definedName name="_C___13">#REF!</definedName>
    <definedName name="_C_1">#REF!</definedName>
    <definedName name="_can430">40.73</definedName>
    <definedName name="_can435">43.3</definedName>
    <definedName name="_cbd148" localSheetId="1">#REF!</definedName>
    <definedName name="_cbd148">#REF!</definedName>
    <definedName name="_dcd3" localSheetId="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dcd3" localSheetId="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dcd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dfS2">#REF!</definedName>
    <definedName name="_DIA1" localSheetId="1">#REF!</definedName>
    <definedName name="_DIA1">#REF!</definedName>
    <definedName name="_dia10">#REF!</definedName>
    <definedName name="_dia12">#REF!</definedName>
    <definedName name="_dia16">#REF!</definedName>
    <definedName name="_DIA2" localSheetId="1">#REF!</definedName>
    <definedName name="_DIA2">#REF!</definedName>
    <definedName name="_dia20">#REF!</definedName>
    <definedName name="_dia25">#REF!</definedName>
    <definedName name="_dia8">#REF!</definedName>
    <definedName name="_dim4" localSheetId="1">#REF!</definedName>
    <definedName name="_dim4">#REF!</definedName>
    <definedName name="_DSF4">Scheduled_Payment+Extra_Payment</definedName>
    <definedName name="_fab1" localSheetId="1">#REF!</definedName>
    <definedName name="_fab1">#REF!</definedName>
    <definedName name="_Fill" localSheetId="1" hidden="1">#REF!</definedName>
    <definedName name="_Fill" localSheetId="4" hidden="1">#REF!</definedName>
    <definedName name="_Fill" hidden="1">#REF!</definedName>
    <definedName name="_xlnm._FilterDatabase" localSheetId="1" hidden="1">#REF!</definedName>
    <definedName name="_xlnm._FilterDatabase" localSheetId="4" hidden="1">#REF!</definedName>
    <definedName name="_xlnm._FilterDatabase" hidden="1">#REF!</definedName>
    <definedName name="_FLG2" localSheetId="1">#REF!</definedName>
    <definedName name="_FLG2">#REF!</definedName>
    <definedName name="_G72228" localSheetId="1">#REF!</definedName>
    <definedName name="_G72228">#REF!</definedName>
    <definedName name="_hf">#REF!</definedName>
    <definedName name="_ig541" localSheetId="1">#REF!</definedName>
    <definedName name="_ig541">#REF!</definedName>
    <definedName name="_iv66666" localSheetId="1">#REF!</definedName>
    <definedName name="_iv66666">#REF!</definedName>
    <definedName name="_Ki1">#REF!</definedName>
    <definedName name="_Ki2">#REF!</definedName>
    <definedName name="_kp1" localSheetId="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kp1" localSheetId="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kp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kp2" localSheetId="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kp2" localSheetId="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kp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l" localSheetId="1">#REF!</definedName>
    <definedName name="_l">#REF!</definedName>
    <definedName name="_l_4" localSheetId="1">#REF!</definedName>
    <definedName name="_l_4">#REF!</definedName>
    <definedName name="_l_6" localSheetId="1">#REF!</definedName>
    <definedName name="_l_6">#REF!</definedName>
    <definedName name="_MAN1">#REF!</definedName>
    <definedName name="_MS010">#REF!</definedName>
    <definedName name="_Order1" hidden="1">255</definedName>
    <definedName name="_p" localSheetId="1">#REF!</definedName>
    <definedName name="_p">#REF!</definedName>
    <definedName name="_p_4" localSheetId="1">#REF!</definedName>
    <definedName name="_p_4">#REF!</definedName>
    <definedName name="_p_6" localSheetId="1">#REF!</definedName>
    <definedName name="_p_6">#REF!</definedName>
    <definedName name="_PB1">#REF!</definedName>
    <definedName name="_PO1">#REF!</definedName>
    <definedName name="_PO2">#REF!</definedName>
    <definedName name="_rim4">#REF!</definedName>
    <definedName name="_rm4">#REF!</definedName>
    <definedName name="_sdb2">#REF!</definedName>
    <definedName name="_TB2" localSheetId="1">#REF!</definedName>
    <definedName name="_TB2">#REF!</definedName>
    <definedName name="_UGF1">#REF!</definedName>
    <definedName name="_zz65536" localSheetId="1">#REF!</definedName>
    <definedName name="_zz65536">#REF!</definedName>
    <definedName name="a" localSheetId="1">#REF!</definedName>
    <definedName name="a">#REF!</definedName>
    <definedName name="a___0" localSheetId="1">#REF!</definedName>
    <definedName name="a___0">#REF!</definedName>
    <definedName name="a___13">#REF!</definedName>
    <definedName name="A1_" localSheetId="1">#REF!</definedName>
    <definedName name="A1_">#REF!</definedName>
    <definedName name="A1____0" localSheetId="1">#REF!</definedName>
    <definedName name="A1____0">#REF!</definedName>
    <definedName name="A1____13">#REF!</definedName>
    <definedName name="A10_">#REF!</definedName>
    <definedName name="A10____0">#REF!</definedName>
    <definedName name="A10____13">#REF!</definedName>
    <definedName name="A13_">#REF!</definedName>
    <definedName name="A13____0">#REF!</definedName>
    <definedName name="A13____13">#REF!</definedName>
    <definedName name="A1595H50" localSheetId="1">#REF!</definedName>
    <definedName name="A1595H50">#REF!</definedName>
    <definedName name="A2_" localSheetId="1">#REF!</definedName>
    <definedName name="A2_">#REF!</definedName>
    <definedName name="A2____0" localSheetId="1">#REF!</definedName>
    <definedName name="A2____0">#REF!</definedName>
    <definedName name="A2____13" localSheetId="1">#REF!</definedName>
    <definedName name="A2____13">#REF!</definedName>
    <definedName name="A3_">#REF!</definedName>
    <definedName name="A3____0">#REF!</definedName>
    <definedName name="A3____13">#REF!</definedName>
    <definedName name="A4_">#REF!</definedName>
    <definedName name="A4____0">#REF!</definedName>
    <definedName name="A4____13">#REF!</definedName>
    <definedName name="A5_">#REF!</definedName>
    <definedName name="A5____0">#REF!</definedName>
    <definedName name="A5____13">#REF!</definedName>
    <definedName name="A6_">#REF!</definedName>
    <definedName name="A6____0">#REF!</definedName>
    <definedName name="A6____13">#REF!</definedName>
    <definedName name="A7_">#REF!</definedName>
    <definedName name="A7____0">#REF!</definedName>
    <definedName name="A7____13">#REF!</definedName>
    <definedName name="A8_">#REF!</definedName>
    <definedName name="A8____0">#REF!</definedName>
    <definedName name="A8____13">#REF!</definedName>
    <definedName name="A9_">#REF!</definedName>
    <definedName name="A9____0">#REF!</definedName>
    <definedName name="A9____13">#REF!</definedName>
    <definedName name="AA">#REF!</definedName>
    <definedName name="AAA">#REF!</definedName>
    <definedName name="aaaaaaaaaaaaaaaaa">#REF!</definedName>
    <definedName name="aaasa">#REF!</definedName>
    <definedName name="aad">#REF!</definedName>
    <definedName name="aadawawdaW">#REF!</definedName>
    <definedName name="ab">#REF!</definedName>
    <definedName name="abc">#REF!</definedName>
    <definedName name="ABCD">#REF!</definedName>
    <definedName name="abcdefghij">#REF!</definedName>
    <definedName name="abs" localSheetId="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bs" localSheetId="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bs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bsr" localSheetId="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bsr" localSheetId="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bsr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bsrta" localSheetId="1">#REF!</definedName>
    <definedName name="Absrta">#REF!</definedName>
    <definedName name="Abst" localSheetId="1">#REF!</definedName>
    <definedName name="Abst">#REF!</definedName>
    <definedName name="ABSTRACT" localSheetId="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BSTRACT" localSheetId="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BSTRACT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bstractEB" localSheetId="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bstractEB" localSheetId="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bstractEB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c" localSheetId="1">#REF!</definedName>
    <definedName name="Ac">#REF!</definedName>
    <definedName name="acc" localSheetId="1">#REF!</definedName>
    <definedName name="acc">#REF!</definedName>
    <definedName name="Acc.Recon" localSheetId="1">#REF!</definedName>
    <definedName name="Acc.Recon">#REF!</definedName>
    <definedName name="AccessDatabase" hidden="1">"D:\MIS\TALLY  31.09.04 sep\AS PER TALLY 31.09.04.mdb"</definedName>
    <definedName name="accomation" localSheetId="1" hidden="1">#REF!</definedName>
    <definedName name="accomation" hidden="1">#REF!</definedName>
    <definedName name="accounts" localSheetId="1">#REF!</definedName>
    <definedName name="accounts">#REF!</definedName>
    <definedName name="AcctName" localSheetId="1">#REF!</definedName>
    <definedName name="AcctName">#REF!</definedName>
    <definedName name="AcctName_4">#REF!</definedName>
    <definedName name="AcctName_6">#REF!</definedName>
    <definedName name="AcctPrio">#REF!</definedName>
    <definedName name="AcctPrio_4">#REF!</definedName>
    <definedName name="AcctPrio_6">#REF!</definedName>
    <definedName name="AcctPrio_Text">#REF!</definedName>
    <definedName name="AcctPrio_Text_4">#REF!</definedName>
    <definedName name="AcctPrio_Text_6">#REF!</definedName>
    <definedName name="ACT">#REF!</definedName>
    <definedName name="Ad" localSheetId="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d" localSheetId="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d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DADAD" localSheetId="1">#REF!</definedName>
    <definedName name="ADADAD">#REF!</definedName>
    <definedName name="ADADASASDASD" localSheetId="1">#REF!</definedName>
    <definedName name="ADADASASDASD">#REF!</definedName>
    <definedName name="ADADDA" localSheetId="1">#REF!</definedName>
    <definedName name="ADADDA">#REF!</definedName>
    <definedName name="ADASASDASASDASDAS">#REF!</definedName>
    <definedName name="ADASASDASDASDAD">#REF!</definedName>
    <definedName name="ADASDASASDAS">#REF!</definedName>
    <definedName name="ADASDASDASDAS">#REF!</definedName>
    <definedName name="adf">#REF!</definedName>
    <definedName name="ADFADD">#REF!</definedName>
    <definedName name="adfadsff">#REF!</definedName>
    <definedName name="ADFASDAD">#REF!</definedName>
    <definedName name="adm" localSheetId="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dm" localSheetId="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dm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dminexp" localSheetId="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dminexp" localSheetId="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dminexp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dmn_off" localSheetId="1">#REF!</definedName>
    <definedName name="admn_off">#REF!</definedName>
    <definedName name="admn_site" localSheetId="1">#REF!</definedName>
    <definedName name="admn_site">#REF!</definedName>
    <definedName name="ADSAD" localSheetId="1">#REF!</definedName>
    <definedName name="ADSAD">#REF!</definedName>
    <definedName name="Ag" localSheetId="1">#REF!</definedName>
    <definedName name="Ag">#REF!</definedName>
    <definedName name="Ag___0" localSheetId="1">#REF!</definedName>
    <definedName name="Ag___0">#REF!</definedName>
    <definedName name="Ag___13" localSheetId="1">#REF!</definedName>
    <definedName name="Ag___13">#REF!</definedName>
    <definedName name="agdfjk" localSheetId="1">#REF!</definedName>
    <definedName name="agdfjk">#REF!</definedName>
    <definedName name="aham" localSheetId="1">#REF!</definedName>
    <definedName name="aham">#REF!</definedName>
    <definedName name="ahu" localSheetId="1">#REF!</definedName>
    <definedName name="ahu">#REF!</definedName>
    <definedName name="aj" localSheetId="1">#REF!</definedName>
    <definedName name="aj">#REF!</definedName>
    <definedName name="aji" localSheetId="1">#REF!</definedName>
    <definedName name="aji">#REF!</definedName>
    <definedName name="ajitha" localSheetId="1">#REF!</definedName>
    <definedName name="ajitha">#REF!</definedName>
    <definedName name="Alarm_current_Amp_In_Minutes">#REF!</definedName>
    <definedName name="alpha">#REF!</definedName>
    <definedName name="alphabet" localSheetId="1">#REF!</definedName>
    <definedName name="alphabet">#REF!</definedName>
    <definedName name="Aluminium">#REF!</definedName>
    <definedName name="Alw">#REF!</definedName>
    <definedName name="AM_1">#REF!</definedName>
    <definedName name="ams">#REF!</definedName>
    <definedName name="anantha">#REF!</definedName>
    <definedName name="anch">#REF!</definedName>
    <definedName name="Anil148">#REF!</definedName>
    <definedName name="anil543">#REF!</definedName>
    <definedName name="ann">#REF!</definedName>
    <definedName name="anne">#REF!</definedName>
    <definedName name="annealing">#REF!</definedName>
    <definedName name="annealing1">#REF!</definedName>
    <definedName name="anscount" hidden="1">1</definedName>
    <definedName name="aoio" localSheetId="1">#REF!</definedName>
    <definedName name="aoio">#REF!</definedName>
    <definedName name="AP_1" localSheetId="1">#REF!</definedName>
    <definedName name="AP_1">#REF!</definedName>
    <definedName name="AP_2" localSheetId="1">#REF!</definedName>
    <definedName name="AP_2">#REF!</definedName>
    <definedName name="AP_3" localSheetId="1">#REF!</definedName>
    <definedName name="AP_3">#REF!</definedName>
    <definedName name="ARCHITECT________M_s" localSheetId="1">#REF!</definedName>
    <definedName name="ARCHITECT________M_s">#REF!</definedName>
    <definedName name="archon141" localSheetId="1">#REF!</definedName>
    <definedName name="archon141">#REF!</definedName>
    <definedName name="archon142" localSheetId="1">#REF!</definedName>
    <definedName name="archon142">#REF!</definedName>
    <definedName name="archon143" localSheetId="1">#REF!</definedName>
    <definedName name="archon143">#REF!</definedName>
    <definedName name="area" localSheetId="1">#REF!</definedName>
    <definedName name="area">#REF!</definedName>
    <definedName name="ARUN" localSheetId="1" hidden="1">#REF!</definedName>
    <definedName name="ARUN" hidden="1">#REF!</definedName>
    <definedName name="as" localSheetId="1">#REF!</definedName>
    <definedName name="as">#REF!</definedName>
    <definedName name="AS_PER_TALLY_31_09_04_ONYX_List1">#REF!</definedName>
    <definedName name="asas">#REF!</definedName>
    <definedName name="asd">#REF!</definedName>
    <definedName name="asdads">#REF!</definedName>
    <definedName name="asdas">#REF!</definedName>
    <definedName name="asdasd">#REF!</definedName>
    <definedName name="ASDASDASD">#REF!</definedName>
    <definedName name="asdd">#REF!</definedName>
    <definedName name="asdf">#REF!</definedName>
    <definedName name="asdfasdf" hidden="1">#REF!</definedName>
    <definedName name="asdfsa" hidden="1">#REF!</definedName>
    <definedName name="asdfsad">#REF!</definedName>
    <definedName name="asdfsadf" hidden="1">#REF!</definedName>
    <definedName name="asdfsdfd">#N/A</definedName>
    <definedName name="asdsdfsda" localSheetId="1">#REF!</definedName>
    <definedName name="asdsdfsda">#REF!</definedName>
    <definedName name="asf" localSheetId="1">#REF!</definedName>
    <definedName name="asf">#REF!</definedName>
    <definedName name="asha" localSheetId="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sha" localSheetId="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sha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SHOKA">#REF!</definedName>
    <definedName name="ass" localSheetId="1">#REF!</definedName>
    <definedName name="ass">#REF!</definedName>
    <definedName name="assadg" localSheetId="1" hidden="1">#REF!</definedName>
    <definedName name="assadg" hidden="1">#REF!</definedName>
    <definedName name="assd">#REF!</definedName>
    <definedName name="assfsdfs" localSheetId="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ssfsdfs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uxlp" localSheetId="1">#REF!</definedName>
    <definedName name="auxlp">#REF!</definedName>
    <definedName name="av" localSheetId="1">#REF!</definedName>
    <definedName name="av">#REF!</definedName>
    <definedName name="avi" localSheetId="1">#REF!</definedName>
    <definedName name="avi">#REF!</definedName>
    <definedName name="AWAWWWWAA" localSheetId="1">#REF!</definedName>
    <definedName name="AWAWWWWAA">#REF!</definedName>
    <definedName name="AWWEDWER">#REF!</definedName>
    <definedName name="B" localSheetId="1">#REF!</definedName>
    <definedName name="B">#REF!</definedName>
    <definedName name="B___0">#REF!</definedName>
    <definedName name="B___13">#REF!</definedName>
    <definedName name="b1210.">#REF!</definedName>
    <definedName name="B4a">#REF!</definedName>
    <definedName name="b5a">#REF!</definedName>
    <definedName name="b832.">#REF!</definedName>
    <definedName name="Backfilling">#REF!</definedName>
    <definedName name="BALCONY">#REF!</definedName>
    <definedName name="Base" hidden="1">#REF!</definedName>
    <definedName name="Basement" hidden="1">#REF!</definedName>
    <definedName name="BASIC" localSheetId="1">#REF!</definedName>
    <definedName name="BASIC">#REF!</definedName>
    <definedName name="bb" localSheetId="1">#REF!</definedName>
    <definedName name="bb">#REF!</definedName>
    <definedName name="bbbb" localSheetId="1">#REF!</definedName>
    <definedName name="bbbb">#REF!</definedName>
    <definedName name="bbbbbbbbbb" localSheetId="1" hidden="1">#REF!</definedName>
    <definedName name="bbbbbbbbbb" localSheetId="4" hidden="1">#REF!</definedName>
    <definedName name="bbbbbbbbbb" hidden="1">#REF!</definedName>
    <definedName name="BC">#REF!</definedName>
    <definedName name="BC_1" localSheetId="1">#REF!</definedName>
    <definedName name="BC_1">#REF!</definedName>
    <definedName name="bcbnn" localSheetId="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bcbnn" localSheetId="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bcbnn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bcvv" localSheetId="1">#REF!</definedName>
    <definedName name="bcvv">#REF!</definedName>
    <definedName name="bdbdb" localSheetId="1">#REF!</definedName>
    <definedName name="bdbdb">#REF!</definedName>
    <definedName name="be">#N/A</definedName>
    <definedName name="beam" localSheetId="1">#REF!</definedName>
    <definedName name="beam">#REF!</definedName>
    <definedName name="Beams" localSheetId="1">#REF!</definedName>
    <definedName name="Beams">#REF!</definedName>
    <definedName name="BEAMS2">#N/A</definedName>
    <definedName name="Beg_Bal" localSheetId="1">#REF!</definedName>
    <definedName name="Beg_Bal">#REF!</definedName>
    <definedName name="BELL__Polarised" localSheetId="1">#REF!</definedName>
    <definedName name="BELL__Polarised">#REF!</definedName>
    <definedName name="BEND" localSheetId="1">#REF!</definedName>
    <definedName name="BEND">#REF!</definedName>
    <definedName name="bends">#REF!</definedName>
    <definedName name="beta">#REF!</definedName>
    <definedName name="bfdx" hidden="1">#REF!</definedName>
    <definedName name="bgbb">#REF!</definedName>
    <definedName name="bggfgj" localSheetId="1">Scheduled_Payment+Extra_Payment</definedName>
    <definedName name="bggfgj">Scheduled_Payment+Extra_Payment</definedName>
    <definedName name="bhg" localSheetId="1">#REF!</definedName>
    <definedName name="bhg">#REF!</definedName>
    <definedName name="bhjbh" localSheetId="1">#REF!</definedName>
    <definedName name="bhjbh">#REF!</definedName>
    <definedName name="BidClass" localSheetId="1">#REF!</definedName>
    <definedName name="BidClass">#REF!</definedName>
    <definedName name="BidClass_4">#REF!</definedName>
    <definedName name="BidClass_6">#REF!</definedName>
    <definedName name="BidClass_Text">#REF!</definedName>
    <definedName name="BidClass_Text_4">#REF!</definedName>
    <definedName name="BidClass_Text_6">#REF!</definedName>
    <definedName name="BillingFreq">#REF!</definedName>
    <definedName name="BillingFreq_4">#REF!</definedName>
    <definedName name="BillingFreq_6">#REF!</definedName>
    <definedName name="BillingTiming">#REF!</definedName>
    <definedName name="BillingTiming_4">#REF!</definedName>
    <definedName name="BillingTiming_6">#REF!</definedName>
    <definedName name="bit">#REF!</definedName>
    <definedName name="bl">#REF!</definedName>
    <definedName name="block" localSheetId="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block" localSheetId="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block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block01" localSheetId="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block01" localSheetId="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block0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bn" localSheetId="1">#REF!</definedName>
    <definedName name="bn">#REF!</definedName>
    <definedName name="bol" localSheetId="1">#REF!</definedName>
    <definedName name="bol">#REF!</definedName>
    <definedName name="boml" localSheetId="1">#REF!</definedName>
    <definedName name="boml">#REF!</definedName>
    <definedName name="boml1">#REF!</definedName>
    <definedName name="boq">#REF!</definedName>
    <definedName name="bore">#REF!</definedName>
    <definedName name="botl">#REF!</definedName>
    <definedName name="botl1">#REF!</definedName>
    <definedName name="botn">#REF!</definedName>
    <definedName name="box_speaker">#REF!</definedName>
    <definedName name="BQ">#REF!</definedName>
    <definedName name="Breaks">#REF!</definedName>
    <definedName name="BSSRAILING" localSheetId="1">#REF!</definedName>
    <definedName name="BSSRAILING">#REF!</definedName>
    <definedName name="bua" localSheetId="1">#REF!</definedName>
    <definedName name="bua">#REF!</definedName>
    <definedName name="BUDDHA" localSheetId="1">#REF!</definedName>
    <definedName name="BUDDHA">#REF!</definedName>
    <definedName name="building" localSheetId="1">#REF!</definedName>
    <definedName name="building">#REF!</definedName>
    <definedName name="building___0">#REF!</definedName>
    <definedName name="building___11">#REF!</definedName>
    <definedName name="building___12">#REF!</definedName>
    <definedName name="BuiltIn_Print_Area">#REF!</definedName>
    <definedName name="BuiltIn_Print_Area___0">#REF!</definedName>
    <definedName name="BuiltIn_Print_Area___0___0">#REF!</definedName>
    <definedName name="BuiltIn_Print_Area___0_1">#REF!</definedName>
    <definedName name="BuiltIn_Print_Area___0_4">#REF!</definedName>
    <definedName name="BuiltIn_Print_Area_4">#REF!</definedName>
    <definedName name="BuiltIn_Print_Titles">#REF!</definedName>
    <definedName name="BuiltIn_Print_Titles___0">#N/A</definedName>
    <definedName name="BuiltIn_Print_Titles___0___0">#REF!</definedName>
    <definedName name="BuiltIn_Print_Titles_1">#REF!</definedName>
    <definedName name="BuiltIn_Print_Titles_4">#REF!</definedName>
    <definedName name="BusType">#REF!</definedName>
    <definedName name="BusType_4">#REF!</definedName>
    <definedName name="BusType_6">#REF!</definedName>
    <definedName name="BusType_Text">#REF!</definedName>
    <definedName name="BusType_Text_4">#REF!</definedName>
    <definedName name="BusType_Text_6">#REF!</definedName>
    <definedName name="Button_5">"AS_PER_TALLY_31_09_04_ONYX_List"</definedName>
    <definedName name="Button_7">"AS_PER_TALLY_31_09_04_ONYX_List1"</definedName>
    <definedName name="Button_8">"AS_PER_TALLY_31_09_04_ONYX_List1"</definedName>
    <definedName name="bv" localSheetId="1">#REF!</definedName>
    <definedName name="bv">#REF!</definedName>
    <definedName name="bvcvhcv" localSheetId="1">#REF!</definedName>
    <definedName name="bvcvhcv">#REF!</definedName>
    <definedName name="Bx" localSheetId="1">#REF!</definedName>
    <definedName name="Bx">#REF!</definedName>
    <definedName name="Bx___0">#REF!</definedName>
    <definedName name="Bx___13" localSheetId="1">#REF!</definedName>
    <definedName name="Bx___13">#REF!</definedName>
    <definedName name="bxnvxnd" localSheetId="1">#REF!</definedName>
    <definedName name="bxnvxnd">#REF!</definedName>
    <definedName name="CA_1">#REF!</definedName>
    <definedName name="CA_2">#REF!</definedName>
    <definedName name="CA_3">#REF!</definedName>
    <definedName name="ca1boq">#REF!</definedName>
    <definedName name="cab">#REF!</definedName>
    <definedName name="cab21.5tp">#REF!</definedName>
    <definedName name="cab21.5tp_4">#REF!</definedName>
    <definedName name="cab21.5tp_6">#REF!</definedName>
    <definedName name="cab21s">#REF!</definedName>
    <definedName name="cab21s_4">#REF!</definedName>
    <definedName name="cab21s_6">#REF!</definedName>
    <definedName name="cab21us">#REF!</definedName>
    <definedName name="cab21us_4">#REF!</definedName>
    <definedName name="cab21us_6">#REF!</definedName>
    <definedName name="cab31s">#REF!</definedName>
    <definedName name="cab31s_4">#REF!</definedName>
    <definedName name="cab31s_6">#REF!</definedName>
    <definedName name="cab31us">#REF!</definedName>
    <definedName name="cab31us_4">#REF!</definedName>
    <definedName name="cab31us_6">#REF!</definedName>
    <definedName name="cab41s">#REF!</definedName>
    <definedName name="cab41s_4">#REF!</definedName>
    <definedName name="cab41s_6">#REF!</definedName>
    <definedName name="cab41us">#REF!</definedName>
    <definedName name="cab41us_4">#REF!</definedName>
    <definedName name="cab41us_6">#REF!</definedName>
    <definedName name="cabf">#REF!</definedName>
    <definedName name="cabf_4">#REF!</definedName>
    <definedName name="cabf_6">#REF!</definedName>
    <definedName name="CABLE">#REF!</definedName>
    <definedName name="CABLE_4">#REF!</definedName>
    <definedName name="CABLE_6">#REF!</definedName>
    <definedName name="CALf">#REF!</definedName>
    <definedName name="CALf_4">#REF!</definedName>
    <definedName name="CALf_6">#REF!</definedName>
    <definedName name="cant" localSheetId="1">#REF!</definedName>
    <definedName name="cant">#REF!</definedName>
    <definedName name="capacity" localSheetId="1">#REF!</definedName>
    <definedName name="capacity">#REF!</definedName>
    <definedName name="capacity1" localSheetId="1">#REF!</definedName>
    <definedName name="capacity1">#REF!</definedName>
    <definedName name="capacity2" localSheetId="1">#REF!</definedName>
    <definedName name="capacity2">#REF!</definedName>
    <definedName name="capacity3">#REF!</definedName>
    <definedName name="capital">#REF!</definedName>
    <definedName name="carpet">#REF!</definedName>
    <definedName name="carpet___0">#REF!</definedName>
    <definedName name="carpet___11">#REF!</definedName>
    <definedName name="carpet___12">#REF!</definedName>
    <definedName name="Cash" localSheetId="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Cash" localSheetId="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Cash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cash_bank" localSheetId="1">#REF!</definedName>
    <definedName name="cash_bank">#REF!</definedName>
    <definedName name="CASH_OUT" localSheetId="1">#REF!</definedName>
    <definedName name="CASH_OUT">#REF!</definedName>
    <definedName name="Casual" localSheetId="1">#REF!</definedName>
    <definedName name="Casual">#REF!</definedName>
    <definedName name="category">#REF!</definedName>
    <definedName name="cb">#REF!</definedName>
    <definedName name="cbcbc" localSheetId="1">#REF!</definedName>
    <definedName name="cbcbc">#REF!</definedName>
    <definedName name="cbcbxc" localSheetId="1">#REF!</definedName>
    <definedName name="cbcbxc">#REF!</definedName>
    <definedName name="cbccb" localSheetId="1">#REF!</definedName>
    <definedName name="cbccb">#REF!</definedName>
    <definedName name="cbcvbcbc" localSheetId="1">#REF!</definedName>
    <definedName name="cbcvbcbc">#REF!</definedName>
    <definedName name="CC">#REF!</definedName>
    <definedName name="CCC" localSheetId="1">#REF!</definedName>
    <definedName name="CCC">#REF!</definedName>
    <definedName name="cccc" localSheetId="1">#REF!</definedName>
    <definedName name="cccc">#REF!</definedName>
    <definedName name="cd" localSheetId="1">#REF!</definedName>
    <definedName name="cd">#REF!</definedName>
    <definedName name="cdds" localSheetId="1">#REF!</definedName>
    <definedName name="cdds">#REF!</definedName>
    <definedName name="cdf" localSheetId="1">#REF!</definedName>
    <definedName name="cdf">#REF!</definedName>
    <definedName name="Ceiling_Plaster" localSheetId="1">#REF!</definedName>
    <definedName name="Ceiling_Plaster">#REF!</definedName>
    <definedName name="Ceiling_speaker">#REF!</definedName>
    <definedName name="Ceiling_Speaker_Unsupervised">#REF!</definedName>
    <definedName name="CENTER" localSheetId="1" hidden="1">#REF!</definedName>
    <definedName name="CENTER" hidden="1">#REF!</definedName>
    <definedName name="ch">#REF!</definedName>
    <definedName name="ChangeBy">#REF!</definedName>
    <definedName name="ChangeBy_4">#REF!</definedName>
    <definedName name="ChangeBy_6">#REF!</definedName>
    <definedName name="ChangeDate">#REF!</definedName>
    <definedName name="ChangeDate_4">#REF!</definedName>
    <definedName name="ChangeDate_6">#REF!</definedName>
    <definedName name="charles">#REF!</definedName>
    <definedName name="checked">#REF!</definedName>
    <definedName name="chiller">#REF!</definedName>
    <definedName name="ciff">#REF!</definedName>
    <definedName name="CIMM">#REF!</definedName>
    <definedName name="Cinnamon" localSheetId="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Cinnamon" localSheetId="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Cinnamon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civil" localSheetId="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civil" localSheetId="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civil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civil1" localSheetId="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civil1" localSheetId="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civil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ck" localSheetId="1">#REF!</definedName>
    <definedName name="ck">#REF!</definedName>
    <definedName name="ckd" localSheetId="1">#REF!</definedName>
    <definedName name="ckd">#REF!</definedName>
    <definedName name="cl" localSheetId="1">#REF!</definedName>
    <definedName name="cl">#REF!</definedName>
    <definedName name="Cleaning" localSheetId="1">#REF!</definedName>
    <definedName name="Cleaning">#REF!</definedName>
    <definedName name="ClientAddress1">#REF!</definedName>
    <definedName name="ClientAddress2">#REF!</definedName>
    <definedName name="ClientCity">#REF!</definedName>
    <definedName name="ClientCountry">#REF!</definedName>
    <definedName name="ClientEmail">#REF!</definedName>
    <definedName name="ClientFax">#REF!</definedName>
    <definedName name="ClientPhone">#REF!</definedName>
    <definedName name="ClientState">#REF!</definedName>
    <definedName name="ClientZip">#REF!</definedName>
    <definedName name="clrf">#REF!</definedName>
    <definedName name="CO">#REF!</definedName>
    <definedName name="CO_1" localSheetId="1">#REF!</definedName>
    <definedName name="CO_1">#REF!</definedName>
    <definedName name="coimbatore" localSheetId="1">#REF!</definedName>
    <definedName name="coimbatore">#REF!</definedName>
    <definedName name="col" localSheetId="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col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col___0" localSheetId="1">#REF!</definedName>
    <definedName name="col___0">#REF!</definedName>
    <definedName name="col___11" localSheetId="1">#REF!</definedName>
    <definedName name="col___11">#REF!</definedName>
    <definedName name="col___12" localSheetId="1">#REF!</definedName>
    <definedName name="col___12">#REF!</definedName>
    <definedName name="coloumnR1" localSheetId="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coloumnR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Column" localSheetId="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Column" localSheetId="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Column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ColumnReft" localSheetId="1">#REF!</definedName>
    <definedName name="ColumnReft">#REF!</definedName>
    <definedName name="Columns" localSheetId="1">#REF!</definedName>
    <definedName name="Columns">#REF!</definedName>
    <definedName name="Company" localSheetId="1">#REF!</definedName>
    <definedName name="Company">#REF!</definedName>
    <definedName name="CompDate">#REF!</definedName>
    <definedName name="CompDate_4">#REF!</definedName>
    <definedName name="CompDate_6">#REF!</definedName>
    <definedName name="con">#REF!</definedName>
    <definedName name="condf">#REF!</definedName>
    <definedName name="conf">#REF!</definedName>
    <definedName name="conf_4">#REF!</definedName>
    <definedName name="conf_6">#REF!</definedName>
    <definedName name="confli">#REF!</definedName>
    <definedName name="constrn">#REF!</definedName>
    <definedName name="Construction_Period">#REF!</definedName>
    <definedName name="consumables" localSheetId="1">#REF!</definedName>
    <definedName name="consumables">#REF!</definedName>
    <definedName name="cont" localSheetId="1">#REF!</definedName>
    <definedName name="cont">#REF!</definedName>
    <definedName name="Contact" localSheetId="1">#REF!</definedName>
    <definedName name="Contact">#REF!</definedName>
    <definedName name="ContAmt" localSheetId="1">#REF!</definedName>
    <definedName name="ContAmt">#REF!</definedName>
    <definedName name="ContAmt_4">#REF!</definedName>
    <definedName name="ContAmt_6">#REF!</definedName>
    <definedName name="ContWithAcct">#REF!</definedName>
    <definedName name="ContWithAcct_4">#REF!</definedName>
    <definedName name="ContWithAcct_6">#REF!</definedName>
    <definedName name="ContWithName">#REF!</definedName>
    <definedName name="ContWithName_4">#REF!</definedName>
    <definedName name="ContWithName_6">#REF!</definedName>
    <definedName name="ContWithPrio">#REF!</definedName>
    <definedName name="ContWithPrio_4">#REF!</definedName>
    <definedName name="ContWithPrio_6">#REF!</definedName>
    <definedName name="ContWithPrio_Text">#REF!</definedName>
    <definedName name="ContWithPrio_Text_4">#REF!</definedName>
    <definedName name="ContWithPrio_Text_6">#REF!</definedName>
    <definedName name="CONum">#REF!</definedName>
    <definedName name="CONum_4">#REF!</definedName>
    <definedName name="CONum_6">#REF!</definedName>
    <definedName name="copper">#REF!</definedName>
    <definedName name="copy">#REF!</definedName>
    <definedName name="CorpClient">#REF!</definedName>
    <definedName name="CorpClient_4">#REF!</definedName>
    <definedName name="CorpClient_6">#REF!</definedName>
    <definedName name="CorpClient_Text">#REF!</definedName>
    <definedName name="CorpClient_Text_4">#REF!</definedName>
    <definedName name="CorpClient_Text_6">#REF!</definedName>
    <definedName name="CORRI">#REF!</definedName>
    <definedName name="cost">#REF!</definedName>
    <definedName name="costcomparision" localSheetId="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costcomparision" localSheetId="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costcomparision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COU" localSheetId="1">#REF!</definedName>
    <definedName name="COU">#REF!</definedName>
    <definedName name="COU___0" localSheetId="1">#REF!</definedName>
    <definedName name="COU___0">#REF!</definedName>
    <definedName name="COU___13" localSheetId="1">#REF!</definedName>
    <definedName name="COU___13">#REF!</definedName>
    <definedName name="COVER_FOR_SLAB">#REF!</definedName>
    <definedName name="cp" localSheetId="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cp" localSheetId="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cp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xlnm.Criteria" localSheetId="1">#REF!</definedName>
    <definedName name="_xlnm.Criteria">#REF!</definedName>
    <definedName name="crsobpl" localSheetId="1">#REF!</definedName>
    <definedName name="crsobpl">#REF!</definedName>
    <definedName name="CS">#REF!</definedName>
    <definedName name="Cs___0" localSheetId="1">#REF!</definedName>
    <definedName name="Cs___0">#REF!</definedName>
    <definedName name="Cs___13" localSheetId="1">#REF!</definedName>
    <definedName name="Cs___13">#REF!</definedName>
    <definedName name="cscsd" localSheetId="1">#REF!</definedName>
    <definedName name="cscsd">#REF!</definedName>
    <definedName name="cstf" localSheetId="1">#REF!</definedName>
    <definedName name="cstf">#REF!</definedName>
    <definedName name="CURR" localSheetId="1">#REF!</definedName>
    <definedName name="CURR">#REF!</definedName>
    <definedName name="CURR_4" localSheetId="1">#REF!</definedName>
    <definedName name="CURR_4">#REF!</definedName>
    <definedName name="CURR_6">#REF!</definedName>
    <definedName name="curr_liab_prov">#REF!</definedName>
    <definedName name="CurrencyRate">#REF!</definedName>
    <definedName name="CurrencyRate_4">#REF!</definedName>
    <definedName name="CurrencyRate_6">#REF!</definedName>
    <definedName name="current1">#REF!</definedName>
    <definedName name="current2">#REF!</definedName>
    <definedName name="current3">#REF!</definedName>
    <definedName name="current4">#REF!</definedName>
    <definedName name="current5">#REF!</definedName>
    <definedName name="cv" localSheetId="1">#REF!</definedName>
    <definedName name="cv">#REF!</definedName>
    <definedName name="cvdf" localSheetId="1">#REF!</definedName>
    <definedName name="cvdf">#REF!</definedName>
    <definedName name="cx" localSheetId="1">#REF!</definedName>
    <definedName name="cx">#REF!</definedName>
    <definedName name="d" localSheetId="1">#REF!</definedName>
    <definedName name="d">#REF!</definedName>
    <definedName name="d___0">#REF!</definedName>
    <definedName name="d___13">#REF!</definedName>
    <definedName name="da" hidden="1">#REF!</definedName>
    <definedName name="dad">#REF!</definedName>
    <definedName name="daeawtwtg">#REF!</definedName>
    <definedName name="DAF" localSheetId="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DAF" localSheetId="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DAF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Daff" localSheetId="1">#REF!</definedName>
    <definedName name="Daff">#REF!</definedName>
    <definedName name="dasdaf" localSheetId="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dasdaf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Data" localSheetId="1">#REF!</definedName>
    <definedName name="Data">#REF!</definedName>
    <definedName name="_xlnm.Database" localSheetId="1">#REF!</definedName>
    <definedName name="_xlnm.Database">#REF!</definedName>
    <definedName name="Date" localSheetId="1">#REF!</definedName>
    <definedName name="Date">#REF!</definedName>
    <definedName name="db">#REF!</definedName>
    <definedName name="db___0">#REF!</definedName>
    <definedName name="db___13">#REF!</definedName>
    <definedName name="dc">#REF!</definedName>
    <definedName name="dcbcvbc">#REF!</definedName>
    <definedName name="dd">#REF!</definedName>
    <definedName name="ddd">#REF!</definedName>
    <definedName name="dddd">#REF!</definedName>
    <definedName name="ddddd">#REF!</definedName>
    <definedName name="dddddddd">#REF!</definedName>
    <definedName name="ddddddddd">#REF!</definedName>
    <definedName name="dddddddddd">#REF!</definedName>
    <definedName name="ddddddddddd">#REF!</definedName>
    <definedName name="dddddddddddddddddddd">#REF!</definedName>
    <definedName name="de" localSheetId="1">#REF!</definedName>
    <definedName name="de">#REF!</definedName>
    <definedName name="deghdfjgfj" localSheetId="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deghdfjgfj" localSheetId="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deghdfjgfj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DELTA20">#REF!</definedName>
    <definedName name="DELTA20___0">#REF!</definedName>
    <definedName name="DELTA20___13">#REF!</definedName>
    <definedName name="Depn">#REF!</definedName>
    <definedName name="DER">#REF!</definedName>
    <definedName name="DES">#REF!</definedName>
    <definedName name="designed">#REF!</definedName>
    <definedName name="df">#REF!</definedName>
    <definedName name="DFADAD">#REF!</definedName>
    <definedName name="dfafdasdf">#REF!</definedName>
    <definedName name="dfd">#REF!</definedName>
    <definedName name="DFDDA">#REF!</definedName>
    <definedName name="dfdfdf">#N/A</definedName>
    <definedName name="DFDFG" localSheetId="1">#REF!</definedName>
    <definedName name="DFDFG">#REF!</definedName>
    <definedName name="dfffbg" localSheetId="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dfffbg" localSheetId="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dfffbg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DFGDF" localSheetId="1">#REF!</definedName>
    <definedName name="DFGDF">#REF!</definedName>
    <definedName name="dfgdfsg" localSheetId="1">#REF!</definedName>
    <definedName name="dfgdfsg">#REF!</definedName>
    <definedName name="dfgdsfg" localSheetId="1">#REF!</definedName>
    <definedName name="dfgdsfg">#REF!</definedName>
    <definedName name="dfhdh" localSheetId="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dfhdh" localSheetId="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dfhdh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DFSDF" localSheetId="1">#REF!</definedName>
    <definedName name="DFSDF">#REF!</definedName>
    <definedName name="dg" localSheetId="1">#REF!</definedName>
    <definedName name="dg">#REF!</definedName>
    <definedName name="DGDF" localSheetId="1">#REF!</definedName>
    <definedName name="DGDF">#REF!</definedName>
    <definedName name="DGDFG">#REF!</definedName>
    <definedName name="dghdd">#REF!</definedName>
    <definedName name="Di">#REF!</definedName>
    <definedName name="DIAMETER">#REF!</definedName>
    <definedName name="DICL">#REF!</definedName>
    <definedName name="dIESEL">#REF!</definedName>
    <definedName name="dim4_4">#REF!</definedName>
    <definedName name="dim4_6">#REF!</definedName>
    <definedName name="DIns">#REF!</definedName>
    <definedName name="div">#REF!</definedName>
    <definedName name="dl">#REF!</definedName>
    <definedName name="dl___0">#REF!</definedName>
    <definedName name="dl___13">#REF!</definedName>
    <definedName name="Do">#REF!</definedName>
    <definedName name="docu">#REF!</definedName>
    <definedName name="DONGRE_ASSOCIATES______________PROJECT" localSheetId="1">#REF!</definedName>
    <definedName name="DONGRE_ASSOCIATES______________PROJECT">#REF!</definedName>
    <definedName name="door" localSheetId="1">#REF!</definedName>
    <definedName name="door">#REF!</definedName>
    <definedName name="Doors" localSheetId="1">#REF!</definedName>
    <definedName name="Doors">#REF!</definedName>
    <definedName name="DOW_CORNING_789_SILICONE_SEALANT" localSheetId="1">#REF!</definedName>
    <definedName name="DOW_CORNING_789_SILICONE_SEALANT">#REF!</definedName>
    <definedName name="DP">#REF!</definedName>
    <definedName name="dq">#REF!</definedName>
    <definedName name="Drivers">#REF!</definedName>
    <definedName name="ds" localSheetId="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ds" localSheetId="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ds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Ds___0" localSheetId="1">#REF!</definedName>
    <definedName name="Ds___0">#REF!</definedName>
    <definedName name="Ds___13" localSheetId="1">#REF!</definedName>
    <definedName name="Ds___13">#REF!</definedName>
    <definedName name="dsds" localSheetId="1">#REF!</definedName>
    <definedName name="dsds">#REF!</definedName>
    <definedName name="dsdud">#REF!</definedName>
    <definedName name="DSF" localSheetId="1">Scheduled_Payment+Extra_Payment</definedName>
    <definedName name="DSF">Scheduled_Payment+Extra_Payment</definedName>
    <definedName name="dsfas" localSheetId="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dsfas" localSheetId="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dsfas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dsfgdsfgsgf" localSheetId="1">#REF!</definedName>
    <definedName name="dsfgdsfgsgf">#REF!</definedName>
    <definedName name="dsfgsd" localSheetId="1">#REF!</definedName>
    <definedName name="dsfgsd">#REF!</definedName>
    <definedName name="dsfj" localSheetId="1" hidden="1">#REF!</definedName>
    <definedName name="dsfj" hidden="1">#REF!</definedName>
    <definedName name="dsfsd">#REF!</definedName>
    <definedName name="dswds" localSheetId="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dswds" localSheetId="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dswds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dtyu">#N/A</definedName>
    <definedName name="Duct_Plaster" localSheetId="1">#REF!</definedName>
    <definedName name="Duct_Plaster">#REF!</definedName>
    <definedName name="e" localSheetId="1">#REF!</definedName>
    <definedName name="e">#REF!</definedName>
    <definedName name="earthing" localSheetId="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earthing" localSheetId="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earthing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ee" localSheetId="1">#REF!</definedName>
    <definedName name="ee">#REF!</definedName>
    <definedName name="eeee" localSheetId="1">#REF!</definedName>
    <definedName name="eeee">#REF!</definedName>
    <definedName name="eeeeeeeeeee" localSheetId="1">#REF!</definedName>
    <definedName name="eeeeeeeeeee">#REF!</definedName>
    <definedName name="ees">#REF!</definedName>
    <definedName name="em">#REF!</definedName>
    <definedName name="Em___0">#REF!</definedName>
    <definedName name="Em___13">#REF!</definedName>
    <definedName name="enckcolumn">#REF!</definedName>
    <definedName name="End_Bal">#REF!</definedName>
    <definedName name="EngAddress">#REF!</definedName>
    <definedName name="EngAddress_4">#REF!</definedName>
    <definedName name="EngAddress_6">#REF!</definedName>
    <definedName name="EngCity">#REF!</definedName>
    <definedName name="EngCity_4">#REF!</definedName>
    <definedName name="EngCity_6">#REF!</definedName>
    <definedName name="EngName">#REF!</definedName>
    <definedName name="EngName_4">#REF!</definedName>
    <definedName name="EngName_6">#REF!</definedName>
    <definedName name="EngPostal">#REF!</definedName>
    <definedName name="EngPostal_4">#REF!</definedName>
    <definedName name="EngPostal_6">#REF!</definedName>
    <definedName name="EngPrio">#REF!</definedName>
    <definedName name="EngPrio_4">#REF!</definedName>
    <definedName name="EngPrio_6">#REF!</definedName>
    <definedName name="EngPrio_Text">#REF!</definedName>
    <definedName name="EngPrio_Text_4">#REF!</definedName>
    <definedName name="EngPrio_Text_6">#REF!</definedName>
    <definedName name="EngState">#REF!</definedName>
    <definedName name="EngState_4">#REF!</definedName>
    <definedName name="EngState_6">#REF!</definedName>
    <definedName name="enter">#REF!</definedName>
    <definedName name="eqw">#REF!</definedName>
    <definedName name="er">#REF!</definedName>
    <definedName name="ererer">#REF!</definedName>
    <definedName name="ererwtert">#REF!</definedName>
    <definedName name="eret">#REF!</definedName>
    <definedName name="erhrhjurthj" localSheetId="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erhrhjurthj" localSheetId="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erhrhjurthj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err" localSheetId="1">#REF!</definedName>
    <definedName name="err">#REF!</definedName>
    <definedName name="erretr" localSheetId="1">#REF!</definedName>
    <definedName name="erretr">#REF!</definedName>
    <definedName name="ert" localSheetId="1">#REF!</definedName>
    <definedName name="ert">#REF!</definedName>
    <definedName name="es">#REF!</definedName>
    <definedName name="Es___0">#REF!</definedName>
    <definedName name="Es___13">#REF!</definedName>
    <definedName name="est">#N/A</definedName>
    <definedName name="EstCost" localSheetId="1">#REF!</definedName>
    <definedName name="EstCost">#REF!</definedName>
    <definedName name="EstCost_4" localSheetId="1">#REF!</definedName>
    <definedName name="EstCost_4">#REF!</definedName>
    <definedName name="EstCost_6" localSheetId="1">#REF!</definedName>
    <definedName name="EstCost_6">#REF!</definedName>
    <definedName name="esti">#REF!</definedName>
    <definedName name="estim">#REF!</definedName>
    <definedName name="estimate" localSheetId="1">#REF!</definedName>
    <definedName name="estimate">#REF!</definedName>
    <definedName name="estimate1" localSheetId="1">#REF!</definedName>
    <definedName name="estimate1">#REF!</definedName>
    <definedName name="Estimation" localSheetId="1">#REF!</definedName>
    <definedName name="Estimation">#REF!</definedName>
    <definedName name="estimation1">#REF!</definedName>
    <definedName name="et">#REF!</definedName>
    <definedName name="Et___0">#REF!</definedName>
    <definedName name="Et___13">#REF!</definedName>
    <definedName name="etew">#REF!</definedName>
    <definedName name="etewt">#REF!</definedName>
    <definedName name="ETH" localSheetId="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ETH" localSheetId="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ETH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eu" localSheetId="1">#REF!</definedName>
    <definedName name="eu">#REF!</definedName>
    <definedName name="eu_4" localSheetId="1">#REF!</definedName>
    <definedName name="eu_4">#REF!</definedName>
    <definedName name="eu_6" localSheetId="1">#REF!</definedName>
    <definedName name="eu_6">#REF!</definedName>
    <definedName name="ew" localSheetId="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ew" localSheetId="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ew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EWEDWFRW" localSheetId="1">#REF!</definedName>
    <definedName name="EWEDWFRW">#REF!</definedName>
    <definedName name="ewtew" localSheetId="1">#REF!</definedName>
    <definedName name="ewtew">#REF!</definedName>
    <definedName name="excel" localSheetId="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excel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Excel_BuiltIn_Criteria" localSheetId="1">#REF!</definedName>
    <definedName name="Excel_BuiltIn_Criteria">#REF!</definedName>
    <definedName name="Excel_BuiltIn_Database" localSheetId="1">#REF!</definedName>
    <definedName name="Excel_BuiltIn_Database">#REF!</definedName>
    <definedName name="Excel_BuiltIn_Print_Area" localSheetId="1">#REF!</definedName>
    <definedName name="Excel_BuiltIn_Print_Area">#REF!</definedName>
    <definedName name="Excel_BuiltIn_Print_Area_1">#REF!</definedName>
    <definedName name="Excel_BuiltIn_Print_Area_1_1">#REF!</definedName>
    <definedName name="Excel_BuiltIn_Print_Area_4">#REF!</definedName>
    <definedName name="Excel_BuiltIn_Print_Area_4_1">#REF!</definedName>
    <definedName name="Excel_BuiltIn_Print_Area_5">#REF!</definedName>
    <definedName name="Excel_BuiltIn_Print_Titles">#REF!</definedName>
    <definedName name="Excel_BuiltIn_Print_Titles_1_1">#REF!</definedName>
    <definedName name="Excel_BuiltIn_Print_Titles_3" localSheetId="1">#REF!</definedName>
    <definedName name="Excel_BuiltIn_Print_Titles_3">#REF!</definedName>
    <definedName name="Excel_BuiltIn_Print_Titles_3_16" localSheetId="1">#REF!</definedName>
    <definedName name="Excel_BuiltIn_Print_Titles_3_16">#REF!</definedName>
    <definedName name="Excel_BuiltIn_Print_Titles_3_3" localSheetId="1">#REF!</definedName>
    <definedName name="Excel_BuiltIn_Print_Titles_3_3">#REF!</definedName>
    <definedName name="Excel_BuiltIn_Print_Titles_3_4" localSheetId="1">#REF!</definedName>
    <definedName name="Excel_BuiltIn_Print_Titles_3_4">#REF!</definedName>
    <definedName name="Excel_BuiltIn_Print_Titles_3_6" localSheetId="1">#REF!</definedName>
    <definedName name="Excel_BuiltIn_Print_Titles_3_6">#REF!</definedName>
    <definedName name="Excel_BuiltIn_Print_Titles_3_9" localSheetId="1">#REF!</definedName>
    <definedName name="Excel_BuiltIn_Print_Titles_3_9">#REF!</definedName>
    <definedName name="Excel_BuiltIn_Print_Titles_4" localSheetId="1">#REF!</definedName>
    <definedName name="Excel_BuiltIn_Print_Titles_4">#REF!</definedName>
    <definedName name="Excel_BuiltIn_Recorder" localSheetId="1">#REF!</definedName>
    <definedName name="Excel_BuiltIn_Recorder">#REF!</definedName>
    <definedName name="Exchange_rate" localSheetId="1">#REF!</definedName>
    <definedName name="Exchange_rate">#REF!</definedName>
    <definedName name="EXIT">#REF!</definedName>
    <definedName name="ext">#REF!</definedName>
    <definedName name="External_Plaster">#REF!</definedName>
    <definedName name="Extra_Pay">#REF!</definedName>
    <definedName name="eyrlp">#REF!</definedName>
    <definedName name="f" hidden="1">#REF!</definedName>
    <definedName name="f534.">#REF!</definedName>
    <definedName name="facom" localSheetId="1">#REF!</definedName>
    <definedName name="facom">#REF!</definedName>
    <definedName name="fafur" localSheetId="1">#REF!</definedName>
    <definedName name="fafur">#REF!</definedName>
    <definedName name="faofeq" localSheetId="1">#REF!</definedName>
    <definedName name="faofeq">#REF!</definedName>
    <definedName name="faplm" localSheetId="1">#REF!</definedName>
    <definedName name="faplm">#REF!</definedName>
    <definedName name="fapms" localSheetId="1">#REF!</definedName>
    <definedName name="fapms">#REF!</definedName>
    <definedName name="faveh" localSheetId="1">#REF!</definedName>
    <definedName name="faveh">#REF!</definedName>
    <definedName name="Fb" localSheetId="1">#REF!</definedName>
    <definedName name="Fb">#REF!</definedName>
    <definedName name="fd" localSheetId="1">#REF!</definedName>
    <definedName name="fd">#REF!</definedName>
    <definedName name="fdasds" localSheetId="1">#REF!</definedName>
    <definedName name="fdasds">#REF!</definedName>
    <definedName name="fdghdgfh">#REF!</definedName>
    <definedName name="fdhjfju">#REF!</definedName>
    <definedName name="FF">#REF!</definedName>
    <definedName name="FFGTET" localSheetId="1">#N/A</definedName>
    <definedName name="FFGTET">MATCH(0.01,#REF!,-1)+1</definedName>
    <definedName name="FFL">#REF!</definedName>
    <definedName name="fg" localSheetId="1">#REF!</definedName>
    <definedName name="fg">#REF!</definedName>
    <definedName name="fgececf" localSheetId="1">#REF!</definedName>
    <definedName name="fgececf">#REF!</definedName>
    <definedName name="fgf" localSheetId="1">#REF!</definedName>
    <definedName name="fgf">#REF!</definedName>
    <definedName name="fgfdg" hidden="1">#REF!</definedName>
    <definedName name="fgh">#REF!</definedName>
    <definedName name="FGHDGD" localSheetId="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GHDGD" localSheetId="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GHDGD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ghg" localSheetId="1">#REF!</definedName>
    <definedName name="fghg">#REF!</definedName>
    <definedName name="FGHGFH" localSheetId="1">#REF!</definedName>
    <definedName name="FGHGFH">#REF!</definedName>
    <definedName name="fgsadgsgfd" localSheetId="1">#REF!</definedName>
    <definedName name="fgsadgsgfd">#REF!</definedName>
    <definedName name="fgty" localSheetId="1">#REF!</definedName>
    <definedName name="fgty">#REF!</definedName>
    <definedName name="FH">#REF!</definedName>
    <definedName name="fhdsgbh">#REF!</definedName>
    <definedName name="FHFGHFF">#REF!</definedName>
    <definedName name="FHFGHGFH">#REF!</definedName>
    <definedName name="FHGFHFF">#REF!</definedName>
    <definedName name="FHGFHGFH" localSheetId="1">#REF!</definedName>
    <definedName name="FHGFHGFH">#REF!</definedName>
    <definedName name="FHJFHGFH" localSheetId="1">#REF!</definedName>
    <definedName name="FHJFHGFH">#REF!</definedName>
    <definedName name="FHNFHFHF" localSheetId="1">#REF!</definedName>
    <definedName name="FHNFHFHF">#REF!</definedName>
    <definedName name="fhryu" localSheetId="1">#REF!</definedName>
    <definedName name="fhryu">#REF!</definedName>
    <definedName name="Fhwl">#REF!</definedName>
    <definedName name="fin">#REF!</definedName>
    <definedName name="Final" hidden="1">#REF!</definedName>
    <definedName name="finish">#REF!</definedName>
    <definedName name="FINISHES">#REF!</definedName>
    <definedName name="first">#REF!</definedName>
    <definedName name="firstfloor">#REF!</definedName>
    <definedName name="FiscalIDNum">#REF!</definedName>
    <definedName name="FiscalIDNum_4">#REF!</definedName>
    <definedName name="FiscalIDNum_6">#REF!</definedName>
    <definedName name="FIT">#REF!</definedName>
    <definedName name="FIT___0">#REF!</definedName>
    <definedName name="FIT___13">#REF!</definedName>
    <definedName name="fixed">#REF!</definedName>
    <definedName name="fixed_asset">#REF!</definedName>
    <definedName name="fj">#REF!</definedName>
    <definedName name="flag1">#REF!</definedName>
    <definedName name="FLG">#REF!</definedName>
    <definedName name="Floor" localSheetId="1">#REF!</definedName>
    <definedName name="Floor">#REF!</definedName>
    <definedName name="flr.tile" localSheetId="1">#REF!</definedName>
    <definedName name="flr.tile">#REF!</definedName>
    <definedName name="fn" localSheetId="1">#REF!</definedName>
    <definedName name="fn">#REF!</definedName>
    <definedName name="fo" localSheetId="1">#REF!</definedName>
    <definedName name="fo">#REF!</definedName>
    <definedName name="foot" localSheetId="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oot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ooting" localSheetId="1">#REF!</definedName>
    <definedName name="Footing">#REF!</definedName>
    <definedName name="Footings" localSheetId="1">#REF!</definedName>
    <definedName name="Footings">#REF!</definedName>
    <definedName name="ForestEdge" localSheetId="1" hidden="1">#REF!</definedName>
    <definedName name="ForestEdge" hidden="1">#REF!</definedName>
    <definedName name="FormTitle" localSheetId="1">#REF!</definedName>
    <definedName name="FormTitle">#REF!</definedName>
    <definedName name="FormTitle_4" localSheetId="1">#REF!</definedName>
    <definedName name="FormTitle_4">#REF!</definedName>
    <definedName name="FormTitle_6">#REF!</definedName>
    <definedName name="Fp">#REF!</definedName>
    <definedName name="FQAQ">#REF!</definedName>
    <definedName name="FR">#REF!</definedName>
    <definedName name="fRANCIS">#REF!</definedName>
    <definedName name="Francis.">#REF!</definedName>
    <definedName name="fRANCU">#REF!</definedName>
    <definedName name="frncis">#REF!</definedName>
    <definedName name="frt">#REF!</definedName>
    <definedName name="Fs">#REF!</definedName>
    <definedName name="fsaf">#REF!</definedName>
    <definedName name="fsds">#REF!</definedName>
    <definedName name="fsdsdf">#REF!</definedName>
    <definedName name="fsfs" hidden="1">#REF!</definedName>
    <definedName name="fsg">#REF!</definedName>
    <definedName name="FSRVRFR">#REF!</definedName>
    <definedName name="FSSDD">#REF!</definedName>
    <definedName name="ft">#REF!</definedName>
    <definedName name="ftg" localSheetId="1">#REF!</definedName>
    <definedName name="ftg">#REF!</definedName>
    <definedName name="Full_Print" localSheetId="1">#REF!</definedName>
    <definedName name="Full_Print">#REF!</definedName>
    <definedName name="Funiture" localSheetId="1">#REF!</definedName>
    <definedName name="Funiture">#REF!</definedName>
    <definedName name="Fv" localSheetId="1">#REF!</definedName>
    <definedName name="Fv">#REF!</definedName>
    <definedName name="FWS">#REF!</definedName>
    <definedName name="g">#REF!</definedName>
    <definedName name="g1622.">#REF!</definedName>
    <definedName name="g2669." localSheetId="1">#REF!</definedName>
    <definedName name="g2669.">#REF!</definedName>
    <definedName name="g2707." localSheetId="1">#REF!</definedName>
    <definedName name="g2707.">#REF!</definedName>
    <definedName name="G31j1620" localSheetId="1">#REF!</definedName>
    <definedName name="G31j1620">#REF!</definedName>
    <definedName name="G345d58" localSheetId="1">#REF!</definedName>
    <definedName name="G345d58">#REF!</definedName>
    <definedName name="g452." localSheetId="1">#REF!</definedName>
    <definedName name="g452.">#REF!</definedName>
    <definedName name="GA_1">#REF!</definedName>
    <definedName name="GA_2">#REF!</definedName>
    <definedName name="gala135">#REF!</definedName>
    <definedName name="gama">#REF!</definedName>
    <definedName name="gamah">#REF!</definedName>
    <definedName name="GDF" localSheetId="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GDF" localSheetId="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GDF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gdg" localSheetId="1">#REF!</definedName>
    <definedName name="gdg">#REF!</definedName>
    <definedName name="ge" localSheetId="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ge" localSheetId="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ge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general" localSheetId="1">#REF!</definedName>
    <definedName name="general">#REF!</definedName>
    <definedName name="ger" localSheetId="1">#REF!</definedName>
    <definedName name="ger">#REF!</definedName>
    <definedName name="gf" localSheetId="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gf" localSheetId="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gf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gfhfdgthj" localSheetId="1">#REF!</definedName>
    <definedName name="gfhfdgthj">#REF!</definedName>
    <definedName name="gfu" localSheetId="1">#REF!</definedName>
    <definedName name="gfu">#REF!</definedName>
    <definedName name="ggg" localSheetId="1" hidden="1">#REF!</definedName>
    <definedName name="ggg" localSheetId="4" hidden="1">#REF!</definedName>
    <definedName name="ggg" hidden="1">#REF!</definedName>
    <definedName name="ggggggggggg" localSheetId="1">#REF!</definedName>
    <definedName name="ggggggggggg">#REF!</definedName>
    <definedName name="ggrtr" localSheetId="1">#REF!</definedName>
    <definedName name="ggrtr">#REF!</definedName>
    <definedName name="gh">#REF!</definedName>
    <definedName name="gherh" localSheetId="1">Scheduled_Payment+Extra_Payment</definedName>
    <definedName name="gherh">Scheduled_Payment+Extra_Payment</definedName>
    <definedName name="ghfghgfjfjgfjgfjgf" localSheetId="1" hidden="1">#REF!</definedName>
    <definedName name="ghfghgfjfjgfjgfjgf" localSheetId="4" hidden="1">#REF!</definedName>
    <definedName name="ghfghgfjfjgfjgfjgf" hidden="1">#REF!</definedName>
    <definedName name="ghjfhfhl" localSheetId="1">#REF!</definedName>
    <definedName name="ghjfhfhl">#REF!</definedName>
    <definedName name="ghjhjh" localSheetId="1" hidden="1">#REF!</definedName>
    <definedName name="ghjhjh" hidden="1">#REF!</definedName>
    <definedName name="ghjkhkj">#N/A</definedName>
    <definedName name="GHJT" localSheetId="1">#REF!</definedName>
    <definedName name="GHJT">#REF!</definedName>
    <definedName name="gj" localSheetId="1">#REF!</definedName>
    <definedName name="gj">#REF!</definedName>
    <definedName name="gk" localSheetId="1">#REF!</definedName>
    <definedName name="gk">#REF!</definedName>
    <definedName name="GL">#REF!</definedName>
    <definedName name="GLAND" localSheetId="1">#REF!</definedName>
    <definedName name="GLAND">#REF!</definedName>
    <definedName name="gm" localSheetId="1">#REF!</definedName>
    <definedName name="gm">#REF!</definedName>
    <definedName name="GMAmount" localSheetId="1">#REF!</definedName>
    <definedName name="GMAmount">#REF!</definedName>
    <definedName name="GMAmount_4">#REF!</definedName>
    <definedName name="GMAmount_6">#REF!</definedName>
    <definedName name="GMPercent">#REF!</definedName>
    <definedName name="GMPercent_4">#REF!</definedName>
    <definedName name="GMPercent_6">#REF!</definedName>
    <definedName name="gnotes" localSheetId="1">#REF!</definedName>
    <definedName name="gnotes">#REF!</definedName>
    <definedName name="gopi" localSheetId="1">#REF!</definedName>
    <definedName name="gopi">#REF!</definedName>
    <definedName name="Group1" localSheetId="1">#REF!</definedName>
    <definedName name="Group1">#REF!</definedName>
    <definedName name="Group2" localSheetId="1">#REF!</definedName>
    <definedName name="Group2">#REF!</definedName>
    <definedName name="Group3">#REF!</definedName>
    <definedName name="Group4">#REF!</definedName>
    <definedName name="gs">#REF!</definedName>
    <definedName name="GSDFSDF">#REF!</definedName>
    <definedName name="gsgfrr">#N/A</definedName>
    <definedName name="gt">#REF!</definedName>
    <definedName name="gyp" localSheetId="1">#REF!</definedName>
    <definedName name="gyp">#REF!</definedName>
    <definedName name="h" localSheetId="1">#REF!</definedName>
    <definedName name="h">#REF!</definedName>
    <definedName name="H___0" localSheetId="1">#REF!</definedName>
    <definedName name="H___0">#REF!</definedName>
    <definedName name="H___13">#REF!</definedName>
    <definedName name="H0">#REF!</definedName>
    <definedName name="H0___0">#REF!</definedName>
    <definedName name="H0___13">#REF!</definedName>
    <definedName name="h608." localSheetId="1">#REF!</definedName>
    <definedName name="h608.">#REF!</definedName>
    <definedName name="Hafeez" localSheetId="1">#REF!</definedName>
    <definedName name="Hafeez">#REF!</definedName>
    <definedName name="handrail" localSheetId="1">#REF!</definedName>
    <definedName name="handrail">#REF!</definedName>
    <definedName name="handrails" localSheetId="1">#REF!</definedName>
    <definedName name="handrails">#REF!</definedName>
    <definedName name="handrails\">#REF!</definedName>
    <definedName name="HARI">#REF!</definedName>
    <definedName name="hatmy145" localSheetId="1">#REF!</definedName>
    <definedName name="hatmy145">#REF!</definedName>
    <definedName name="hb" localSheetId="1">#REF!</definedName>
    <definedName name="hb">#REF!</definedName>
    <definedName name="head">#N/A</definedName>
    <definedName name="Header_Row">ROW(#REF!)</definedName>
    <definedName name="Headings" localSheetId="1">#REF!</definedName>
    <definedName name="Headings">#REF!</definedName>
    <definedName name="Headings_16" localSheetId="1">#REF!</definedName>
    <definedName name="Headings_16">#REF!</definedName>
    <definedName name="Headings_3" localSheetId="1">#REF!</definedName>
    <definedName name="Headings_3">#REF!</definedName>
    <definedName name="Headings_4" localSheetId="1">#REF!</definedName>
    <definedName name="Headings_4">#REF!</definedName>
    <definedName name="Headings_6" localSheetId="1">#REF!</definedName>
    <definedName name="Headings_6">#REF!</definedName>
    <definedName name="Headings_9" localSheetId="1">#REF!</definedName>
    <definedName name="Headings_9">#REF!</definedName>
    <definedName name="hf" localSheetId="1">#REF!</definedName>
    <definedName name="hf">#REF!</definedName>
    <definedName name="hgg" localSheetId="1">#REF!</definedName>
    <definedName name="hgg">#REF!</definedName>
    <definedName name="hgjjjgfj" localSheetId="1">#REF!</definedName>
    <definedName name="hgjjjgfj">#REF!</definedName>
    <definedName name="hgu" localSheetId="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hgu" localSheetId="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hgu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HH">#N/A</definedName>
    <definedName name="hh___0">#REF!</definedName>
    <definedName name="hh___13">#REF!</definedName>
    <definedName name="hhkjh" localSheetId="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hhkjh" localSheetId="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hhkjh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hi" localSheetId="1">#REF!</definedName>
    <definedName name="hi">#REF!</definedName>
    <definedName name="HINDHUSTAN" localSheetId="1">#REF!</definedName>
    <definedName name="HINDHUSTAN">#REF!</definedName>
    <definedName name="HIns" localSheetId="1">#REF!</definedName>
    <definedName name="HIns">#REF!</definedName>
    <definedName name="hj" hidden="1">#REF!</definedName>
    <definedName name="HJGFJSDGHJ">#N/A</definedName>
    <definedName name="hjk" localSheetId="1">#REF!</definedName>
    <definedName name="hjk">#REF!</definedName>
    <definedName name="hjkhjk" localSheetId="1">#REF!</definedName>
    <definedName name="hjkhjk">#REF!</definedName>
    <definedName name="ho" localSheetId="1">#REF!</definedName>
    <definedName name="ho">#REF!</definedName>
    <definedName name="ho___0">#REF!</definedName>
    <definedName name="ho___13">#REF!</definedName>
    <definedName name="hoi">#REF!</definedName>
    <definedName name="Horn_Speaker">#REF!</definedName>
    <definedName name="Housekeeping">#REF!</definedName>
    <definedName name="hr">#REF!</definedName>
    <definedName name="hS">#REF!</definedName>
    <definedName name="hS___0">#REF!</definedName>
    <definedName name="hS___13">#REF!</definedName>
    <definedName name="HU" localSheetId="1">#REF!</definedName>
    <definedName name="HU">#REF!</definedName>
    <definedName name="Hu___0" localSheetId="1">#REF!</definedName>
    <definedName name="Hu___0">#REF!</definedName>
    <definedName name="Hu___13" localSheetId="1">#REF!</definedName>
    <definedName name="Hu___13">#REF!</definedName>
    <definedName name="hxb" localSheetId="1">#REF!</definedName>
    <definedName name="hxb">#REF!</definedName>
    <definedName name="hxi">#REF!</definedName>
    <definedName name="hy" localSheetId="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hy" localSheetId="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hy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I" localSheetId="1">#REF!</definedName>
    <definedName name="I">#REF!</definedName>
    <definedName name="I___0" localSheetId="1">#REF!</definedName>
    <definedName name="I___0">#REF!</definedName>
    <definedName name="I___13" localSheetId="1">#REF!</definedName>
    <definedName name="I___13">#REF!</definedName>
    <definedName name="ie" localSheetId="1">#REF!</definedName>
    <definedName name="ie">#REF!</definedName>
    <definedName name="If" localSheetId="1">#REF!</definedName>
    <definedName name="If">#REF!</definedName>
    <definedName name="Ig">#REF!</definedName>
    <definedName name="Ig___0">#REF!</definedName>
    <definedName name="Ig___13">#REF!</definedName>
    <definedName name="ihkjhkj">#REF!</definedName>
    <definedName name="iii">#REF!</definedName>
    <definedName name="iiiiiiiiiii">#REF!</definedName>
    <definedName name="iju">#REF!</definedName>
    <definedName name="ik">#REF!</definedName>
    <definedName name="IN">#REF!</definedName>
    <definedName name="income">#REF!</definedName>
    <definedName name="indf">#REF!</definedName>
    <definedName name="indf_4">#REF!</definedName>
    <definedName name="indf_6">#REF!</definedName>
    <definedName name="indu">#REF!</definedName>
    <definedName name="INFRASTRUCTURE_ENTRY">#REF!</definedName>
    <definedName name="insert_rows_1" localSheetId="1">#REF!</definedName>
    <definedName name="insert_rows_1">#REF!</definedName>
    <definedName name="InstBillingMethod" localSheetId="1">#REF!</definedName>
    <definedName name="InstBillingMethod">#REF!</definedName>
    <definedName name="InstBillingMethod_4" localSheetId="1">#REF!</definedName>
    <definedName name="InstBillingMethod_4">#REF!</definedName>
    <definedName name="InstBillingMethod_6" localSheetId="1">#REF!</definedName>
    <definedName name="InstBillingMethod_6">#REF!</definedName>
    <definedName name="instf">#REF!</definedName>
    <definedName name="instf_4">#REF!</definedName>
    <definedName name="instf_6">#REF!</definedName>
    <definedName name="Int">#REF!</definedName>
    <definedName name="Interest_Rate">#REF!</definedName>
    <definedName name="Internal_Plaster">#REF!</definedName>
    <definedName name="inv">#REF!</definedName>
    <definedName name="INV_SCH">#REF!</definedName>
    <definedName name="investment">#REF!</definedName>
    <definedName name="ioio">#REF!</definedName>
    <definedName name="iop">#REF!</definedName>
    <definedName name="ipip">#REF!</definedName>
    <definedName name="ipu">#REF!</definedName>
    <definedName name="ipu___0">#REF!</definedName>
    <definedName name="ipu___13">#REF!</definedName>
    <definedName name="iri">#REF!</definedName>
    <definedName name="iris">#REF!</definedName>
    <definedName name="Is">#REF!</definedName>
    <definedName name="iui">#REF!</definedName>
    <definedName name="IV">#REF!</definedName>
    <definedName name="iyui">#REF!</definedName>
    <definedName name="j" hidden="1">#REF!</definedName>
    <definedName name="jas">#REF!</definedName>
    <definedName name="jaspre">#REF!</definedName>
    <definedName name="jbhjb">#REF!</definedName>
    <definedName name="jbvhbvh">#REF!</definedName>
    <definedName name="JEJS">#REF!</definedName>
    <definedName name="JEJS___0">#REF!</definedName>
    <definedName name="JEJS___11">#REF!</definedName>
    <definedName name="JEJS___12">#REF!</definedName>
    <definedName name="JEJS___13">#REF!</definedName>
    <definedName name="JEJS___4">#REF!</definedName>
    <definedName name="jeri">#REF!</definedName>
    <definedName name="jfjh" hidden="1">#REF!</definedName>
    <definedName name="jfjyj" localSheetId="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jfjyj" localSheetId="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jfjyj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jgjk" localSheetId="1">#REF!</definedName>
    <definedName name="jgjk">#REF!</definedName>
    <definedName name="jhjyhj" localSheetId="1">#REF!</definedName>
    <definedName name="jhjyhj">#REF!</definedName>
    <definedName name="jhkl" localSheetId="1">#REF!</definedName>
    <definedName name="jhkl">#REF!</definedName>
    <definedName name="jj">#REF!</definedName>
    <definedName name="jjj">#REF!</definedName>
    <definedName name="jjjjjjjjjj">#REF!</definedName>
    <definedName name="jjk" localSheetId="1">#REF!</definedName>
    <definedName name="jjk">#REF!</definedName>
    <definedName name="jk" localSheetId="1">#REF!</definedName>
    <definedName name="jk">#REF!</definedName>
    <definedName name="jkkkj" localSheetId="1" hidden="1">#REF!</definedName>
    <definedName name="jkkkj" hidden="1">#REF!</definedName>
    <definedName name="jn" localSheetId="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jn" localSheetId="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jn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job">#REF!</definedName>
    <definedName name="job___0">#REF!</definedName>
    <definedName name="job___11">#REF!</definedName>
    <definedName name="job___12">#REF!</definedName>
    <definedName name="JobID">#REF!</definedName>
    <definedName name="jui">#REF!</definedName>
    <definedName name="k">#REF!</definedName>
    <definedName name="K___0">#REF!</definedName>
    <definedName name="K___13">#REF!</definedName>
    <definedName name="k1_table">#REF!</definedName>
    <definedName name="k1x" localSheetId="1">#REF!</definedName>
    <definedName name="k1x">#REF!</definedName>
    <definedName name="k1y" localSheetId="1">#REF!</definedName>
    <definedName name="k1y">#REF!</definedName>
    <definedName name="k2x" localSheetId="1">#REF!</definedName>
    <definedName name="k2x">#REF!</definedName>
    <definedName name="k2y" localSheetId="1">#REF!</definedName>
    <definedName name="k2y">#REF!</definedName>
    <definedName name="ka" localSheetId="1">#REF!</definedName>
    <definedName name="ka">#REF!</definedName>
    <definedName name="kaja" localSheetId="1">#REF!</definedName>
    <definedName name="kaja">#REF!</definedName>
    <definedName name="kan" localSheetId="1">#REF!</definedName>
    <definedName name="kan">#REF!</definedName>
    <definedName name="kanch" localSheetId="1">#REF!</definedName>
    <definedName name="kanch">#REF!</definedName>
    <definedName name="KARNA" localSheetId="1">#REF!</definedName>
    <definedName name="KARNA">#REF!</definedName>
    <definedName name="kb" localSheetId="1">#REF!</definedName>
    <definedName name="kb">#REF!</definedName>
    <definedName name="kc" localSheetId="1">#REF!</definedName>
    <definedName name="kc">#REF!</definedName>
    <definedName name="Kh" localSheetId="1">#REF!</definedName>
    <definedName name="Kh">#REF!</definedName>
    <definedName name="Kh___0" localSheetId="1">#REF!</definedName>
    <definedName name="Kh___0">#REF!</definedName>
    <definedName name="Kh___13">#REF!</definedName>
    <definedName name="ki" localSheetId="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ki" localSheetId="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ki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Ki___0">#REF!</definedName>
    <definedName name="Ki___13">#REF!</definedName>
    <definedName name="Ki1___0">#REF!</definedName>
    <definedName name="Ki1___13">#REF!</definedName>
    <definedName name="Ki2___0">#REF!</definedName>
    <definedName name="Ki2___13">#REF!</definedName>
    <definedName name="Kii">#REF!</definedName>
    <definedName name="Kii___0">#REF!</definedName>
    <definedName name="Kii___13">#REF!</definedName>
    <definedName name="kit">#REF!</definedName>
    <definedName name="kj" localSheetId="1">#REF!</definedName>
    <definedName name="kj">#REF!</definedName>
    <definedName name="kjbkjh" localSheetId="1">#REF!</definedName>
    <definedName name="kjbkjh">#REF!</definedName>
    <definedName name="kjdnfdf" localSheetId="1">#REF!</definedName>
    <definedName name="kjdnfdf">#REF!</definedName>
    <definedName name="kjh" localSheetId="1">#REF!</definedName>
    <definedName name="kjh">#REF!</definedName>
    <definedName name="kjj" localSheetId="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kjj" localSheetId="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kjj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kk" localSheetId="1">#REF!</definedName>
    <definedName name="kk">#REF!</definedName>
    <definedName name="kkkj" localSheetId="1" hidden="1">#REF!</definedName>
    <definedName name="kkkj" hidden="1">#REF!</definedName>
    <definedName name="Km" localSheetId="1">#REF!</definedName>
    <definedName name="Km">#REF!</definedName>
    <definedName name="Km___0">#REF!</definedName>
    <definedName name="Km___13">#REF!</definedName>
    <definedName name="kp" localSheetId="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kp" localSheetId="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kp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kpl" localSheetId="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kpl" localSheetId="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kpl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Ks" localSheetId="1">#REF!</definedName>
    <definedName name="Ks">#REF!</definedName>
    <definedName name="Ks___0" localSheetId="1">#REF!</definedName>
    <definedName name="Ks___0">#REF!</definedName>
    <definedName name="Ks___13" localSheetId="1">#REF!</definedName>
    <definedName name="Ks___13">#REF!</definedName>
    <definedName name="l" localSheetId="1">#REF!</definedName>
    <definedName name="l">#REF!</definedName>
    <definedName name="L___0">#REF!</definedName>
    <definedName name="L___13">#REF!</definedName>
    <definedName name="labourrate" localSheetId="1">#REF!</definedName>
    <definedName name="labourrate">#REF!</definedName>
    <definedName name="LAMP" localSheetId="1">#REF!</definedName>
    <definedName name="LAMP">#REF!</definedName>
    <definedName name="LAMP___0" localSheetId="1">#REF!</definedName>
    <definedName name="LAMP___0">#REF!</definedName>
    <definedName name="LAMP___13" localSheetId="1">#REF!</definedName>
    <definedName name="LAMP___13">#REF!</definedName>
    <definedName name="Land_adv">#REF!</definedName>
    <definedName name="landscape">#REF!</definedName>
    <definedName name="landscpe">#REF!</definedName>
    <definedName name="lasdk" localSheetId="1">#REF!</definedName>
    <definedName name="lasdk">#REF!</definedName>
    <definedName name="Last_Row" localSheetId="1">IF(Beams!Values_Entered,[0]!Header_Row+Beams!Number_of_Payments,[0]!Header_Row)</definedName>
    <definedName name="Last_Row">IF(Values_Entered,Header_Row+Number_of_Payments,Header_Row)</definedName>
    <definedName name="Lc" localSheetId="1">#REF!</definedName>
    <definedName name="Lc">#REF!</definedName>
    <definedName name="Lc___0" localSheetId="1">#REF!</definedName>
    <definedName name="Lc___0">#REF!</definedName>
    <definedName name="Lc___13" localSheetId="1">#REF!</definedName>
    <definedName name="Lc___13">#REF!</definedName>
    <definedName name="LCAR100">#REF!</definedName>
    <definedName name="Lead">#REF!</definedName>
    <definedName name="leela">#REF!</definedName>
    <definedName name="lef">#REF!</definedName>
    <definedName name="lel">#REF!</definedName>
    <definedName name="len">#REF!</definedName>
    <definedName name="LG_1">#REF!</definedName>
    <definedName name="LGF">#REF!</definedName>
    <definedName name="lhuuioyhuyhui" localSheetId="1">#REF!</definedName>
    <definedName name="lhuuioyhuyhui">#REF!</definedName>
    <definedName name="limcount" hidden="1">1</definedName>
    <definedName name="list" localSheetId="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list" localSheetId="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list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LL" localSheetId="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LL" localSheetId="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LL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lll" localSheetId="1" hidden="1">#REF!</definedName>
    <definedName name="lll" localSheetId="4" hidden="1">#REF!</definedName>
    <definedName name="lll" hidden="1">#REF!</definedName>
    <definedName name="lo" localSheetId="1">#REF!</definedName>
    <definedName name="lo">#REF!</definedName>
    <definedName name="Loan_Amount" localSheetId="1">#REF!</definedName>
    <definedName name="Loan_Amount">#REF!</definedName>
    <definedName name="Loan_Start">#REF!</definedName>
    <definedName name="Loan_Years">#REF!</definedName>
    <definedName name="loans_adv">#REF!</definedName>
    <definedName name="LOCAL_STAFF">#REF!</definedName>
    <definedName name="LOCAL_STAFF_ENTRY">#REF!</definedName>
    <definedName name="Lr">#REF!</definedName>
    <definedName name="Lr___0">#REF!</definedName>
    <definedName name="Lr___13">#REF!</definedName>
    <definedName name="lrt">#REF!</definedName>
    <definedName name="LSD_4100">#REF!</definedName>
    <definedName name="lsest">#REF!</definedName>
    <definedName name="lshead">#REF!</definedName>
    <definedName name="LUMEN">#REF!</definedName>
    <definedName name="LUMEN___0">#REF!</definedName>
    <definedName name="LUMEN___13">#REF!</definedName>
    <definedName name="Lump_Sum_Discount">#REF!</definedName>
    <definedName name="LUX">#REF!</definedName>
    <definedName name="LUX___0">#REF!</definedName>
    <definedName name="LUX___13">#REF!</definedName>
    <definedName name="Lx">#REF!</definedName>
    <definedName name="Lx___0">#REF!</definedName>
    <definedName name="Lx___13">#REF!</definedName>
    <definedName name="m">#REF!</definedName>
    <definedName name="m___0">#REF!</definedName>
    <definedName name="m___13">#REF!</definedName>
    <definedName name="M1x" localSheetId="1">#REF!</definedName>
    <definedName name="M1x">#REF!</definedName>
    <definedName name="M1y" localSheetId="1">#REF!</definedName>
    <definedName name="M1y">#REF!</definedName>
    <definedName name="M2x" localSheetId="1">#REF!</definedName>
    <definedName name="M2x">#REF!</definedName>
    <definedName name="M2y" localSheetId="1">#REF!</definedName>
    <definedName name="M2y">#REF!</definedName>
    <definedName name="MACHINE_EQUIPMENT" localSheetId="1">#REF!</definedName>
    <definedName name="MACHINE_EQUIPMENT">#REF!</definedName>
    <definedName name="MACHINE_EQUIPMENT_ENTRY" localSheetId="1">#REF!</definedName>
    <definedName name="MACHINE_EQUIPMENT_ENTRY">#REF!</definedName>
    <definedName name="Macro1" localSheetId="1">#REF!</definedName>
    <definedName name="Macro1">#REF!</definedName>
    <definedName name="Macro2">#REF!</definedName>
    <definedName name="macrocopy">#N/A</definedName>
    <definedName name="mag" localSheetId="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mag" localSheetId="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mag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Maiantrev" localSheetId="1">#REF!</definedName>
    <definedName name="Maiantrev">#REF!</definedName>
    <definedName name="man" localSheetId="1">#REF!</definedName>
    <definedName name="man">#REF!</definedName>
    <definedName name="man___0" localSheetId="1">#REF!</definedName>
    <definedName name="man___0">#REF!</definedName>
    <definedName name="man___11">#REF!</definedName>
    <definedName name="man___12">#REF!</definedName>
    <definedName name="manday1">#REF!</definedName>
    <definedName name="manday1___0">#REF!</definedName>
    <definedName name="manday1___11">#REF!</definedName>
    <definedName name="manday1___12">#REF!</definedName>
    <definedName name="manhole">#REF!</definedName>
    <definedName name="manish">#REF!</definedName>
    <definedName name="MarketType">#REF!</definedName>
    <definedName name="MarketType_4">#REF!</definedName>
    <definedName name="MarketType_6">#REF!</definedName>
    <definedName name="MarketType_Text">#REF!</definedName>
    <definedName name="MarketType_Text_4">#REF!</definedName>
    <definedName name="MarketType_Text_6">#REF!</definedName>
    <definedName name="Masonary" localSheetId="1">#REF!</definedName>
    <definedName name="Masonary">#REF!</definedName>
    <definedName name="masterlist">#N/A</definedName>
    <definedName name="Mat" localSheetId="1">#REF!</definedName>
    <definedName name="Mat">#REF!</definedName>
    <definedName name="Material_rate_entry" localSheetId="1">#REF!</definedName>
    <definedName name="Material_rate_entry">#REF!</definedName>
    <definedName name="MATV" localSheetId="1">#REF!</definedName>
    <definedName name="MATV">#REF!</definedName>
    <definedName name="mayflower" localSheetId="1">#REF!</definedName>
    <definedName name="mayflower">#REF!</definedName>
    <definedName name="MDF">#REF!</definedName>
    <definedName name="meest">#REF!</definedName>
    <definedName name="mehead">#REF!</definedName>
    <definedName name="mena">#REF!</definedName>
    <definedName name="MF">#REF!</definedName>
    <definedName name="MF___0">#REF!</definedName>
    <definedName name="MF___13">#REF!</definedName>
    <definedName name="MIS">#N/A</definedName>
    <definedName name="mm" localSheetId="1">#REF!</definedName>
    <definedName name="mm">#REF!</definedName>
    <definedName name="mmm" localSheetId="1">#REF!</definedName>
    <definedName name="mmm">#REF!</definedName>
    <definedName name="mmmmmmmmmm" localSheetId="1">#REF!</definedName>
    <definedName name="mmmmmmmmmm">#REF!</definedName>
    <definedName name="mnvgdg">#REF!</definedName>
    <definedName name="mobi">#REF!</definedName>
    <definedName name="Mobilization">#REF!</definedName>
    <definedName name="Month1_Ending_Bal">#REF!</definedName>
    <definedName name="Month2_Ending_Bal">#REF!</definedName>
    <definedName name="Month3_Ending_Bal">#REF!</definedName>
    <definedName name="Month4_Ending_Bal">#REF!</definedName>
    <definedName name="Month5_Ending_Bal">#REF!</definedName>
    <definedName name="Month6_Ending_Bal">#REF!</definedName>
    <definedName name="MP" hidden="1">#REF!</definedName>
    <definedName name="ms" localSheetId="1">#REF!</definedName>
    <definedName name="ms">#REF!</definedName>
    <definedName name="MT_1" localSheetId="1">#REF!</definedName>
    <definedName name="MT_1">#REF!</definedName>
    <definedName name="MT_2" localSheetId="1">#REF!</definedName>
    <definedName name="MT_2">#REF!</definedName>
    <definedName name="MT_3" localSheetId="1">#REF!</definedName>
    <definedName name="MT_3">#REF!</definedName>
    <definedName name="MTV">#REF!</definedName>
    <definedName name="MV_1">#REF!</definedName>
    <definedName name="MV_2">#REF!</definedName>
    <definedName name="MV_3">#REF!</definedName>
    <definedName name="MV_4">#REF!</definedName>
    <definedName name="MV_5">#REF!</definedName>
    <definedName name="n" localSheetId="1">MATCH(0.01,[0]!End_Bal,-1)+1</definedName>
    <definedName name="n">MATCH(0.01,End_Bal,-1)+1</definedName>
    <definedName name="N___0">#REF!</definedName>
    <definedName name="N___13">#REF!</definedName>
    <definedName name="nagappa" localSheetId="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nagappa" localSheetId="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nagappa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nagu" localSheetId="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nagu" localSheetId="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nagu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nbk">#REF!</definedName>
    <definedName name="NBMF" localSheetId="1">#REF!</definedName>
    <definedName name="NBMF">#REF!</definedName>
    <definedName name="Neck" localSheetId="1">#REF!</definedName>
    <definedName name="Neck">#REF!</definedName>
    <definedName name="NEW">#REF!</definedName>
    <definedName name="nmmn">#REF!</definedName>
    <definedName name="NN">#REF!</definedName>
    <definedName name="NN___0">#REF!</definedName>
    <definedName name="NN___13">#REF!</definedName>
    <definedName name="nnn">#REF!</definedName>
    <definedName name="no" localSheetId="1">#REF!</definedName>
    <definedName name="no">#REF!</definedName>
    <definedName name="nonmodular" localSheetId="1">#REF!</definedName>
    <definedName name="nonmodular">#REF!</definedName>
    <definedName name="nonmodular_4" localSheetId="1">#REF!</definedName>
    <definedName name="nonmodular_4">#REF!</definedName>
    <definedName name="nonmodular_6" localSheetId="1">#REF!</definedName>
    <definedName name="nonmodular_6">#REF!</definedName>
    <definedName name="NOT_SPECIFIED">#REF!</definedName>
    <definedName name="notes" localSheetId="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notes" localSheetId="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notes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ntesu" localSheetId="1">#REF!</definedName>
    <definedName name="ntesu">#REF!</definedName>
    <definedName name="Num_Pmt_Per_Year" localSheetId="1">#REF!</definedName>
    <definedName name="Num_Pmt_Per_Year">#REF!</definedName>
    <definedName name="Number_of_Payments" localSheetId="1">MATCH(0.01,[0]!End_Bal,-1)+1</definedName>
    <definedName name="Number_of_Payments">MATCH(0.01,End_Bal,-1)+1</definedName>
    <definedName name="Nx">#REF!</definedName>
    <definedName name="Nx___0">#REF!</definedName>
    <definedName name="Nx___13">#REF!</definedName>
    <definedName name="Ny">#REF!</definedName>
    <definedName name="Ny___0">#REF!</definedName>
    <definedName name="Ny___13">#REF!</definedName>
    <definedName name="o">#REF!</definedName>
    <definedName name="obpl">#REF!</definedName>
    <definedName name="octf">#REF!</definedName>
    <definedName name="OfficeBoys">#REF!</definedName>
    <definedName name="oio">#REF!</definedName>
    <definedName name="oipo">#REF!</definedName>
    <definedName name="ok" localSheetId="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ok" localSheetId="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ok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ool" localSheetId="1">#REF!</definedName>
    <definedName name="ool">#REF!</definedName>
    <definedName name="ooooooooo" localSheetId="1">#REF!</definedName>
    <definedName name="ooooooooo">#REF!</definedName>
    <definedName name="ooopp">#REF!</definedName>
    <definedName name="Open" localSheetId="1">#REF!</definedName>
    <definedName name="Open">#REF!</definedName>
    <definedName name="option22">#REF!</definedName>
    <definedName name="osdnvkls" localSheetId="1" hidden="1">#REF!</definedName>
    <definedName name="osdnvkls" localSheetId="4" hidden="1">#REF!</definedName>
    <definedName name="osdnvkls" hidden="1">#REF!</definedName>
    <definedName name="OVER_HEADS_ENTRY" localSheetId="1">#REF!</definedName>
    <definedName name="OVER_HEADS_ENTRY">#REF!</definedName>
    <definedName name="Overall_Summary_Title" localSheetId="1">#REF!</definedName>
    <definedName name="Overall_Summary_Title">#REF!</definedName>
    <definedName name="OVERHEADS" localSheetId="1">#REF!</definedName>
    <definedName name="OVERHEADS">#REF!</definedName>
    <definedName name="OwnAcctNum">#REF!</definedName>
    <definedName name="OwnAcctNum_4">#REF!</definedName>
    <definedName name="OwnAcctNum_6">#REF!</definedName>
    <definedName name="P">#REF!</definedName>
    <definedName name="p___0">#REF!</definedName>
    <definedName name="p___13">#REF!</definedName>
    <definedName name="pa">#REF!</definedName>
    <definedName name="pa___0">#REF!</definedName>
    <definedName name="pa___13">#REF!</definedName>
    <definedName name="Pane2">#REF!</definedName>
    <definedName name="Pane2___0">#REF!</definedName>
    <definedName name="Pane2___13">#REF!</definedName>
    <definedName name="par">#N/A</definedName>
    <definedName name="part" localSheetId="1">#REF!</definedName>
    <definedName name="part">#REF!</definedName>
    <definedName name="paul">50000</definedName>
    <definedName name="Pay_Date" localSheetId="1">#REF!</definedName>
    <definedName name="Pay_Date">#REF!</definedName>
    <definedName name="Pay_Num" localSheetId="1">#REF!</definedName>
    <definedName name="Pay_Num">#REF!</definedName>
    <definedName name="Payment_Date" localSheetId="1">DATE(YEAR([0]!Loan_Start),MONTH([0]!Loan_Start)+Payment_Number,DAY([0]!Loan_Start))</definedName>
    <definedName name="Payment_Date">DATE(YEAR(Loan_Start),MONTH(Loan_Start)+Payment_Number,DAY(Loan_Start))</definedName>
    <definedName name="pb" localSheetId="1">#REF!</definedName>
    <definedName name="pb">#REF!</definedName>
    <definedName name="pb___0" localSheetId="1">#REF!</definedName>
    <definedName name="pb___0">#REF!</definedName>
    <definedName name="pb___11" localSheetId="1">#REF!</definedName>
    <definedName name="pb___11">#REF!</definedName>
    <definedName name="pb___12">#REF!</definedName>
    <definedName name="PBILL">#REF!</definedName>
    <definedName name="Pbx" localSheetId="1">#REF!</definedName>
    <definedName name="Pbx">#REF!</definedName>
    <definedName name="Pby" localSheetId="1">#REF!</definedName>
    <definedName name="Pby">#REF!</definedName>
    <definedName name="PCC" localSheetId="1">#REF!</definedName>
    <definedName name="PCC">#REF!</definedName>
    <definedName name="pd">#REF!</definedName>
    <definedName name="PD_1" localSheetId="1">#REF!</definedName>
    <definedName name="PD_1">#REF!</definedName>
    <definedName name="PEDESTAL" localSheetId="1">#REF!</definedName>
    <definedName name="PEDESTAL">#REF!</definedName>
    <definedName name="pH">#REF!</definedName>
    <definedName name="pH___0">#REF!</definedName>
    <definedName name="pH___13" localSheetId="1">#REF!</definedName>
    <definedName name="pH___13">#REF!</definedName>
    <definedName name="PhaseCode">#REF!</definedName>
    <definedName name="pioi">#REF!</definedName>
    <definedName name="PL_1">#REF!</definedName>
    <definedName name="Plant">#REF!</definedName>
    <definedName name="plants">#REF!</definedName>
    <definedName name="Plinth_beam">#REF!</definedName>
    <definedName name="plumbing1" localSheetId="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plumbing1" localSheetId="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plumbing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PLYWOOD" localSheetId="1">#REF!</definedName>
    <definedName name="PLYWOOD">#REF!</definedName>
    <definedName name="PM" localSheetId="1">#REF!</definedName>
    <definedName name="PM">#REF!</definedName>
    <definedName name="po" localSheetId="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po" localSheetId="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po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PO.1" localSheetId="1">#REF!</definedName>
    <definedName name="PO.1">#REF!</definedName>
    <definedName name="PO.2" localSheetId="1">#REF!</definedName>
    <definedName name="PO.2">#REF!</definedName>
    <definedName name="PO_1" localSheetId="1">#REF!</definedName>
    <definedName name="PO_1">#REF!</definedName>
    <definedName name="PO_2">#REF!</definedName>
    <definedName name="PO_3">#REF!</definedName>
    <definedName name="po_4">#REF!</definedName>
    <definedName name="po_6">#REF!</definedName>
    <definedName name="poles" localSheetId="1">#REF!</definedName>
    <definedName name="poles">#REF!</definedName>
    <definedName name="pp" localSheetId="1" hidden="1">#REF!</definedName>
    <definedName name="pp" localSheetId="4" hidden="1">#REF!</definedName>
    <definedName name="pp" hidden="1">#REF!</definedName>
    <definedName name="pppppppppp" localSheetId="1">#REF!</definedName>
    <definedName name="pppppppppp">#REF!</definedName>
    <definedName name="pr" localSheetId="1">#REF!</definedName>
    <definedName name="pr">#REF!</definedName>
    <definedName name="prasad145">#REF!</definedName>
    <definedName name="prasad146">#REF!</definedName>
    <definedName name="pre">#REF!</definedName>
    <definedName name="preli">#REF!</definedName>
    <definedName name="PRELIM">#REF!</definedName>
    <definedName name="Preliminaries">#REF!</definedName>
    <definedName name="preliminary">#REF!</definedName>
    <definedName name="prelims" localSheetId="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prelims" localSheetId="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prelims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Prelm_Exp" localSheetId="1">#REF!</definedName>
    <definedName name="Prelm_Exp">#REF!</definedName>
    <definedName name="PREMI" localSheetId="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PREMI" localSheetId="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PREMI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PREMILARI" localSheetId="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PREMILARI" localSheetId="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PREMILARI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PRIME" localSheetId="1">#REF!</definedName>
    <definedName name="PRIME">#REF!</definedName>
    <definedName name="PrimeAddress" localSheetId="1">#REF!</definedName>
    <definedName name="PrimeAddress">#REF!</definedName>
    <definedName name="PrimeAddress_4" localSheetId="1">#REF!</definedName>
    <definedName name="PrimeAddress_4">#REF!</definedName>
    <definedName name="PrimeAddress_6">#REF!</definedName>
    <definedName name="PrimeCity">#REF!</definedName>
    <definedName name="PrimeCity_4">#REF!</definedName>
    <definedName name="PrimeCity_6">#REF!</definedName>
    <definedName name="PrimeName">#REF!</definedName>
    <definedName name="PrimeName_4">#REF!</definedName>
    <definedName name="PrimeName_6">#REF!</definedName>
    <definedName name="PrimePostal">#REF!</definedName>
    <definedName name="PrimePostal_4">#REF!</definedName>
    <definedName name="PrimePostal_6">#REF!</definedName>
    <definedName name="PrimePrio">#REF!</definedName>
    <definedName name="PrimePrio_4">#REF!</definedName>
    <definedName name="PrimePrio_6">#REF!</definedName>
    <definedName name="PrimePrio_Text">#REF!</definedName>
    <definedName name="PrimePrio_Text_4">#REF!</definedName>
    <definedName name="PrimePrio_Text_6">#REF!</definedName>
    <definedName name="PrimeState">#REF!</definedName>
    <definedName name="PrimeState_4">#REF!</definedName>
    <definedName name="PrimeState_6">#REF!</definedName>
    <definedName name="prin">#REF!</definedName>
    <definedName name="Princ">#REF!</definedName>
    <definedName name="Principal">#REF!</definedName>
    <definedName name="Print">#REF!</definedName>
    <definedName name="print_ar">#REF!</definedName>
    <definedName name="_xlnm.Print_Area" localSheetId="1">#REF!</definedName>
    <definedName name="_xlnm.Print_Area">#REF!</definedName>
    <definedName name="PRINT_AREA_MI">#REF!</definedName>
    <definedName name="PRINT_AREA_MI___0">#REF!</definedName>
    <definedName name="PRINT_AREA_MI_4">#REF!</definedName>
    <definedName name="PRINT_AREA_MI_6">#REF!</definedName>
    <definedName name="Print_Area_Reset" localSheetId="1">OFFSET(Beams!Full_Print,0,0,Beams!Last_Row)</definedName>
    <definedName name="Print_Area_Reset">OFFSET(Full_Print,0,0,Last_Row)</definedName>
    <definedName name="_xlnm.Print_Titles" localSheetId="1">#REF!</definedName>
    <definedName name="_xlnm.Print_Titles">#REF!</definedName>
    <definedName name="priya" localSheetId="1">#REF!</definedName>
    <definedName name="priya">#REF!</definedName>
    <definedName name="priya1" localSheetId="1">#REF!</definedName>
    <definedName name="priya1">#REF!</definedName>
    <definedName name="pro" localSheetId="1">#REF!</definedName>
    <definedName name="pro">#REF!</definedName>
    <definedName name="PROD" localSheetId="1">#REF!</definedName>
    <definedName name="PROD">#REF!</definedName>
    <definedName name="PROD_4" localSheetId="1">#REF!</definedName>
    <definedName name="PROD_4">#REF!</definedName>
    <definedName name="PROD_6" localSheetId="1">#REF!</definedName>
    <definedName name="PROD_6">#REF!</definedName>
    <definedName name="ProdCode1">#REF!</definedName>
    <definedName name="ProdCode1_4">#REF!</definedName>
    <definedName name="ProdCode1_6">#REF!</definedName>
    <definedName name="ProdCode1_Text">#REF!</definedName>
    <definedName name="ProdCode1_Text_4">#REF!</definedName>
    <definedName name="ProdCode1_Text_6">#REF!</definedName>
    <definedName name="ProdCode2">#REF!</definedName>
    <definedName name="ProdCode2_4">#REF!</definedName>
    <definedName name="ProdCode2_6">#REF!</definedName>
    <definedName name="ProdCode2_Text">#REF!</definedName>
    <definedName name="ProdCode2_Text_4">#REF!</definedName>
    <definedName name="ProdCode2_Text_6">#REF!</definedName>
    <definedName name="ProdCode3">#REF!</definedName>
    <definedName name="ProdCode3_4">#REF!</definedName>
    <definedName name="ProdCode3_6">#REF!</definedName>
    <definedName name="ProdCode3_Text">#REF!</definedName>
    <definedName name="ProdCode3_Text_4">#REF!</definedName>
    <definedName name="ProdCode3_Text_6">#REF!</definedName>
    <definedName name="PRODCODE3KJGSCJKSDHCV">#REF!</definedName>
    <definedName name="ProdCode4">#REF!</definedName>
    <definedName name="ProdCode4_4">#REF!</definedName>
    <definedName name="ProdCode4_6">#REF!</definedName>
    <definedName name="ProdCode4_Text">#REF!</definedName>
    <definedName name="ProdCode4_Text_4">#REF!</definedName>
    <definedName name="ProdCode4_Text_6">#REF!</definedName>
    <definedName name="ProdCode5">#REF!</definedName>
    <definedName name="ProdCode5_4">#REF!</definedName>
    <definedName name="ProdCode5_6">#REF!</definedName>
    <definedName name="ProdCode5_Text">#REF!</definedName>
    <definedName name="ProdCode5_Text_4">#REF!</definedName>
    <definedName name="ProdCode5_Text_6">#REF!</definedName>
    <definedName name="ProdPct1">#REF!</definedName>
    <definedName name="ProdPct1_4">#REF!</definedName>
    <definedName name="ProdPct1_6">#REF!</definedName>
    <definedName name="ProdPct2">#REF!</definedName>
    <definedName name="ProdPct2_4">#REF!</definedName>
    <definedName name="ProdPct2_6">#REF!</definedName>
    <definedName name="ProdPct3">#REF!</definedName>
    <definedName name="ProdPct3_4">#REF!</definedName>
    <definedName name="ProdPct3_6">#REF!</definedName>
    <definedName name="ProdPct4">#REF!</definedName>
    <definedName name="ProdPct4_4">#REF!</definedName>
    <definedName name="ProdPct4_6">#REF!</definedName>
    <definedName name="ProdPct5">#REF!</definedName>
    <definedName name="ProdPct5_4">#REF!</definedName>
    <definedName name="ProdPct5_6">#REF!</definedName>
    <definedName name="ProjAddress1">#REF!</definedName>
    <definedName name="ProjAddress1_4">#REF!</definedName>
    <definedName name="ProjAddress1_6">#REF!</definedName>
    <definedName name="ProjAddress2">#REF!</definedName>
    <definedName name="ProjAddress2_4">#REF!</definedName>
    <definedName name="ProjAddress2_6">#REF!</definedName>
    <definedName name="ProjCity">#REF!</definedName>
    <definedName name="ProjCity_4">#REF!</definedName>
    <definedName name="ProjCity_6">#REF!</definedName>
    <definedName name="ProjCity1">#REF!</definedName>
    <definedName name="ProjCountry">#REF!</definedName>
    <definedName name="ProjCountry_4">#REF!</definedName>
    <definedName name="ProjCountry_6">#REF!</definedName>
    <definedName name="ProjCounty">#REF!</definedName>
    <definedName name="ProjCounty_4">#REF!</definedName>
    <definedName name="ProjCounty_6">#REF!</definedName>
    <definedName name="project">#REF!</definedName>
    <definedName name="ProjectLocation">#REF!</definedName>
    <definedName name="ProjectNumber">#REF!</definedName>
    <definedName name="ProjectSubtitle">#REF!</definedName>
    <definedName name="ProjectTitle">#REF!</definedName>
    <definedName name="ProjName">#REF!</definedName>
    <definedName name="ProjName_4">#REF!</definedName>
    <definedName name="ProjName_6">#REF!</definedName>
    <definedName name="ProjNum">#REF!</definedName>
    <definedName name="ProjNum_4">#REF!</definedName>
    <definedName name="ProjNum_6">#REF!</definedName>
    <definedName name="ProjPostal">#REF!</definedName>
    <definedName name="ProjPostal_4">#REF!</definedName>
    <definedName name="ProjPostal_6">#REF!</definedName>
    <definedName name="ProjState">#REF!</definedName>
    <definedName name="ProjState_4">#REF!</definedName>
    <definedName name="ProjState_6">#REF!</definedName>
    <definedName name="PS">#REF!</definedName>
    <definedName name="PS___0">#REF!</definedName>
    <definedName name="PS___13">#REF!</definedName>
    <definedName name="PSABillingMethod">#REF!</definedName>
    <definedName name="PSABillingMethod_4">#REF!</definedName>
    <definedName name="PSABillingMethod_6">#REF!</definedName>
    <definedName name="pss">#REF!</definedName>
    <definedName name="pt" localSheetId="1">#REF!</definedName>
    <definedName name="pt">#REF!</definedName>
    <definedName name="pune" localSheetId="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pune" localSheetId="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pune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Puz" localSheetId="1">#REF!</definedName>
    <definedName name="Puz">#REF!</definedName>
    <definedName name="PV">#REF!</definedName>
    <definedName name="q" localSheetId="1">#REF!</definedName>
    <definedName name="q">#REF!</definedName>
    <definedName name="qa" localSheetId="1">#REF!</definedName>
    <definedName name="qa">#REF!</definedName>
    <definedName name="Qc" localSheetId="1">#REF!</definedName>
    <definedName name="Qc">#REF!</definedName>
    <definedName name="Qc___0" localSheetId="1">#REF!</definedName>
    <definedName name="Qc___0">#REF!</definedName>
    <definedName name="Qc___13" localSheetId="1">#REF!</definedName>
    <definedName name="Qc___13">#REF!</definedName>
    <definedName name="Qf" localSheetId="1">#REF!</definedName>
    <definedName name="Qf">#REF!</definedName>
    <definedName name="Qf___0" localSheetId="1">#REF!</definedName>
    <definedName name="Qf___0">#REF!</definedName>
    <definedName name="Qf___13">#REF!</definedName>
    <definedName name="Qi">#REF!</definedName>
    <definedName name="Qi___0">#REF!</definedName>
    <definedName name="Qi___13">#REF!</definedName>
    <definedName name="Ql">#REF!</definedName>
    <definedName name="Ql___0">#REF!</definedName>
    <definedName name="Ql___13">#REF!</definedName>
    <definedName name="qq" localSheetId="4" hidden="1">#REF!</definedName>
    <definedName name="qq" hidden="1">#REF!</definedName>
    <definedName name="QRQWD">#REF!</definedName>
    <definedName name="Qspan">#REF!</definedName>
    <definedName name="QTY">#REF!</definedName>
    <definedName name="qua">#REF!</definedName>
    <definedName name="Quantity">#REF!</definedName>
    <definedName name="QUANTITY1">#REF!</definedName>
    <definedName name="Quantity2">#REF!</definedName>
    <definedName name="quar">#REF!</definedName>
    <definedName name="QUARTZ">#REF!</definedName>
    <definedName name="quotient">"denominator"</definedName>
    <definedName name="qw" localSheetId="1">#REF!</definedName>
    <definedName name="qw">#REF!</definedName>
    <definedName name="qwe" localSheetId="1">#REF!</definedName>
    <definedName name="qwe">#REF!</definedName>
    <definedName name="qwerwqerwe" localSheetId="1">#REF!</definedName>
    <definedName name="qwerwqerwe">#REF!</definedName>
    <definedName name="ra" localSheetId="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ra" localSheetId="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ra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rad" localSheetId="1">#REF!</definedName>
    <definedName name="rad">#REF!</definedName>
    <definedName name="radhika" localSheetId="1">#REF!</definedName>
    <definedName name="radhika">#REF!</definedName>
    <definedName name="rahaerh" localSheetId="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rahaerh" localSheetId="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rahaerh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RANGE" localSheetId="1">#REF!</definedName>
    <definedName name="RANGE">#REF!</definedName>
    <definedName name="RANGE1" localSheetId="1">#REF!</definedName>
    <definedName name="RANGE1">#REF!</definedName>
    <definedName name="RANGE2" localSheetId="1">#REF!</definedName>
    <definedName name="RANGE2">#REF!</definedName>
    <definedName name="RANGE21">#REF!</definedName>
    <definedName name="range3">#REF!</definedName>
    <definedName name="RASH">#REF!</definedName>
    <definedName name="rashmin" localSheetId="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rashmin" localSheetId="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rashmin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re" localSheetId="1">#REF!</definedName>
    <definedName name="re">#REF!</definedName>
    <definedName name="Re___0" localSheetId="1">#REF!</definedName>
    <definedName name="Re___0">#REF!</definedName>
    <definedName name="Re___13" localSheetId="1">#REF!</definedName>
    <definedName name="Re___13">#REF!</definedName>
    <definedName name="rec" localSheetId="1">#REF!</definedName>
    <definedName name="rec">#REF!</definedName>
    <definedName name="Recon">#REF!</definedName>
    <definedName name="reconcilation">#REF!</definedName>
    <definedName name="reconcile" localSheetId="1">#REF!</definedName>
    <definedName name="reconcile">#REF!</definedName>
    <definedName name="Reconcole">#N/A</definedName>
    <definedName name="_xlnm.Recorder" localSheetId="1">#REF!</definedName>
    <definedName name="_xlnm.Recorder">#REF!</definedName>
    <definedName name="rect_4_415" localSheetId="1">#REF!</definedName>
    <definedName name="rect_4_415">#REF!</definedName>
    <definedName name="reee" localSheetId="1">#REF!</definedName>
    <definedName name="reee">#REF!</definedName>
    <definedName name="regeg" localSheetId="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regeg" localSheetId="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regeg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REGULAR_STAFF" localSheetId="1">#REF!</definedName>
    <definedName name="REGULAR_STAFF">#REF!</definedName>
    <definedName name="REGULAR_STAFF_ENTRY" localSheetId="1">#REF!</definedName>
    <definedName name="REGULAR_STAFF_ENTRY">#REF!</definedName>
    <definedName name="rel" localSheetId="1">#REF!</definedName>
    <definedName name="rel">#REF!</definedName>
    <definedName name="RES">#REF!</definedName>
    <definedName name="resd" localSheetId="1">#REF!</definedName>
    <definedName name="resd">#REF!</definedName>
    <definedName name="reswe" localSheetId="1" hidden="1">#REF!</definedName>
    <definedName name="reswe" hidden="1">#REF!</definedName>
    <definedName name="Rev" localSheetId="1">#REF!</definedName>
    <definedName name="Rev">#REF!</definedName>
    <definedName name="REVISED" localSheetId="1">#REF!</definedName>
    <definedName name="REVISED">#REF!</definedName>
    <definedName name="Revision" localSheetId="1">#REF!</definedName>
    <definedName name="Revision">#REF!</definedName>
    <definedName name="REW">#REF!</definedName>
    <definedName name="rggg" localSheetId="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rggg" localSheetId="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rggg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RID" localSheetId="1">#REF!</definedName>
    <definedName name="RID">#REF!</definedName>
    <definedName name="rig" localSheetId="1">#REF!</definedName>
    <definedName name="rig">#REF!</definedName>
    <definedName name="rim4_4" localSheetId="1">#REF!</definedName>
    <definedName name="rim4_4">#REF!</definedName>
    <definedName name="rim4_6">#REF!</definedName>
    <definedName name="Rl">#REF!</definedName>
    <definedName name="Rl___0">#REF!</definedName>
    <definedName name="Rl___13">#REF!</definedName>
    <definedName name="robot">#REF!</definedName>
    <definedName name="rosid">#REF!</definedName>
    <definedName name="RQQQ">#REF!</definedName>
    <definedName name="rr">#REF!</definedName>
    <definedName name="rrr">#REF!</definedName>
    <definedName name="RRRR" localSheetId="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RRRR" localSheetId="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RRRR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RRRRR" localSheetId="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RRRRR" localSheetId="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RRRRR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rrrrrr" localSheetId="1">#REF!</definedName>
    <definedName name="rrrrrr">#REF!</definedName>
    <definedName name="rrrrrrrrr" localSheetId="1">#REF!</definedName>
    <definedName name="rrrrrrrrr">#REF!</definedName>
    <definedName name="rrrrrrrrrr" localSheetId="1">#REF!</definedName>
    <definedName name="rrrrrrrrrr">#REF!</definedName>
    <definedName name="rrrrrrrrrrr">#REF!</definedName>
    <definedName name="Rs">#REF!</definedName>
    <definedName name="Rs___0">#REF!</definedName>
    <definedName name="Rs___13">#REF!</definedName>
    <definedName name="Rse">#REF!</definedName>
    <definedName name="Rse___0">#REF!</definedName>
    <definedName name="Rse___13">#REF!</definedName>
    <definedName name="rt">#REF!</definedName>
    <definedName name="rtr">#REF!</definedName>
    <definedName name="rtrt">#REF!</definedName>
    <definedName name="rtrtr" localSheetId="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rtrtr" localSheetId="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rtrtr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rtrtrt" localSheetId="1">#REF!</definedName>
    <definedName name="rtrtrt">#REF!</definedName>
    <definedName name="rttrt" localSheetId="1">#REF!</definedName>
    <definedName name="rttrt">#REF!</definedName>
    <definedName name="rty" localSheetId="1">#REF!</definedName>
    <definedName name="rty">#REF!</definedName>
    <definedName name="rtyu">#REF!</definedName>
    <definedName name="RUT">#REF!</definedName>
    <definedName name="ryy">#REF!</definedName>
    <definedName name="S">#REF!</definedName>
    <definedName name="S0">#REF!</definedName>
    <definedName name="SA">#REF!</definedName>
    <definedName name="saa">#REF!</definedName>
    <definedName name="sadd">#REF!</definedName>
    <definedName name="sadfasdf" localSheetId="1">#REF!</definedName>
    <definedName name="sadfasdf">#REF!</definedName>
    <definedName name="sadfdasf" localSheetId="1" hidden="1">#REF!</definedName>
    <definedName name="sadfdasf" localSheetId="4" hidden="1">#REF!</definedName>
    <definedName name="sadfdasf" hidden="1">#REF!</definedName>
    <definedName name="sadfsadf" localSheetId="1">#REF!</definedName>
    <definedName name="sadfsadf">#REF!</definedName>
    <definedName name="sadfsdaf" localSheetId="1">#REF!</definedName>
    <definedName name="sadfsdaf">#REF!</definedName>
    <definedName name="safe">#REF!</definedName>
    <definedName name="Safety">#REF!</definedName>
    <definedName name="salary">#REF!</definedName>
    <definedName name="SalesMgr">#REF!</definedName>
    <definedName name="SalesMgr_4">#REF!</definedName>
    <definedName name="SalesMgr_6">#REF!</definedName>
    <definedName name="SASDASD">#REF!</definedName>
    <definedName name="saucomd">#REF!</definedName>
    <definedName name="saucstf">#REF!</definedName>
    <definedName name="saud">#REF!</definedName>
    <definedName name="saud_4">#REF!</definedName>
    <definedName name="saud_6">#REF!</definedName>
    <definedName name="saudirf">#REF!</definedName>
    <definedName name="sauf">#REF!</definedName>
    <definedName name="sauf_4">#REF!</definedName>
    <definedName name="sauf_6">#REF!</definedName>
    <definedName name="sauif">#REF!</definedName>
    <definedName name="sauif_4">#REF!</definedName>
    <definedName name="sauif_6">#REF!</definedName>
    <definedName name="sauspad">#REF!</definedName>
    <definedName name="sausysd">#REF!</definedName>
    <definedName name="scaffolding" hidden="1">#REF!</definedName>
    <definedName name="SCC">#REF!</definedName>
    <definedName name="SCD">#REF!</definedName>
    <definedName name="SCE">#REF!</definedName>
    <definedName name="SCED">#REF!</definedName>
    <definedName name="Sched_Pay">#REF!</definedName>
    <definedName name="Scheduled_Extra_Payments">#REF!</definedName>
    <definedName name="Scheduled_Interest_Rate">#REF!</definedName>
    <definedName name="Scheduled_Monthly_Payment">#REF!</definedName>
    <definedName name="schools">#REF!</definedName>
    <definedName name="Scroll">#REF!</definedName>
    <definedName name="SD">#REF!</definedName>
    <definedName name="sdasd" localSheetId="1">#REF!</definedName>
    <definedName name="sdasd">#REF!</definedName>
    <definedName name="Sdate" localSheetId="1">#REF!</definedName>
    <definedName name="Sdate">#REF!</definedName>
    <definedName name="sddff" localSheetId="1">#REF!</definedName>
    <definedName name="sddff">#REF!</definedName>
    <definedName name="sdfd" localSheetId="1">#REF!</definedName>
    <definedName name="sdfd">#REF!</definedName>
    <definedName name="sdfdf">#REF!</definedName>
    <definedName name="sdffggg">#REF!</definedName>
    <definedName name="sdffs">#REF!</definedName>
    <definedName name="sdffsd">#REF!</definedName>
    <definedName name="sdfgdsfgdf">#REF!</definedName>
    <definedName name="sdfgsdg">#N/A</definedName>
    <definedName name="sdfgsdsdsdf" localSheetId="1">#REF!</definedName>
    <definedName name="sdfgsdsdsdf">#REF!</definedName>
    <definedName name="sdfjasdfklj" localSheetId="1">#REF!</definedName>
    <definedName name="sdfjasdfklj">#REF!</definedName>
    <definedName name="SDFS" localSheetId="1">#REF!</definedName>
    <definedName name="SDFS">#REF!</definedName>
    <definedName name="sdfsd" localSheetId="1">#REF!</definedName>
    <definedName name="sdfsd">#REF!</definedName>
    <definedName name="sdfsdf" localSheetId="1">#REF!</definedName>
    <definedName name="sdfsdf">#REF!</definedName>
    <definedName name="sdggdsfgsdf" localSheetId="1">#REF!</definedName>
    <definedName name="sdggdsfgsdf">#REF!</definedName>
    <definedName name="sdgsdht">#REF!</definedName>
    <definedName name="sdgsdsdf">#REF!</definedName>
    <definedName name="sdpl">#REF!</definedName>
    <definedName name="SDPLBS">#REF!</definedName>
    <definedName name="SDPLFA">#REF!</definedName>
    <definedName name="SDPLPL">#REF!</definedName>
    <definedName name="sdsd">#REF!</definedName>
    <definedName name="sdsss">#REF!</definedName>
    <definedName name="SDW">#REF!</definedName>
    <definedName name="se">#REF!</definedName>
    <definedName name="sec">#REF!</definedName>
    <definedName name="sec_deposit">#REF!</definedName>
    <definedName name="SECT">#REF!</definedName>
    <definedName name="sect1" localSheetId="1">#REF!</definedName>
    <definedName name="sect1">#REF!</definedName>
    <definedName name="SECTION" localSheetId="1">#REF!</definedName>
    <definedName name="SECTION">#REF!</definedName>
    <definedName name="Section_1_Title" localSheetId="1">#REF!</definedName>
    <definedName name="Section_1_Title">#REF!</definedName>
    <definedName name="Section_2_Title" localSheetId="1">#REF!</definedName>
    <definedName name="Section_2_Title">#REF!</definedName>
    <definedName name="Section_3_Title">#REF!</definedName>
    <definedName name="Section_4_Title">#REF!</definedName>
    <definedName name="Section_5_Title">#REF!</definedName>
    <definedName name="Section_6_Title">#REF!</definedName>
    <definedName name="Section_7_Title">#REF!</definedName>
    <definedName name="Section_8_Title">#REF!</definedName>
    <definedName name="secured">#REF!</definedName>
    <definedName name="security" localSheetId="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ecurity" localSheetId="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ecurity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electedLanguage" localSheetId="1">#REF!</definedName>
    <definedName name="SelectedLanguage">#REF!</definedName>
    <definedName name="SelectedLanguage_4" localSheetId="1">#REF!</definedName>
    <definedName name="SelectedLanguage_4">#REF!</definedName>
    <definedName name="SelectedLanguage_6" localSheetId="1">#REF!</definedName>
    <definedName name="SelectedLanguage_6">#REF!</definedName>
    <definedName name="sencount" hidden="1">1</definedName>
    <definedName name="SER" localSheetId="1">#REF!</definedName>
    <definedName name="SER">#REF!</definedName>
    <definedName name="servf" localSheetId="1">#REF!</definedName>
    <definedName name="servf">#REF!</definedName>
    <definedName name="Setflag" localSheetId="1">#REF!</definedName>
    <definedName name="Setflag">#REF!</definedName>
    <definedName name="SF">#REF!</definedName>
    <definedName name="sfdfsd">#REF!</definedName>
    <definedName name="sfe" hidden="1">#REF!</definedName>
    <definedName name="sfff">#REF!</definedName>
    <definedName name="SFFSDF">#REF!</definedName>
    <definedName name="sffsff">#REF!</definedName>
    <definedName name="sffssd">#REF!</definedName>
    <definedName name="SFL">#REF!</definedName>
    <definedName name="sfsd" localSheetId="1">#REF!</definedName>
    <definedName name="sfsd">#REF!</definedName>
    <definedName name="SFSDFS" localSheetId="1">#REF!</definedName>
    <definedName name="SFSDFS">#REF!</definedName>
    <definedName name="SFSDFSD" localSheetId="1">#REF!</definedName>
    <definedName name="SFSDFSD">#REF!</definedName>
    <definedName name="SFSDFSDF">#REF!</definedName>
    <definedName name="SFSDFSF">#REF!</definedName>
    <definedName name="sfsf">#REF!</definedName>
    <definedName name="sfsfs" localSheetId="1">#REF!</definedName>
    <definedName name="sfsfs">#REF!</definedName>
    <definedName name="sfssdfs" localSheetId="1">#REF!</definedName>
    <definedName name="sfssdfs">#REF!</definedName>
    <definedName name="sfssf" localSheetId="1" hidden="1">#REF!</definedName>
    <definedName name="sfssf" localSheetId="4" hidden="1">#REF!</definedName>
    <definedName name="sfssf" hidden="1">#REF!</definedName>
    <definedName name="SFWEWFRWER" localSheetId="1">#REF!</definedName>
    <definedName name="SFWEWFRWER">#REF!</definedName>
    <definedName name="sg" localSheetId="1">#REF!</definedName>
    <definedName name="sg">#REF!</definedName>
    <definedName name="sgfe" localSheetId="1" hidden="1">#REF!</definedName>
    <definedName name="sgfe" hidden="1">#REF!</definedName>
    <definedName name="sgfssfs" localSheetId="1">#REF!</definedName>
    <definedName name="sgfssfs">#REF!</definedName>
    <definedName name="sgggggg" localSheetId="1" hidden="1">#REF!</definedName>
    <definedName name="sgggggg" hidden="1">#REF!</definedName>
    <definedName name="sh" localSheetId="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h" localSheetId="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h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haji545" localSheetId="1">#REF!</definedName>
    <definedName name="shaji545">#REF!</definedName>
    <definedName name="shankr" localSheetId="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hankr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har" localSheetId="1">#REF!</definedName>
    <definedName name="shar">#REF!</definedName>
    <definedName name="Shear" localSheetId="1" hidden="1">#REF!</definedName>
    <definedName name="Shear" hidden="1">#REF!</definedName>
    <definedName name="Sheet" localSheetId="1" hidden="1">#REF!</definedName>
    <definedName name="Sheet" hidden="1">#REF!</definedName>
    <definedName name="sheet1">#REF!</definedName>
    <definedName name="sheet1___0">#REF!</definedName>
    <definedName name="sheet1___13" localSheetId="1">#REF!</definedName>
    <definedName name="sheet1___13">#REF!</definedName>
    <definedName name="SHOPBOQ">#REF!</definedName>
    <definedName name="SHOPHED">#REF!</definedName>
    <definedName name="SHRLMR" localSheetId="1">Scheduled_Payment+Extra_Payment</definedName>
    <definedName name="SHRLMR">Scheduled_Payment+Extra_Payment</definedName>
    <definedName name="Sht" localSheetId="1">#REF!</definedName>
    <definedName name="Sht">#REF!</definedName>
    <definedName name="si" localSheetId="1">#REF!</definedName>
    <definedName name="si">#REF!</definedName>
    <definedName name="sigma0.2" localSheetId="1">#REF!</definedName>
    <definedName name="sigma0.2">#REF!</definedName>
    <definedName name="sigma0_2">#REF!</definedName>
    <definedName name="sigmab">#REF!</definedName>
    <definedName name="sigmah">#REF!</definedName>
    <definedName name="sigmat">#REF!</definedName>
    <definedName name="sini" localSheetId="1">#REF!</definedName>
    <definedName name="sini">#REF!</definedName>
    <definedName name="SiteID" localSheetId="1">#REF!</definedName>
    <definedName name="SiteID">#REF!</definedName>
    <definedName name="SiteID_4" localSheetId="1">#REF!</definedName>
    <definedName name="SiteID_4">#REF!</definedName>
    <definedName name="SiteID_6" localSheetId="1">#REF!</definedName>
    <definedName name="SiteID_6">#REF!</definedName>
    <definedName name="SiteType">#REF!</definedName>
    <definedName name="SiteType_4">#REF!</definedName>
    <definedName name="SiteType_6">#REF!</definedName>
    <definedName name="siva">#REF!</definedName>
    <definedName name="sl">#REF!</definedName>
    <definedName name="SmallProj" localSheetId="1">#REF!</definedName>
    <definedName name="SmallProj">#REF!</definedName>
    <definedName name="SmallProj_4" localSheetId="1">#REF!</definedName>
    <definedName name="SmallProj_4">#REF!</definedName>
    <definedName name="SmallProj_6" localSheetId="1">#REF!</definedName>
    <definedName name="SmallProj_6">#REF!</definedName>
    <definedName name="SmallProj_Text">#REF!</definedName>
    <definedName name="SmallProj_Text_4">#REF!</definedName>
    <definedName name="SmallProj_Text_6">#REF!</definedName>
    <definedName name="soasia" hidden="1">#REF!</definedName>
    <definedName name="sobha" localSheetId="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obha" localSheetId="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obha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OL" localSheetId="1">#REF!</definedName>
    <definedName name="SOL">#REF!</definedName>
    <definedName name="SOLAR" localSheetId="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OLAR" localSheetId="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OLAR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OLVENT" localSheetId="1">#REF!</definedName>
    <definedName name="SOLVENT">#REF!</definedName>
    <definedName name="solvents" localSheetId="1">#REF!</definedName>
    <definedName name="solvents">#REF!</definedName>
    <definedName name="sond" localSheetId="1">#REF!</definedName>
    <definedName name="sond">#REF!</definedName>
    <definedName name="sondf">#REF!</definedName>
    <definedName name="soo" hidden="1">#REF!</definedName>
    <definedName name="sp">#REF!</definedName>
    <definedName name="SP_1">#REF!</definedName>
    <definedName name="SP_2">#REF!</definedName>
    <definedName name="SP1Branch">#REF!</definedName>
    <definedName name="SP1Branch_4">#REF!</definedName>
    <definedName name="SP1Branch_6">#REF!</definedName>
    <definedName name="SP1Credit">#REF!</definedName>
    <definedName name="SP1Credit_4">#REF!</definedName>
    <definedName name="SP1Credit_6">#REF!</definedName>
    <definedName name="SP1Name">#REF!</definedName>
    <definedName name="SP1Name_4">#REF!</definedName>
    <definedName name="SP1Name_6">#REF!</definedName>
    <definedName name="SP1Number">#REF!</definedName>
    <definedName name="SP1Number_4">#REF!</definedName>
    <definedName name="SP1Number_6">#REF!</definedName>
    <definedName name="SP2Branch">#REF!</definedName>
    <definedName name="SP2Branch_4">#REF!</definedName>
    <definedName name="SP2Branch_6">#REF!</definedName>
    <definedName name="SP2Credit">#REF!</definedName>
    <definedName name="SP2Credit_4">#REF!</definedName>
    <definedName name="SP2Credit_6">#REF!</definedName>
    <definedName name="SP2Name">#REF!</definedName>
    <definedName name="SP2Name_4">#REF!</definedName>
    <definedName name="SP2Name_6">#REF!</definedName>
    <definedName name="SP2Number">#REF!</definedName>
    <definedName name="SP2Number_4">#REF!</definedName>
    <definedName name="SP2Number_6">#REF!</definedName>
    <definedName name="SP3Branch">#REF!</definedName>
    <definedName name="SP3Branch_4">#REF!</definedName>
    <definedName name="SP3Branch_6">#REF!</definedName>
    <definedName name="SP3Credit">#REF!</definedName>
    <definedName name="SP3Credit_4">#REF!</definedName>
    <definedName name="SP3Credit_6">#REF!</definedName>
    <definedName name="SP3Name">#REF!</definedName>
    <definedName name="SP3Name_4">#REF!</definedName>
    <definedName name="SP3Name_6">#REF!</definedName>
    <definedName name="SP3Number">#REF!</definedName>
    <definedName name="SP3Number_4">#REF!</definedName>
    <definedName name="SP3Number_6">#REF!</definedName>
    <definedName name="SP4Branch">#REF!</definedName>
    <definedName name="SP4Branch_4">#REF!</definedName>
    <definedName name="SP4Branch_6">#REF!</definedName>
    <definedName name="SP4Credit">#REF!</definedName>
    <definedName name="SP4Credit_4">#REF!</definedName>
    <definedName name="SP4Credit_6">#REF!</definedName>
    <definedName name="SP4Name">#REF!</definedName>
    <definedName name="SP4Name_4">#REF!</definedName>
    <definedName name="SP4Name_6">#REF!</definedName>
    <definedName name="SP4Number">#REF!</definedName>
    <definedName name="SP4Number_4">#REF!</definedName>
    <definedName name="SP4Number_6">#REF!</definedName>
    <definedName name="SP5Branch">#REF!</definedName>
    <definedName name="SP5Branch_4">#REF!</definedName>
    <definedName name="SP5Branch_6">#REF!</definedName>
    <definedName name="SP5Credit">#REF!</definedName>
    <definedName name="SP5Credit_4">#REF!</definedName>
    <definedName name="SP5Credit_6">#REF!</definedName>
    <definedName name="SP5Name">#REF!</definedName>
    <definedName name="SP5Name_4">#REF!</definedName>
    <definedName name="SP5Name_6">#REF!</definedName>
    <definedName name="SP5Number">#REF!</definedName>
    <definedName name="SP5Number_4">#REF!</definedName>
    <definedName name="SP5Number_6">#REF!</definedName>
    <definedName name="spares">#REF!</definedName>
    <definedName name="SpecClass">#REF!</definedName>
    <definedName name="SpecClass_4">#REF!</definedName>
    <definedName name="SpecClass_6">#REF!</definedName>
    <definedName name="SpecClass_Text">#REF!</definedName>
    <definedName name="SpecClass_Text_4">#REF!</definedName>
    <definedName name="SpecClass_Text_6">#REF!</definedName>
    <definedName name="SpecEnv1">#REF!</definedName>
    <definedName name="SpecEnv1_4">#REF!</definedName>
    <definedName name="SpecEnv1_6">#REF!</definedName>
    <definedName name="SpecEnv1_Text">#REF!</definedName>
    <definedName name="SpecEnv1_Text_4">#REF!</definedName>
    <definedName name="SpecEnv1_Text_6">#REF!</definedName>
    <definedName name="SpecEnv2">#REF!</definedName>
    <definedName name="SpecEnv2_4">#REF!</definedName>
    <definedName name="SpecEnv2_6">#REF!</definedName>
    <definedName name="SpecEnv2_Text">#REF!</definedName>
    <definedName name="SpecEnv2_Text_4">#REF!</definedName>
    <definedName name="SpecEnv2_Text_6">#REF!</definedName>
    <definedName name="SPLR">#REF!</definedName>
    <definedName name="SPLR_4">#REF!</definedName>
    <definedName name="SPLR_6">#REF!</definedName>
    <definedName name="sprare">#REF!</definedName>
    <definedName name="SQRT__1___0.6___1.0">#REF!</definedName>
    <definedName name="SQRT__1___0_6___1_0">#REF!</definedName>
    <definedName name="SQRT__1___0_6___1_0___0">#REF!</definedName>
    <definedName name="SQRT__1___0_6___1_0___13">#REF!</definedName>
    <definedName name="SR" localSheetId="1">#N/A</definedName>
    <definedName name="SR">DATE(YEAR(#REF!),MONTH(#REF!)+Payment_Number,DAY(#REF!))</definedName>
    <definedName name="SR_NO." localSheetId="1">#REF!</definedName>
    <definedName name="SR_NO.">#REF!</definedName>
    <definedName name="srasf" localSheetId="1">#REF!</definedName>
    <definedName name="srasf">#REF!</definedName>
    <definedName name="SRRRRR" localSheetId="1">#REF!</definedName>
    <definedName name="SRRRRR">#REF!</definedName>
    <definedName name="SrvcCode1" localSheetId="1">#REF!</definedName>
    <definedName name="SrvcCode1">#REF!</definedName>
    <definedName name="SrvcCode1_4">#REF!</definedName>
    <definedName name="SrvcCode1_6">#REF!</definedName>
    <definedName name="SrvcCode1_Text">#REF!</definedName>
    <definedName name="SrvcCode1_Text_4">#REF!</definedName>
    <definedName name="SrvcCode1_Text_6">#REF!</definedName>
    <definedName name="SrvcCode2">#REF!</definedName>
    <definedName name="SrvcCode2_4">#REF!</definedName>
    <definedName name="SrvcCode2_6">#REF!</definedName>
    <definedName name="SrvcCode2_Text">#REF!</definedName>
    <definedName name="SrvcCode2_Text_4">#REF!</definedName>
    <definedName name="SrvcCode2_Text_6">#REF!</definedName>
    <definedName name="SrvcCode3">#REF!</definedName>
    <definedName name="SrvcCode3_4">#REF!</definedName>
    <definedName name="SrvcCode3_6">#REF!</definedName>
    <definedName name="SrvcCode3_Text">#REF!</definedName>
    <definedName name="SrvcCode3_Text_4">#REF!</definedName>
    <definedName name="SrvcCode3_Text_6">#REF!</definedName>
    <definedName name="SrvcCode4">#REF!</definedName>
    <definedName name="SrvcCode4_4">#REF!</definedName>
    <definedName name="SrvcCode4_6">#REF!</definedName>
    <definedName name="SrvcCode4_Text">#REF!</definedName>
    <definedName name="SrvcCode4_Text_4">#REF!</definedName>
    <definedName name="SrvcCode4_Text_6">#REF!</definedName>
    <definedName name="SrvcCode5">#REF!</definedName>
    <definedName name="SrvcCode5_4">#REF!</definedName>
    <definedName name="SrvcCode5_6">#REF!</definedName>
    <definedName name="SrvcCode5_Text">#REF!</definedName>
    <definedName name="SrvcCode5_Text_4">#REF!</definedName>
    <definedName name="SrvcCode5_Text_6">#REF!</definedName>
    <definedName name="ss">#REF!</definedName>
    <definedName name="ssa">#REF!</definedName>
    <definedName name="ssfsfsf" localSheetId="1">#REF!</definedName>
    <definedName name="ssfsfsf">#REF!</definedName>
    <definedName name="ssfss" localSheetId="1">#REF!</definedName>
    <definedName name="ssfss">#REF!</definedName>
    <definedName name="ssfssf" localSheetId="1">#REF!</definedName>
    <definedName name="ssfssf">#REF!</definedName>
    <definedName name="sss" localSheetId="1">#REF!</definedName>
    <definedName name="sss">#REF!</definedName>
    <definedName name="sssdsf" localSheetId="1">#REF!</definedName>
    <definedName name="sssdsf">#REF!</definedName>
    <definedName name="sssss" localSheetId="1" hidden="1">#REF!</definedName>
    <definedName name="sssss" hidden="1">#REF!</definedName>
    <definedName name="SSWEWE" hidden="1">#REF!</definedName>
    <definedName name="ST">#REF!</definedName>
    <definedName name="staffing" localSheetId="1">#REF!</definedName>
    <definedName name="staffing">#REF!</definedName>
    <definedName name="Stage" localSheetId="1">#REF!</definedName>
    <definedName name="Stage">#REF!</definedName>
    <definedName name="Staircase" localSheetId="1">#REF!</definedName>
    <definedName name="Staircase">#REF!</definedName>
    <definedName name="Staircase2">#REF!</definedName>
    <definedName name="Start_Date">#REF!</definedName>
    <definedName name="StartDate">#REF!</definedName>
    <definedName name="StartDate_4">#REF!</definedName>
    <definedName name="StartDate_6">#REF!</definedName>
    <definedName name="steel">#REF!</definedName>
    <definedName name="steelc.b.d" localSheetId="1">#REF!</definedName>
    <definedName name="steelc.b.d">#REF!</definedName>
    <definedName name="stetrey" localSheetId="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tetrey" localSheetId="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tetrey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teyyy" localSheetId="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teyyy" localSheetId="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teyyy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tock" localSheetId="1">#REF!</definedName>
    <definedName name="stock">#REF!</definedName>
    <definedName name="stoolag08" localSheetId="1">#REF!</definedName>
    <definedName name="stoolag08">#REF!</definedName>
    <definedName name="stoolag50" localSheetId="1">#REF!</definedName>
    <definedName name="stoolag50">#REF!</definedName>
    <definedName name="stoolag81">#REF!</definedName>
    <definedName name="StrID">#REF!</definedName>
    <definedName name="structure">#REF!</definedName>
    <definedName name="stt">#REF!</definedName>
    <definedName name="su" localSheetId="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u" localSheetId="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u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ubject" localSheetId="1">#REF!</definedName>
    <definedName name="Subject">#REF!</definedName>
    <definedName name="SUMMARY" localSheetId="1">#REF!</definedName>
    <definedName name="SUMMARY">#REF!</definedName>
    <definedName name="suresh" localSheetId="1">#REF!</definedName>
    <definedName name="suresh">#REF!</definedName>
    <definedName name="SURYA">#REF!</definedName>
    <definedName name="sushma">#REF!</definedName>
    <definedName name="swf">#REF!</definedName>
    <definedName name="swf_4">#REF!</definedName>
    <definedName name="swf_6">#REF!</definedName>
    <definedName name="swimmingpool">#REF!</definedName>
    <definedName name="sysysey" localSheetId="1">Scheduled_Payment+Extra_Payment</definedName>
    <definedName name="sysysey">Scheduled_Payment+Extra_Payment</definedName>
    <definedName name="syteyey" localSheetId="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yteyey" localSheetId="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yteyey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yysysy">#N/A</definedName>
    <definedName name="t" localSheetId="1">#REF!</definedName>
    <definedName name="t">#REF!</definedName>
    <definedName name="t___0" localSheetId="1">#REF!</definedName>
    <definedName name="t___0">#REF!</definedName>
    <definedName name="t___13">#REF!</definedName>
    <definedName name="T0" localSheetId="1">#REF!</definedName>
    <definedName name="T0">#REF!</definedName>
    <definedName name="TA_1" localSheetId="1">#REF!</definedName>
    <definedName name="TA_1">#REF!</definedName>
    <definedName name="TA_2">#REF!</definedName>
    <definedName name="Table">#REF!</definedName>
    <definedName name="table1" localSheetId="1">#REF!</definedName>
    <definedName name="table1">#REF!</definedName>
    <definedName name="TABLE2" localSheetId="1">#REF!</definedName>
    <definedName name="TABLE2">#REF!</definedName>
    <definedName name="table3">#REF!</definedName>
    <definedName name="TABLE4">#REF!</definedName>
    <definedName name="TableRange" localSheetId="1">#REF!</definedName>
    <definedName name="TableRange">#REF!</definedName>
    <definedName name="tak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allu" localSheetId="1">#REF!</definedName>
    <definedName name="tallu">#REF!</definedName>
    <definedName name="tally">#REF!</definedName>
    <definedName name="tc">#REF!</definedName>
    <definedName name="te" localSheetId="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e" localSheetId="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e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ECHI" localSheetId="1">#REF!</definedName>
    <definedName name="TECHI">#REF!</definedName>
    <definedName name="TechnoSpace" localSheetId="1">#REF!</definedName>
    <definedName name="TechnoSpace">#REF!</definedName>
    <definedName name="tee" localSheetId="1">#REF!</definedName>
    <definedName name="tee">#REF!</definedName>
    <definedName name="tel">#REF!</definedName>
    <definedName name="TELEVISION">#REF!</definedName>
    <definedName name="temp" localSheetId="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emp" localSheetId="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emp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emp1" localSheetId="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emp1" localSheetId="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emp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END" localSheetId="1">#REF!</definedName>
    <definedName name="TEND">#REF!</definedName>
    <definedName name="TEs" localSheetId="1">#REF!</definedName>
    <definedName name="TEs">#REF!</definedName>
    <definedName name="TEs___0" localSheetId="1">#REF!</definedName>
    <definedName name="TEs___0">#REF!</definedName>
    <definedName name="TEs___13" localSheetId="1">#REF!</definedName>
    <definedName name="TEs___13">#REF!</definedName>
    <definedName name="testseyes" localSheetId="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estseyes" localSheetId="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estseyes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et" localSheetId="1">#REF!</definedName>
    <definedName name="tet">#REF!</definedName>
    <definedName name="TEt___0" localSheetId="1">#REF!</definedName>
    <definedName name="TEt___0">#REF!</definedName>
    <definedName name="TEt___13" localSheetId="1">#REF!</definedName>
    <definedName name="TEt___13">#REF!</definedName>
    <definedName name="TF">#REF!</definedName>
    <definedName name="TFL">#REF!</definedName>
    <definedName name="TierCode" localSheetId="1">#REF!</definedName>
    <definedName name="TierCode">#REF!</definedName>
    <definedName name="TierCode_4" localSheetId="1">#REF!</definedName>
    <definedName name="TierCode_4">#REF!</definedName>
    <definedName name="TierCode_6" localSheetId="1">#REF!</definedName>
    <definedName name="TierCode_6">#REF!</definedName>
    <definedName name="TierCode_Text">#REF!</definedName>
    <definedName name="TierCode_Text_4">#REF!</definedName>
    <definedName name="TierCode_Text_6">#REF!</definedName>
    <definedName name="tileaq">#REF!</definedName>
    <definedName name="Timberstep">#REF!</definedName>
    <definedName name="Title" localSheetId="1">#REF!</definedName>
    <definedName name="Title">#REF!</definedName>
    <definedName name="Title1" localSheetId="1">#REF!</definedName>
    <definedName name="Title1">#REF!</definedName>
    <definedName name="Title2" localSheetId="1">#REF!</definedName>
    <definedName name="Title2">#REF!</definedName>
    <definedName name="tol" localSheetId="1">#REF!</definedName>
    <definedName name="tol">#REF!</definedName>
    <definedName name="tools">#REF!</definedName>
    <definedName name="tools1">#REF!</definedName>
    <definedName name="topl">#REF!</definedName>
    <definedName name="topn">#REF!</definedName>
    <definedName name="TOTAL_CONSUMPTION">#REF!</definedName>
    <definedName name="Total_Interest">#REF!</definedName>
    <definedName name="Total_Pay">#REF!</definedName>
    <definedName name="Total_Payment" localSheetId="1">Scheduled_Payment+Extra_Payment</definedName>
    <definedName name="Total_Payment">Scheduled_Payment+Extra_Payment</definedName>
    <definedName name="towre" localSheetId="1">#REF!</definedName>
    <definedName name="towre">#REF!</definedName>
    <definedName name="tr" localSheetId="1">#REF!</definedName>
    <definedName name="tr">#REF!</definedName>
    <definedName name="tranformer" localSheetId="1" hidden="1">#REF!</definedName>
    <definedName name="tranformer" hidden="1">#REF!</definedName>
    <definedName name="TRANS" localSheetId="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RANS" localSheetId="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RANS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rrtr" localSheetId="1">#REF!</definedName>
    <definedName name="trrtr">#REF!</definedName>
    <definedName name="tS" localSheetId="1">#REF!</definedName>
    <definedName name="tS">#REF!</definedName>
    <definedName name="tS___0" localSheetId="1">#REF!</definedName>
    <definedName name="tS___0">#REF!</definedName>
    <definedName name="tS___13">#REF!</definedName>
    <definedName name="tt">#REF!</definedName>
    <definedName name="ttt" hidden="1">#REF!</definedName>
    <definedName name="tttt">#REF!</definedName>
    <definedName name="ttttt">#REF!</definedName>
    <definedName name="tttttt">#REF!</definedName>
    <definedName name="tttttttt">#REF!</definedName>
    <definedName name="ttttttttt">#REF!</definedName>
    <definedName name="tu">#REF!</definedName>
    <definedName name="TUES1">#REF!</definedName>
    <definedName name="tulip">#REF!</definedName>
    <definedName name="tuti" hidden="1">#REF!</definedName>
    <definedName name="tutyoiou">#N/A</definedName>
    <definedName name="TV" localSheetId="1">#REF!</definedName>
    <definedName name="TV">#REF!</definedName>
    <definedName name="TVV" localSheetId="1">#REF!</definedName>
    <definedName name="TVV">#REF!</definedName>
    <definedName name="ty" localSheetId="1" hidden="1">#REF!</definedName>
    <definedName name="ty" hidden="1">#REF!</definedName>
    <definedName name="tyeesgy">#REF!</definedName>
    <definedName name="type">#REF!</definedName>
    <definedName name="Type1">#REF!</definedName>
    <definedName name="Type2">#REF!</definedName>
    <definedName name="Type3">#REF!</definedName>
    <definedName name="tyt" localSheetId="1">#REF!</definedName>
    <definedName name="tyt">#REF!</definedName>
    <definedName name="tyy">#REF!</definedName>
    <definedName name="u">#REF!</definedName>
    <definedName name="UGF">#REF!</definedName>
    <definedName name="uiui" localSheetId="1">#REF!</definedName>
    <definedName name="uiui">#REF!</definedName>
    <definedName name="uiyo" localSheetId="1">#REF!</definedName>
    <definedName name="uiyo">#REF!</definedName>
    <definedName name="UNITS" localSheetId="1">#REF!</definedName>
    <definedName name="UNITS">#REF!</definedName>
    <definedName name="unsecured">#REF!</definedName>
    <definedName name="usd">#REF!</definedName>
    <definedName name="Use_Alternates">#REF!</definedName>
    <definedName name="uu">#REF!</definedName>
    <definedName name="uuu">#REF!</definedName>
    <definedName name="uuuuuuuu">#REF!</definedName>
    <definedName name="uyiui">#REF!</definedName>
    <definedName name="va">#REF!</definedName>
    <definedName name="va___0">#REF!</definedName>
    <definedName name="va___13">#REF!</definedName>
    <definedName name="VA_1">#REF!</definedName>
    <definedName name="VA_2">#REF!</definedName>
    <definedName name="VA_3">#REF!</definedName>
    <definedName name="VADODARA_________________________________CLIENT_______________M_s" localSheetId="1">#REF!</definedName>
    <definedName name="VADODARA_________________________________CLIENT_______________M_s">#REF!</definedName>
    <definedName name="vahas" localSheetId="1">#REF!</definedName>
    <definedName name="vahas">#REF!</definedName>
    <definedName name="Values_Entered" localSheetId="1">IF(Beams!Loan_Amount*[0]!Interest_Rate*[0]!Loan_Years*[0]!Loan_Start&gt;0,1,0)</definedName>
    <definedName name="Values_Entered">IF(Loan_Amount*Interest_Rate*Loan_Years*Loan_Start&gt;0,1,0)</definedName>
    <definedName name="VANDEMATARAM" localSheetId="1">#REF!</definedName>
    <definedName name="VANDEMATARAM">#REF!</definedName>
    <definedName name="variance" localSheetId="1">#REF!</definedName>
    <definedName name="variance">#REF!</definedName>
    <definedName name="variance.." localSheetId="1">#REF!</definedName>
    <definedName name="variance..">#REF!</definedName>
    <definedName name="vatf">#REF!</definedName>
    <definedName name="vatf_4">#REF!</definedName>
    <definedName name="vatf_6">#REF!</definedName>
    <definedName name="VB">#REF!</definedName>
    <definedName name="vbv">#REF!</definedName>
    <definedName name="vbvb">#REF!</definedName>
    <definedName name="vc">#REF!</definedName>
    <definedName name="VD">#REF!</definedName>
    <definedName name="veh">#REF!</definedName>
    <definedName name="vehicle">#REF!</definedName>
    <definedName name="Velocity_DiCL">#REF!</definedName>
    <definedName name="Velocity_ORD">#REF!</definedName>
    <definedName name="Vend">#REF!</definedName>
    <definedName name="VENEER">#REF!</definedName>
    <definedName name="Vf">#REF!</definedName>
    <definedName name="vgj" localSheetId="1">#REF!</definedName>
    <definedName name="vgj">#REF!</definedName>
    <definedName name="vijay" localSheetId="1">#REF!</definedName>
    <definedName name="vijay">#REF!</definedName>
    <definedName name="VIVEKANANDA" localSheetId="1">#REF!</definedName>
    <definedName name="VIVEKANANDA">#REF!</definedName>
    <definedName name="vjj" localSheetId="1">#REF!</definedName>
    <definedName name="vjj">#REF!</definedName>
    <definedName name="VNFVBDVFBZDSD">#REF!</definedName>
    <definedName name="Vsigma">#REF!</definedName>
    <definedName name="vv">#REF!</definedName>
    <definedName name="vxckbmjklbgjnklgbmjh" hidden="1">#REF!</definedName>
    <definedName name="Vz">#REF!</definedName>
    <definedName name="w">#REF!</definedName>
    <definedName name="Waiting">"Picture 1"</definedName>
    <definedName name="Water_Proofing" localSheetId="1">#REF!</definedName>
    <definedName name="Water_Proofing">#REF!</definedName>
    <definedName name="wdf" localSheetId="1">#REF!</definedName>
    <definedName name="wdf">#REF!</definedName>
    <definedName name="we" localSheetId="1">#REF!</definedName>
    <definedName name="we">#REF!</definedName>
    <definedName name="wee">#REF!</definedName>
    <definedName name="werwe">#REF!</definedName>
    <definedName name="wetewt">#REF!</definedName>
    <definedName name="wewe">#REF!</definedName>
    <definedName name="wfrwfrwefw">#REF!</definedName>
    <definedName name="WHITEWOOD">#REF!</definedName>
    <definedName name="wid">#REF!</definedName>
    <definedName name="wip">#REF!</definedName>
    <definedName name="WLP">#REF!</definedName>
    <definedName name="wood1344" localSheetId="1">#REF!</definedName>
    <definedName name="wood1344">#REF!</definedName>
    <definedName name="woodc.b.d" localSheetId="1">#REF!</definedName>
    <definedName name="woodc.b.d">#REF!</definedName>
    <definedName name="woodenflooring" localSheetId="1">#REF!</definedName>
    <definedName name="woodenflooring">#REF!</definedName>
    <definedName name="work" localSheetId="1">#REF!</definedName>
    <definedName name="work">#REF!</definedName>
    <definedName name="WP" localSheetId="1">#REF!</definedName>
    <definedName name="WP">#REF!</definedName>
    <definedName name="wreqwrt">#REF!</definedName>
    <definedName name="wrftw">#REF!</definedName>
    <definedName name="wrn.Full._.Report." localSheetId="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Full._.Report." localSheetId="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Full._.Report.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swww" localSheetId="1">#REF!</definedName>
    <definedName name="wswww">#REF!</definedName>
    <definedName name="wtrwwefr" localSheetId="1">#REF!</definedName>
    <definedName name="wtrwwefr">#REF!</definedName>
    <definedName name="ww" localSheetId="1" hidden="1">#REF!</definedName>
    <definedName name="ww" localSheetId="4" hidden="1">#REF!</definedName>
    <definedName name="ww" hidden="1">#REF!</definedName>
    <definedName name="wwwwww" localSheetId="1" hidden="1">#REF!</definedName>
    <definedName name="wwwwww" localSheetId="4" hidden="1">#REF!</definedName>
    <definedName name="wwwwww" hidden="1">#REF!</definedName>
    <definedName name="wwwwwwe" localSheetId="1" hidden="1">#REF!</definedName>
    <definedName name="wwwwwwe" hidden="1">#REF!</definedName>
    <definedName name="x" localSheetId="1">#REF!</definedName>
    <definedName name="x">#REF!</definedName>
    <definedName name="xc" localSheetId="1">#REF!</definedName>
    <definedName name="xc">#REF!</definedName>
    <definedName name="xcv" localSheetId="1">#REF!</definedName>
    <definedName name="xcv">#REF!</definedName>
    <definedName name="Xl" localSheetId="1">#REF!</definedName>
    <definedName name="Xl">#REF!</definedName>
    <definedName name="Xl___0" localSheetId="1">#REF!</definedName>
    <definedName name="Xl___0">#REF!</definedName>
    <definedName name="Xl___13">#REF!</definedName>
    <definedName name="xV" localSheetId="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xV" localSheetId="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xV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xx" localSheetId="1">#REF!</definedName>
    <definedName name="xx">#REF!</definedName>
    <definedName name="xyz" localSheetId="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xyz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xz" localSheetId="1">#REF!</definedName>
    <definedName name="xz">#REF!</definedName>
    <definedName name="xzfvv" localSheetId="1">#REF!</definedName>
    <definedName name="xzfvv">#REF!</definedName>
    <definedName name="y5ey" localSheetId="1">#REF!</definedName>
    <definedName name="y5ey">#REF!</definedName>
    <definedName name="yb" localSheetId="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yb" localSheetId="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yb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ysryeruj">#N/A</definedName>
    <definedName name="ystyet">#N/A</definedName>
    <definedName name="ysysyrry" localSheetId="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ysysyrry" localSheetId="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ysysyrry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yt">#N/A</definedName>
    <definedName name="ytut">#N/A</definedName>
    <definedName name="ytyt" localSheetId="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ytyt" localSheetId="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ytyt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yu" localSheetId="1">#REF!</definedName>
    <definedName name="yu">#REF!</definedName>
    <definedName name="yuyu" localSheetId="1">#REF!</definedName>
    <definedName name="yuyu">#REF!</definedName>
    <definedName name="ywerteqrt" localSheetId="1">#REF!</definedName>
    <definedName name="ywerteqrt">#REF!</definedName>
    <definedName name="yyy">#REF!</definedName>
    <definedName name="yyyyyyyyyyy">#REF!</definedName>
    <definedName name="z">#REF!</definedName>
    <definedName name="Z_01EEECA8_52E8_4BA6_B221_CB6D3C468C80_.wvu.Cols" localSheetId="4" hidden="1">#REF!</definedName>
    <definedName name="Z_01EEECA8_52E8_4BA6_B221_CB6D3C468C80_.wvu.Cols" hidden="1">#REF!</definedName>
    <definedName name="Z_01EEECA8_52E8_4BA6_B221_CB6D3C468C80_.wvu.FilterData" hidden="1">#REF!</definedName>
    <definedName name="Z_0B3EF283_BAAE_40DA_B109_606B8002D5D4_.wvu.FilterData" hidden="1">#REF!</definedName>
    <definedName name="Z_0C509CAE_4B28_497F_9463_E056D87AE422_.wvu.Rows" localSheetId="1" hidden="1">#REF!</definedName>
    <definedName name="Z_0C509CAE_4B28_497F_9463_E056D87AE422_.wvu.Rows" localSheetId="4" hidden="1">#REF!</definedName>
    <definedName name="Z_0C509CAE_4B28_497F_9463_E056D87AE422_.wvu.Rows" hidden="1">#REF!</definedName>
    <definedName name="Z_1ACBF9BF_8F87_4352_9D38_AD238D9E5D8E_.wvu.FilterData" localSheetId="1" hidden="1">Beams!$A$18:$AH$18</definedName>
    <definedName name="Z_3969C2A0_D133_4CC8_8848_D63365B31C2D_.wvu.PrintArea" localSheetId="0" hidden="1">Footing!$A$1:$Q$44</definedName>
    <definedName name="Z_3A264900_855F_414C_AE6F_AE4E344E2957_.wvu.PrintArea" localSheetId="0" hidden="1">Footing!$A$1:$M$44</definedName>
    <definedName name="Z_3A264900_855F_414C_AE6F_AE4E344E2957_.wvu.Rows" localSheetId="4" hidden="1">columns!$30:$30</definedName>
    <definedName name="Z_40291916_B61B_429B_89D6_FAEC98F3EE26_.wvu.FilterData" localSheetId="1" hidden="1">Beams!$A$18:$AH$18</definedName>
    <definedName name="Z_4C9C85DD_11E2_4C28_8656_168FAB913E69_.wvu.Rows" localSheetId="4" hidden="1">columns!$30:$30</definedName>
    <definedName name="Z_50FDCB41_05F6_4F27_B837_5AE8BD288148_.wvu.Cols" localSheetId="4" hidden="1">columns!$T:$W,columns!$AE:$AH,columns!#REF!</definedName>
    <definedName name="Z_50FDCB41_05F6_4F27_B837_5AE8BD288148_.wvu.PrintArea" localSheetId="0" hidden="1">Footing!$A$1:$Q$44</definedName>
    <definedName name="Z_5A4CDE39_BC84_48C0_8208_6970E7A71896_.wvu.Cols" localSheetId="1" hidden="1">#REF!,#REF!,#REF!</definedName>
    <definedName name="Z_5A4CDE39_BC84_48C0_8208_6970E7A71896_.wvu.Cols" localSheetId="4" hidden="1">#REF!,#REF!,#REF!</definedName>
    <definedName name="Z_5A4CDE39_BC84_48C0_8208_6970E7A71896_.wvu.Cols" hidden="1">#REF!,#REF!,#REF!</definedName>
    <definedName name="Z_64FBE21F_D610_4122_B662_C1CA556F0E6B_.wvu.Rows" localSheetId="1" hidden="1">#REF!,#REF!</definedName>
    <definedName name="Z_64FBE21F_D610_4122_B662_C1CA556F0E6B_.wvu.Rows" localSheetId="4" hidden="1">#REF!,#REF!</definedName>
    <definedName name="Z_64FBE21F_D610_4122_B662_C1CA556F0E6B_.wvu.Rows" hidden="1">#REF!,#REF!</definedName>
    <definedName name="Z_67879F2D_A365_4C5F_ACA2_06A222DC585F_.wvu.FilterData" localSheetId="1" hidden="1">#REF!</definedName>
    <definedName name="Z_67879F2D_A365_4C5F_ACA2_06A222DC585F_.wvu.FilterData" localSheetId="4" hidden="1">#REF!</definedName>
    <definedName name="Z_67879F2D_A365_4C5F_ACA2_06A222DC585F_.wvu.FilterData" hidden="1">#REF!</definedName>
    <definedName name="Z_6A182748_18B4_4C0D_9784_DEEDD20646B3_.wvu.PrintArea" localSheetId="0" hidden="1">Footing!$A$1:$M$44</definedName>
    <definedName name="Z_6CDCF69B_5AF1_4147_8314_DDC51BBAE13A_.wvu.FilterData" localSheetId="1" hidden="1">#REF!</definedName>
    <definedName name="Z_6CDCF69B_5AF1_4147_8314_DDC51BBAE13A_.wvu.FilterData" localSheetId="4" hidden="1">#REF!</definedName>
    <definedName name="Z_6CDCF69B_5AF1_4147_8314_DDC51BBAE13A_.wvu.FilterData" hidden="1">#REF!</definedName>
    <definedName name="Z_70CABDBB_081F_404E_8BC8_2C988156E425_.wvu.FilterData" localSheetId="1" hidden="1">Beams!$A$18:$AH$18</definedName>
    <definedName name="Z_7DB7E0CE_9C6B_4963_911D_B7E75FB55A66_.wvu.FilterData" localSheetId="1" hidden="1">Beams!$A$18:$AH$18</definedName>
    <definedName name="Z_7E5BF30C_C7E7_44DA_9576_366325220763_.wvu.Rows" localSheetId="4" hidden="1">columns!$30:$30</definedName>
    <definedName name="Z_821080B5_A53F_46D5_A7A8_C550E9A6DB8E_.wvu.Rows" localSheetId="1" hidden="1">#REF!</definedName>
    <definedName name="Z_821080B5_A53F_46D5_A7A8_C550E9A6DB8E_.wvu.Rows" localSheetId="4" hidden="1">#REF!</definedName>
    <definedName name="Z_821080B5_A53F_46D5_A7A8_C550E9A6DB8E_.wvu.Rows" hidden="1">#REF!</definedName>
    <definedName name="Z_89FC4C3A_6586_42BA_B0E6_F0959042E6A0_.wvu.Rows" localSheetId="1" hidden="1">#REF!</definedName>
    <definedName name="Z_89FC4C3A_6586_42BA_B0E6_F0959042E6A0_.wvu.Rows" localSheetId="4" hidden="1">#REF!</definedName>
    <definedName name="Z_89FC4C3A_6586_42BA_B0E6_F0959042E6A0_.wvu.Rows" hidden="1">#REF!</definedName>
    <definedName name="Z_8FCC9949_BB10_48DD_835F_9D6E68B3AE12_.wvu.PrintTitles" localSheetId="1" hidden="1">#REF!</definedName>
    <definedName name="Z_8FCC9949_BB10_48DD_835F_9D6E68B3AE12_.wvu.PrintTitles" localSheetId="4" hidden="1">#REF!</definedName>
    <definedName name="Z_8FCC9949_BB10_48DD_835F_9D6E68B3AE12_.wvu.PrintTitles" hidden="1">#REF!</definedName>
    <definedName name="Z_8FCC9949_BB10_48DD_835F_9D6E68B3AE12_.wvu.Rows" localSheetId="1" hidden="1">#REF!,#REF!</definedName>
    <definedName name="Z_8FCC9949_BB10_48DD_835F_9D6E68B3AE12_.wvu.Rows" localSheetId="4" hidden="1">#REF!,#REF!</definedName>
    <definedName name="Z_8FCC9949_BB10_48DD_835F_9D6E68B3AE12_.wvu.Rows" hidden="1">#REF!,#REF!</definedName>
    <definedName name="Z_97AF8B62_D04D_48F2_A853_93998C7922D6_.wvu.FilterData" localSheetId="1" hidden="1">#REF!</definedName>
    <definedName name="Z_97AF8B62_D04D_48F2_A853_93998C7922D6_.wvu.FilterData" localSheetId="4" hidden="1">#REF!</definedName>
    <definedName name="Z_97AF8B62_D04D_48F2_A853_93998C7922D6_.wvu.FilterData" hidden="1">#REF!</definedName>
    <definedName name="Z_9F278A40_BF82_4E3D_9E8B_F7A34E58042E_.wvu.FilterData" localSheetId="1" hidden="1">#REF!</definedName>
    <definedName name="Z_9F278A40_BF82_4E3D_9E8B_F7A34E58042E_.wvu.FilterData" hidden="1">#REF!</definedName>
    <definedName name="Z_A7F37A17_A8FD_4FAD_99B3_B98DF8E5BD25_.wvu.PrintArea" localSheetId="0" hidden="1">Footing!$A$1:$Q$44</definedName>
    <definedName name="Z_B51FB2B1_7D83_4D44_8877_5FE0CF681A48_.wvu.PrintArea" localSheetId="0" hidden="1">Footing!$A$1:$M$44</definedName>
    <definedName name="Z_D31A18AF_396B_4806_8CD8_0BFAF2B7EE90_.wvu.FilterData" localSheetId="1" hidden="1">Beams!$A$18:$AH$18</definedName>
    <definedName name="Z_D6A446B5_C66A_4617_8186_024AFEE7D6C0_.wvu.PrintArea" localSheetId="0" hidden="1">Footing!$A$1:$M$44</definedName>
    <definedName name="Z_D6A446B5_C66A_4617_8186_024AFEE7D6C0_.wvu.Rows" localSheetId="4" hidden="1">columns!$30:$30</definedName>
    <definedName name="Z_D6A446B5_C66A_4617_8186_024AFEE7D6C0_.wvu.Rows" localSheetId="0" hidden="1">Footing!#REF!</definedName>
    <definedName name="Z_E61184E6_4A82_48AD_BD46_AD03682B9E61_.wvu.Rows" localSheetId="1" hidden="1">#REF!</definedName>
    <definedName name="Z_E61184E6_4A82_48AD_BD46_AD03682B9E61_.wvu.Rows" localSheetId="4" hidden="1">#REF!</definedName>
    <definedName name="Z_E61184E6_4A82_48AD_BD46_AD03682B9E61_.wvu.Rows" hidden="1">#REF!</definedName>
    <definedName name="Z_EA424862_9DB5_4158_B57E_464B76E20666_.wvu.FilterData" localSheetId="1" hidden="1">#REF!</definedName>
    <definedName name="Z_EA424862_9DB5_4158_B57E_464B76E20666_.wvu.FilterData" localSheetId="4" hidden="1">#REF!</definedName>
    <definedName name="Z_EA424862_9DB5_4158_B57E_464B76E20666_.wvu.FilterData" hidden="1">#REF!</definedName>
    <definedName name="Z_F56F135F_44F3_478B_BCC3_5E739B702BEF_.wvu.Cols" localSheetId="1" hidden="1">#REF!</definedName>
    <definedName name="Z_F56F135F_44F3_478B_BCC3_5E739B702BEF_.wvu.Cols" hidden="1">#REF!</definedName>
    <definedName name="Z_F56F135F_44F3_478B_BCC3_5E739B702BEF_.wvu.FilterData" localSheetId="1" hidden="1">#REF!</definedName>
    <definedName name="Z_F56F135F_44F3_478B_BCC3_5E739B702BEF_.wvu.FilterData" hidden="1">#REF!</definedName>
    <definedName name="Z_F56F135F_44F3_478B_BCC3_5E739B702BEF_.wvu.PrintTitles" localSheetId="1" hidden="1">#REF!,#REF!</definedName>
    <definedName name="Z_F56F135F_44F3_478B_BCC3_5E739B702BEF_.wvu.PrintTitles" localSheetId="4" hidden="1">#REF!,#REF!</definedName>
    <definedName name="Z_F56F135F_44F3_478B_BCC3_5E739B702BEF_.wvu.PrintTitles" hidden="1">#REF!,#REF!</definedName>
    <definedName name="ZAS" localSheetId="1">#REF!</definedName>
    <definedName name="ZAS">#REF!</definedName>
    <definedName name="zaz" localSheetId="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zaz" localSheetId="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zaz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zee" localSheetId="1">#REF!</definedName>
    <definedName name="zee">#REF!</definedName>
    <definedName name="zl" localSheetId="1">#REF!</definedName>
    <definedName name="zl">#REF!</definedName>
    <definedName name="zl___0" localSheetId="1">#REF!</definedName>
    <definedName name="zl___0">#REF!</definedName>
    <definedName name="zl___13" localSheetId="1">#REF!</definedName>
    <definedName name="zl___13">#REF!</definedName>
    <definedName name="zlpu">#REF!</definedName>
    <definedName name="zlpu___0">#REF!</definedName>
    <definedName name="zlpu___13">#REF!</definedName>
    <definedName name="zs">#REF!</definedName>
    <definedName name="zs___0">#REF!</definedName>
    <definedName name="zs___13">#REF!</definedName>
    <definedName name="zsdgfeghr" localSheetId="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zsdgfeghr" localSheetId="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zsdgfeghr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zspu">#REF!</definedName>
    <definedName name="zspu___0">#REF!</definedName>
    <definedName name="zspu___13">#REF!</definedName>
    <definedName name="ZSS">#REF!</definedName>
    <definedName name="ZSS___0">#REF!</definedName>
    <definedName name="ZSS___13">#REF!</definedName>
    <definedName name="ztpu">#REF!</definedName>
    <definedName name="ztpu___0">#REF!</definedName>
    <definedName name="ztpu___13">#REF!</definedName>
    <definedName name="zvzv">#REF!</definedName>
    <definedName name="zx" localSheetId="1">#REF!</definedName>
    <definedName name="zx">#REF!</definedName>
    <definedName name="zxv" localSheetId="1">#REF!</definedName>
    <definedName name="zxv">#REF!</definedName>
    <definedName name="zxvxzcvb" localSheetId="1">#REF!</definedName>
    <definedName name="zxvxzcvb">#REF!</definedName>
    <definedName name="ZY" localSheetId="1">#REF!</definedName>
    <definedName name="ZY">#REF!</definedName>
    <definedName name="ZY___0">#REF!</definedName>
    <definedName name="ZY___13">#REF!</definedName>
    <definedName name="zz">#REF!</definedName>
    <definedName name="zz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4" i="6" l="1"/>
  <c r="D25" i="6"/>
  <c r="D16" i="6"/>
  <c r="D27" i="6" s="1"/>
  <c r="D15" i="6"/>
  <c r="D26" i="6" s="1"/>
  <c r="E27" i="6"/>
  <c r="H16" i="6" l="1"/>
  <c r="G15" i="2"/>
  <c r="K16" i="6" l="1"/>
  <c r="K15" i="6"/>
  <c r="K14" i="6"/>
  <c r="K13" i="6"/>
  <c r="K12" i="6"/>
  <c r="K11" i="6"/>
  <c r="I95" i="1"/>
  <c r="I91" i="1"/>
  <c r="I171" i="4"/>
  <c r="G11" i="3"/>
  <c r="H39" i="2"/>
  <c r="H27" i="5"/>
  <c r="D17" i="5"/>
  <c r="H17" i="5" s="1"/>
  <c r="G27" i="5"/>
  <c r="H58" i="1"/>
  <c r="J210" i="3"/>
  <c r="J111" i="3"/>
  <c r="AJ55" i="3"/>
  <c r="AN55" i="3" s="1"/>
  <c r="AI55" i="3"/>
  <c r="AM55" i="3" s="1"/>
  <c r="AH55" i="3"/>
  <c r="AL55" i="3" s="1"/>
  <c r="AP55" i="3" s="1"/>
  <c r="AB55" i="3"/>
  <c r="R55" i="3"/>
  <c r="Q55" i="3"/>
  <c r="N55" i="3"/>
  <c r="O55" i="3" s="1"/>
  <c r="K55" i="3"/>
  <c r="J55" i="3"/>
  <c r="G38" i="3"/>
  <c r="AJ38" i="3"/>
  <c r="AN38" i="3" s="1"/>
  <c r="AI38" i="3"/>
  <c r="AM38" i="3" s="1"/>
  <c r="AH38" i="3"/>
  <c r="AB38" i="3"/>
  <c r="Q38" i="3"/>
  <c r="N38" i="3"/>
  <c r="K38" i="3"/>
  <c r="K17" i="6" l="1"/>
  <c r="R38" i="3"/>
  <c r="U55" i="3"/>
  <c r="L55" i="3" s="1"/>
  <c r="AG55" i="3" s="1"/>
  <c r="AK55" i="3" s="1"/>
  <c r="AO55" i="3" s="1"/>
  <c r="O38" i="3"/>
  <c r="J38" i="3"/>
  <c r="AL38" i="3"/>
  <c r="AP38" i="3" s="1"/>
  <c r="U38" i="3"/>
  <c r="AJ34" i="3"/>
  <c r="AN34" i="3" s="1"/>
  <c r="AI34" i="3"/>
  <c r="AM34" i="3" s="1"/>
  <c r="AH34" i="3"/>
  <c r="AB34" i="3"/>
  <c r="Q34" i="3"/>
  <c r="R34" i="3" s="1"/>
  <c r="N34" i="3"/>
  <c r="K34" i="3"/>
  <c r="J34" i="3"/>
  <c r="AJ33" i="3"/>
  <c r="AN33" i="3" s="1"/>
  <c r="AI33" i="3"/>
  <c r="AM33" i="3" s="1"/>
  <c r="AH33" i="3"/>
  <c r="AB33" i="3"/>
  <c r="Q33" i="3"/>
  <c r="R33" i="3" s="1"/>
  <c r="N33" i="3"/>
  <c r="O33" i="3" s="1"/>
  <c r="K33" i="3"/>
  <c r="J33" i="3"/>
  <c r="AJ25" i="3"/>
  <c r="AN25" i="3" s="1"/>
  <c r="AH25" i="3"/>
  <c r="AB25" i="3"/>
  <c r="Q25" i="3"/>
  <c r="R25" i="3" s="1"/>
  <c r="N25" i="3"/>
  <c r="O25" i="3" s="1"/>
  <c r="K25" i="3"/>
  <c r="J25" i="3"/>
  <c r="AJ24" i="3"/>
  <c r="AN24" i="3" s="1"/>
  <c r="AH24" i="3"/>
  <c r="AB24" i="3"/>
  <c r="Q24" i="3"/>
  <c r="R24" i="3" s="1"/>
  <c r="N24" i="3"/>
  <c r="O24" i="3" s="1"/>
  <c r="K24" i="3"/>
  <c r="J24" i="3"/>
  <c r="AJ23" i="3"/>
  <c r="AN23" i="3" s="1"/>
  <c r="AH23" i="3"/>
  <c r="AB23" i="3"/>
  <c r="Q23" i="3"/>
  <c r="R23" i="3" s="1"/>
  <c r="N23" i="3"/>
  <c r="O23" i="3" s="1"/>
  <c r="K23" i="3"/>
  <c r="J23" i="3"/>
  <c r="G42" i="2"/>
  <c r="I221" i="4"/>
  <c r="I220" i="4"/>
  <c r="I219" i="4"/>
  <c r="I218" i="4"/>
  <c r="I217" i="4"/>
  <c r="I216" i="4"/>
  <c r="I215" i="4"/>
  <c r="D96" i="4"/>
  <c r="C232" i="4"/>
  <c r="G22" i="6"/>
  <c r="I22" i="6" s="1"/>
  <c r="F11" i="6"/>
  <c r="F12" i="6" s="1"/>
  <c r="G11" i="6"/>
  <c r="I11" i="6" s="1"/>
  <c r="E26" i="6"/>
  <c r="E25" i="6"/>
  <c r="E24" i="6"/>
  <c r="E23" i="6"/>
  <c r="E22" i="6"/>
  <c r="I107" i="1"/>
  <c r="I106" i="1"/>
  <c r="H106" i="1"/>
  <c r="I105" i="1"/>
  <c r="H105" i="1"/>
  <c r="I104" i="1"/>
  <c r="H104" i="1"/>
  <c r="I103" i="1"/>
  <c r="H103" i="1"/>
  <c r="I57" i="1"/>
  <c r="H57" i="1"/>
  <c r="I56" i="1"/>
  <c r="H56" i="1"/>
  <c r="I55" i="1"/>
  <c r="H55" i="1"/>
  <c r="I54" i="1"/>
  <c r="H54" i="1"/>
  <c r="C173" i="4"/>
  <c r="C135" i="4"/>
  <c r="P210" i="3"/>
  <c r="M210" i="3"/>
  <c r="I210" i="3"/>
  <c r="H210" i="3"/>
  <c r="T210" i="3"/>
  <c r="S210" i="3"/>
  <c r="F210" i="3"/>
  <c r="AJ209" i="3"/>
  <c r="AN209" i="3" s="1"/>
  <c r="AH209" i="3"/>
  <c r="AB209" i="3"/>
  <c r="Q209" i="3"/>
  <c r="R209" i="3" s="1"/>
  <c r="N209" i="3"/>
  <c r="O209" i="3" s="1"/>
  <c r="K209" i="3"/>
  <c r="J209" i="3"/>
  <c r="AJ208" i="3"/>
  <c r="AN208" i="3" s="1"/>
  <c r="AH208" i="3"/>
  <c r="AB208" i="3"/>
  <c r="Q208" i="3"/>
  <c r="R208" i="3" s="1"/>
  <c r="N208" i="3"/>
  <c r="O208" i="3" s="1"/>
  <c r="K208" i="3"/>
  <c r="J208" i="3"/>
  <c r="AJ207" i="3"/>
  <c r="AN207" i="3" s="1"/>
  <c r="AH207" i="3"/>
  <c r="AB207" i="3"/>
  <c r="Q207" i="3"/>
  <c r="N207" i="3"/>
  <c r="G207" i="3"/>
  <c r="AJ206" i="3"/>
  <c r="AN206" i="3" s="1"/>
  <c r="AH206" i="3"/>
  <c r="AB206" i="3"/>
  <c r="Q206" i="3"/>
  <c r="N206" i="3"/>
  <c r="G206" i="3"/>
  <c r="G108" i="3"/>
  <c r="J108" i="3" s="1"/>
  <c r="G107" i="3"/>
  <c r="K107" i="3" s="1"/>
  <c r="AJ110" i="3"/>
  <c r="AN110" i="3" s="1"/>
  <c r="AH110" i="3"/>
  <c r="AB110" i="3"/>
  <c r="Q110" i="3"/>
  <c r="R110" i="3" s="1"/>
  <c r="N110" i="3"/>
  <c r="K110" i="3"/>
  <c r="J110" i="3"/>
  <c r="AJ109" i="3"/>
  <c r="AN109" i="3" s="1"/>
  <c r="AH109" i="3"/>
  <c r="AB109" i="3"/>
  <c r="Q109" i="3"/>
  <c r="R109" i="3" s="1"/>
  <c r="N109" i="3"/>
  <c r="O109" i="3" s="1"/>
  <c r="K109" i="3"/>
  <c r="J109" i="3"/>
  <c r="AJ108" i="3"/>
  <c r="AN108" i="3" s="1"/>
  <c r="AH108" i="3"/>
  <c r="AB108" i="3"/>
  <c r="Q108" i="3"/>
  <c r="N108" i="3"/>
  <c r="O108" i="3" s="1"/>
  <c r="AJ107" i="3"/>
  <c r="AN107" i="3" s="1"/>
  <c r="AH107" i="3"/>
  <c r="AB107" i="3"/>
  <c r="Q107" i="3"/>
  <c r="N107" i="3"/>
  <c r="AJ106" i="3"/>
  <c r="AN106" i="3" s="1"/>
  <c r="AH106" i="3"/>
  <c r="AB106" i="3"/>
  <c r="Q106" i="3"/>
  <c r="R106" i="3" s="1"/>
  <c r="N106" i="3"/>
  <c r="O106" i="3" s="1"/>
  <c r="K106" i="3"/>
  <c r="J106" i="3"/>
  <c r="G18" i="2"/>
  <c r="G12" i="2"/>
  <c r="G9" i="2"/>
  <c r="L49" i="2"/>
  <c r="K49" i="2"/>
  <c r="J49" i="2"/>
  <c r="I49" i="2"/>
  <c r="H49" i="2"/>
  <c r="M49" i="2" s="1"/>
  <c r="G49" i="2"/>
  <c r="L38" i="3" l="1"/>
  <c r="AG38" i="3" s="1"/>
  <c r="AK38" i="3" s="1"/>
  <c r="AO38" i="3" s="1"/>
  <c r="AL33" i="3"/>
  <c r="AP33" i="3" s="1"/>
  <c r="G210" i="3"/>
  <c r="R207" i="3"/>
  <c r="U34" i="3"/>
  <c r="U206" i="3"/>
  <c r="U107" i="3"/>
  <c r="AL34" i="3"/>
  <c r="AP34" i="3" s="1"/>
  <c r="U33" i="3"/>
  <c r="L33" i="3" s="1"/>
  <c r="AG33" i="3" s="1"/>
  <c r="AK33" i="3" s="1"/>
  <c r="AO33" i="3" s="1"/>
  <c r="O34" i="3"/>
  <c r="K108" i="3"/>
  <c r="U207" i="3"/>
  <c r="K206" i="3"/>
  <c r="AL24" i="3"/>
  <c r="AP24" i="3" s="1"/>
  <c r="AL25" i="3"/>
  <c r="AP25" i="3" s="1"/>
  <c r="AL23" i="3"/>
  <c r="AP23" i="3" s="1"/>
  <c r="U25" i="3"/>
  <c r="L25" i="3" s="1"/>
  <c r="R108" i="3"/>
  <c r="O206" i="3"/>
  <c r="U24" i="3"/>
  <c r="L24" i="3" s="1"/>
  <c r="J206" i="3"/>
  <c r="R206" i="3"/>
  <c r="O207" i="3"/>
  <c r="U23" i="3"/>
  <c r="L23" i="3" s="1"/>
  <c r="K207" i="3"/>
  <c r="J12" i="6"/>
  <c r="F13" i="6"/>
  <c r="J11" i="6"/>
  <c r="G12" i="6"/>
  <c r="I12" i="6" s="1"/>
  <c r="H11" i="6"/>
  <c r="H22" i="6"/>
  <c r="G23" i="6"/>
  <c r="I23" i="6" s="1"/>
  <c r="AL106" i="3"/>
  <c r="AP106" i="3" s="1"/>
  <c r="AL207" i="3"/>
  <c r="AP207" i="3" s="1"/>
  <c r="AL208" i="3"/>
  <c r="AP208" i="3" s="1"/>
  <c r="AL209" i="3"/>
  <c r="AP209" i="3" s="1"/>
  <c r="AL206" i="3"/>
  <c r="AP206" i="3" s="1"/>
  <c r="U209" i="3"/>
  <c r="L209" i="3" s="1"/>
  <c r="J107" i="3"/>
  <c r="R107" i="3"/>
  <c r="U208" i="3"/>
  <c r="U110" i="3"/>
  <c r="J207" i="3"/>
  <c r="O107" i="3"/>
  <c r="AL108" i="3"/>
  <c r="AP108" i="3" s="1"/>
  <c r="AL109" i="3"/>
  <c r="AP109" i="3" s="1"/>
  <c r="AL110" i="3"/>
  <c r="AP110" i="3" s="1"/>
  <c r="AL107" i="3"/>
  <c r="AP107" i="3" s="1"/>
  <c r="U109" i="3"/>
  <c r="L109" i="3" s="1"/>
  <c r="O110" i="3"/>
  <c r="L110" i="3" s="1"/>
  <c r="AI110" i="3" s="1"/>
  <c r="AM110" i="3" s="1"/>
  <c r="U108" i="3"/>
  <c r="U106" i="3"/>
  <c r="L106" i="3" s="1"/>
  <c r="L206" i="3" l="1"/>
  <c r="AG206" i="3" s="1"/>
  <c r="L207" i="3"/>
  <c r="AG207" i="3" s="1"/>
  <c r="L34" i="3"/>
  <c r="AG34" i="3" s="1"/>
  <c r="AK34" i="3" s="1"/>
  <c r="AO34" i="3" s="1"/>
  <c r="L107" i="3"/>
  <c r="AI107" i="3" s="1"/>
  <c r="AM107" i="3" s="1"/>
  <c r="L108" i="3"/>
  <c r="AI108" i="3" s="1"/>
  <c r="AM108" i="3" s="1"/>
  <c r="AI207" i="3"/>
  <c r="AM207" i="3" s="1"/>
  <c r="AG23" i="3"/>
  <c r="AI23" i="3"/>
  <c r="AM23" i="3" s="1"/>
  <c r="AG24" i="3"/>
  <c r="AI24" i="3"/>
  <c r="AM24" i="3" s="1"/>
  <c r="AG25" i="3"/>
  <c r="AI25" i="3"/>
  <c r="AM25" i="3" s="1"/>
  <c r="AI206" i="3"/>
  <c r="AM206" i="3" s="1"/>
  <c r="J13" i="6"/>
  <c r="F14" i="6"/>
  <c r="H12" i="6"/>
  <c r="G13" i="6"/>
  <c r="H13" i="6" s="1"/>
  <c r="G24" i="6"/>
  <c r="G26" i="6" s="1"/>
  <c r="H23" i="6"/>
  <c r="L208" i="3"/>
  <c r="AG208" i="3" s="1"/>
  <c r="AI209" i="3"/>
  <c r="AM209" i="3" s="1"/>
  <c r="AG209" i="3"/>
  <c r="AI208" i="3"/>
  <c r="AM208" i="3" s="1"/>
  <c r="AG107" i="3"/>
  <c r="AK107" i="3" s="1"/>
  <c r="AO107" i="3" s="1"/>
  <c r="AI109" i="3"/>
  <c r="AM109" i="3" s="1"/>
  <c r="AG109" i="3"/>
  <c r="AG110" i="3"/>
  <c r="AK110" i="3" s="1"/>
  <c r="AO110" i="3" s="1"/>
  <c r="AI106" i="3"/>
  <c r="AM106" i="3" s="1"/>
  <c r="AG106" i="3"/>
  <c r="AG108" i="3" l="1"/>
  <c r="AK108" i="3" s="1"/>
  <c r="AO108" i="3" s="1"/>
  <c r="AK207" i="3"/>
  <c r="AO207" i="3" s="1"/>
  <c r="AK24" i="3"/>
  <c r="AO24" i="3" s="1"/>
  <c r="AK25" i="3"/>
  <c r="AO25" i="3" s="1"/>
  <c r="AK23" i="3"/>
  <c r="AO23" i="3" s="1"/>
  <c r="AK206" i="3"/>
  <c r="AO206" i="3" s="1"/>
  <c r="J14" i="6"/>
  <c r="F15" i="6"/>
  <c r="G14" i="6"/>
  <c r="H14" i="6" s="1"/>
  <c r="I13" i="6"/>
  <c r="G15" i="6"/>
  <c r="I15" i="6" s="1"/>
  <c r="H15" i="6"/>
  <c r="G16" i="6"/>
  <c r="I14" i="6"/>
  <c r="H24" i="6"/>
  <c r="I24" i="6"/>
  <c r="G25" i="6"/>
  <c r="I25" i="6" s="1"/>
  <c r="I26" i="6"/>
  <c r="H26" i="6"/>
  <c r="AK208" i="3"/>
  <c r="AO208" i="3" s="1"/>
  <c r="AK209" i="3"/>
  <c r="AO209" i="3" s="1"/>
  <c r="AK106" i="3"/>
  <c r="AO106" i="3" s="1"/>
  <c r="AK109" i="3"/>
  <c r="AO109" i="3" s="1"/>
  <c r="J15" i="6" l="1"/>
  <c r="F16" i="6"/>
  <c r="J16" i="6" s="1"/>
  <c r="I16" i="6"/>
  <c r="I17" i="6" s="1"/>
  <c r="H17" i="6"/>
  <c r="G27" i="6"/>
  <c r="H27" i="6" s="1"/>
  <c r="H25" i="6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14" i="1"/>
  <c r="J17" i="6" l="1"/>
  <c r="H28" i="6"/>
  <c r="I27" i="6"/>
  <c r="I28" i="6" s="1"/>
  <c r="I58" i="1"/>
  <c r="B1" i="2"/>
  <c r="E2" i="3" s="1"/>
  <c r="G4" i="3" s="1"/>
  <c r="I163" i="1"/>
  <c r="H163" i="1"/>
  <c r="I162" i="1"/>
  <c r="H162" i="1"/>
  <c r="I161" i="1"/>
  <c r="H161" i="1"/>
  <c r="I160" i="1"/>
  <c r="H160" i="1"/>
  <c r="I159" i="1"/>
  <c r="H159" i="1"/>
  <c r="T332" i="3"/>
  <c r="S332" i="3"/>
  <c r="G332" i="3"/>
  <c r="F332" i="3"/>
  <c r="AJ331" i="3"/>
  <c r="AN331" i="3" s="1"/>
  <c r="AH331" i="3"/>
  <c r="AB331" i="3"/>
  <c r="Q331" i="3"/>
  <c r="R331" i="3" s="1"/>
  <c r="N331" i="3"/>
  <c r="K331" i="3"/>
  <c r="J331" i="3"/>
  <c r="AJ330" i="3"/>
  <c r="AN330" i="3" s="1"/>
  <c r="AH330" i="3"/>
  <c r="AB330" i="3"/>
  <c r="Q330" i="3"/>
  <c r="R330" i="3" s="1"/>
  <c r="N330" i="3"/>
  <c r="O330" i="3" s="1"/>
  <c r="K330" i="3"/>
  <c r="J330" i="3"/>
  <c r="AJ329" i="3"/>
  <c r="AN329" i="3" s="1"/>
  <c r="AH329" i="3"/>
  <c r="AB329" i="3"/>
  <c r="Q329" i="3"/>
  <c r="R329" i="3" s="1"/>
  <c r="N329" i="3"/>
  <c r="K329" i="3"/>
  <c r="J329" i="3"/>
  <c r="AJ328" i="3"/>
  <c r="AN328" i="3" s="1"/>
  <c r="AH328" i="3"/>
  <c r="AB328" i="3"/>
  <c r="Q328" i="3"/>
  <c r="R328" i="3" s="1"/>
  <c r="N328" i="3"/>
  <c r="K328" i="3"/>
  <c r="J328" i="3"/>
  <c r="AJ327" i="3"/>
  <c r="AN327" i="3" s="1"/>
  <c r="AH327" i="3"/>
  <c r="AB327" i="3"/>
  <c r="Q327" i="3"/>
  <c r="R327" i="3" s="1"/>
  <c r="N327" i="3"/>
  <c r="O327" i="3" s="1"/>
  <c r="K327" i="3"/>
  <c r="J327" i="3"/>
  <c r="AJ326" i="3"/>
  <c r="AN326" i="3" s="1"/>
  <c r="AH326" i="3"/>
  <c r="AB326" i="3"/>
  <c r="Q326" i="3"/>
  <c r="R326" i="3" s="1"/>
  <c r="N326" i="3"/>
  <c r="K326" i="3"/>
  <c r="J326" i="3"/>
  <c r="AJ325" i="3"/>
  <c r="AN325" i="3" s="1"/>
  <c r="AH325" i="3"/>
  <c r="AB325" i="3"/>
  <c r="Q325" i="3"/>
  <c r="R325" i="3" s="1"/>
  <c r="N325" i="3"/>
  <c r="O325" i="3" s="1"/>
  <c r="K325" i="3"/>
  <c r="J325" i="3"/>
  <c r="AJ324" i="3"/>
  <c r="AN324" i="3" s="1"/>
  <c r="AH324" i="3"/>
  <c r="AB324" i="3"/>
  <c r="Q324" i="3"/>
  <c r="R324" i="3" s="1"/>
  <c r="N324" i="3"/>
  <c r="O324" i="3" s="1"/>
  <c r="K324" i="3"/>
  <c r="J324" i="3"/>
  <c r="AJ323" i="3"/>
  <c r="AN323" i="3" s="1"/>
  <c r="AH323" i="3"/>
  <c r="AB323" i="3"/>
  <c r="Q323" i="3"/>
  <c r="R323" i="3" s="1"/>
  <c r="N323" i="3"/>
  <c r="K323" i="3"/>
  <c r="J323" i="3"/>
  <c r="AJ322" i="3"/>
  <c r="AN322" i="3" s="1"/>
  <c r="AH322" i="3"/>
  <c r="AB322" i="3"/>
  <c r="Q322" i="3"/>
  <c r="R322" i="3" s="1"/>
  <c r="N322" i="3"/>
  <c r="O322" i="3" s="1"/>
  <c r="K322" i="3"/>
  <c r="J322" i="3"/>
  <c r="U329" i="3" l="1"/>
  <c r="U328" i="3"/>
  <c r="U331" i="3"/>
  <c r="AL331" i="3"/>
  <c r="AP331" i="3" s="1"/>
  <c r="O328" i="3"/>
  <c r="O329" i="3"/>
  <c r="U323" i="3"/>
  <c r="AL329" i="3"/>
  <c r="AP329" i="3" s="1"/>
  <c r="AL330" i="3"/>
  <c r="AP330" i="3" s="1"/>
  <c r="AL328" i="3"/>
  <c r="AP328" i="3" s="1"/>
  <c r="U330" i="3"/>
  <c r="L330" i="3" s="1"/>
  <c r="O331" i="3"/>
  <c r="U326" i="3"/>
  <c r="U324" i="3"/>
  <c r="L324" i="3" s="1"/>
  <c r="AG324" i="3" s="1"/>
  <c r="AL327" i="3"/>
  <c r="AP327" i="3" s="1"/>
  <c r="AL325" i="3"/>
  <c r="AP325" i="3" s="1"/>
  <c r="AL323" i="3"/>
  <c r="AP323" i="3" s="1"/>
  <c r="AL324" i="3"/>
  <c r="AP324" i="3" s="1"/>
  <c r="AL326" i="3"/>
  <c r="AP326" i="3" s="1"/>
  <c r="U327" i="3"/>
  <c r="L327" i="3" s="1"/>
  <c r="AI327" i="3" s="1"/>
  <c r="AM327" i="3" s="1"/>
  <c r="O323" i="3"/>
  <c r="U325" i="3"/>
  <c r="L325" i="3" s="1"/>
  <c r="O326" i="3"/>
  <c r="AL322" i="3"/>
  <c r="AP322" i="3" s="1"/>
  <c r="U322" i="3"/>
  <c r="L322" i="3" s="1"/>
  <c r="D25" i="5"/>
  <c r="D21" i="5"/>
  <c r="F27" i="5"/>
  <c r="H26" i="5"/>
  <c r="G26" i="5"/>
  <c r="H25" i="5"/>
  <c r="F25" i="5"/>
  <c r="G25" i="5" s="1"/>
  <c r="F23" i="5"/>
  <c r="G23" i="5" s="1"/>
  <c r="F21" i="5"/>
  <c r="F17" i="5"/>
  <c r="H23" i="5"/>
  <c r="H22" i="5"/>
  <c r="G22" i="5"/>
  <c r="H19" i="5"/>
  <c r="H18" i="5"/>
  <c r="G18" i="5"/>
  <c r="F19" i="5"/>
  <c r="G19" i="5" s="1"/>
  <c r="A17" i="5"/>
  <c r="A18" i="5" s="1"/>
  <c r="A19" i="5" s="1"/>
  <c r="A8" i="5"/>
  <c r="L329" i="3" l="1"/>
  <c r="AI329" i="3" s="1"/>
  <c r="AM329" i="3" s="1"/>
  <c r="L326" i="3"/>
  <c r="AI326" i="3" s="1"/>
  <c r="AM326" i="3" s="1"/>
  <c r="L323" i="3"/>
  <c r="AI323" i="3" s="1"/>
  <c r="AM323" i="3" s="1"/>
  <c r="L331" i="3"/>
  <c r="AI331" i="3" s="1"/>
  <c r="AM331" i="3" s="1"/>
  <c r="L328" i="3"/>
  <c r="AG328" i="3" s="1"/>
  <c r="AI328" i="3"/>
  <c r="AM328" i="3" s="1"/>
  <c r="AI330" i="3"/>
  <c r="AM330" i="3" s="1"/>
  <c r="AG330" i="3"/>
  <c r="AI324" i="3"/>
  <c r="AM324" i="3" s="1"/>
  <c r="AI325" i="3"/>
  <c r="AM325" i="3" s="1"/>
  <c r="AG325" i="3"/>
  <c r="AG327" i="3"/>
  <c r="AK327" i="3" s="1"/>
  <c r="AO327" i="3" s="1"/>
  <c r="AI322" i="3"/>
  <c r="AM322" i="3" s="1"/>
  <c r="AG322" i="3"/>
  <c r="H21" i="5"/>
  <c r="H29" i="5"/>
  <c r="D7" i="5" s="1"/>
  <c r="D8" i="5" s="1"/>
  <c r="A23" i="5"/>
  <c r="A21" i="5"/>
  <c r="A22" i="5" s="1"/>
  <c r="G17" i="5"/>
  <c r="G21" i="5"/>
  <c r="AG326" i="3" l="1"/>
  <c r="AK326" i="3" s="1"/>
  <c r="AO326" i="3" s="1"/>
  <c r="AG329" i="3"/>
  <c r="AK329" i="3" s="1"/>
  <c r="AO329" i="3" s="1"/>
  <c r="AG323" i="3"/>
  <c r="AK323" i="3" s="1"/>
  <c r="AO323" i="3" s="1"/>
  <c r="AG331" i="3"/>
  <c r="AK331" i="3" s="1"/>
  <c r="AO331" i="3" s="1"/>
  <c r="AK328" i="3"/>
  <c r="AO328" i="3" s="1"/>
  <c r="AK324" i="3"/>
  <c r="AO324" i="3" s="1"/>
  <c r="AK330" i="3"/>
  <c r="AO330" i="3" s="1"/>
  <c r="AK322" i="3"/>
  <c r="AO322" i="3" s="1"/>
  <c r="AK325" i="3"/>
  <c r="AO325" i="3" s="1"/>
  <c r="A25" i="5"/>
  <c r="A26" i="5" s="1"/>
  <c r="A27" i="5"/>
  <c r="D9" i="5"/>
  <c r="G29" i="5"/>
  <c r="C7" i="5" s="1"/>
  <c r="C8" i="5" s="1"/>
  <c r="C9" i="5" l="1"/>
  <c r="I132" i="1" l="1"/>
  <c r="I158" i="1"/>
  <c r="H158" i="1"/>
  <c r="I157" i="1"/>
  <c r="H157" i="1"/>
  <c r="I156" i="1"/>
  <c r="H156" i="1"/>
  <c r="I138" i="1"/>
  <c r="H138" i="1"/>
  <c r="I151" i="1"/>
  <c r="H151" i="1"/>
  <c r="I150" i="1"/>
  <c r="H150" i="1"/>
  <c r="I149" i="1"/>
  <c r="H149" i="1"/>
  <c r="I148" i="1"/>
  <c r="H148" i="1"/>
  <c r="I147" i="1"/>
  <c r="H147" i="1"/>
  <c r="I146" i="1"/>
  <c r="H146" i="1"/>
  <c r="I145" i="1"/>
  <c r="H145" i="1"/>
  <c r="I144" i="1"/>
  <c r="H144" i="1"/>
  <c r="I143" i="1"/>
  <c r="H143" i="1"/>
  <c r="I142" i="1"/>
  <c r="H142" i="1"/>
  <c r="I141" i="1"/>
  <c r="H141" i="1"/>
  <c r="I140" i="1"/>
  <c r="H140" i="1"/>
  <c r="I139" i="1"/>
  <c r="H139" i="1"/>
  <c r="I137" i="1"/>
  <c r="H137" i="1"/>
  <c r="I136" i="1"/>
  <c r="H136" i="1"/>
  <c r="I135" i="1"/>
  <c r="H135" i="1"/>
  <c r="I134" i="1"/>
  <c r="H134" i="1"/>
  <c r="I133" i="1"/>
  <c r="H133" i="1"/>
  <c r="H132" i="1"/>
  <c r="I131" i="1"/>
  <c r="H131" i="1"/>
  <c r="I130" i="1"/>
  <c r="H130" i="1"/>
  <c r="I129" i="1"/>
  <c r="H129" i="1"/>
  <c r="I128" i="1"/>
  <c r="H128" i="1"/>
  <c r="I127" i="1"/>
  <c r="H127" i="1"/>
  <c r="I126" i="1"/>
  <c r="H126" i="1"/>
  <c r="I125" i="1"/>
  <c r="H125" i="1"/>
  <c r="I124" i="1"/>
  <c r="H124" i="1"/>
  <c r="I123" i="1"/>
  <c r="H123" i="1"/>
  <c r="I122" i="1"/>
  <c r="H122" i="1"/>
  <c r="I121" i="1"/>
  <c r="H121" i="1"/>
  <c r="I120" i="1"/>
  <c r="H120" i="1"/>
  <c r="I119" i="1"/>
  <c r="H119" i="1"/>
  <c r="I118" i="1"/>
  <c r="H118" i="1"/>
  <c r="I117" i="1"/>
  <c r="H117" i="1"/>
  <c r="I116" i="1"/>
  <c r="H116" i="1"/>
  <c r="I115" i="1"/>
  <c r="H115" i="1"/>
  <c r="I114" i="1"/>
  <c r="H114" i="1"/>
  <c r="I113" i="1"/>
  <c r="H113" i="1"/>
  <c r="I112" i="1"/>
  <c r="H112" i="1"/>
  <c r="H91" i="1"/>
  <c r="I79" i="1"/>
  <c r="H79" i="1"/>
  <c r="I76" i="1"/>
  <c r="H76" i="1"/>
  <c r="I102" i="1"/>
  <c r="H102" i="1"/>
  <c r="I101" i="1"/>
  <c r="H101" i="1"/>
  <c r="I100" i="1"/>
  <c r="H100" i="1"/>
  <c r="I99" i="1"/>
  <c r="H99" i="1"/>
  <c r="I98" i="1"/>
  <c r="H98" i="1"/>
  <c r="I97" i="1"/>
  <c r="H97" i="1"/>
  <c r="I96" i="1"/>
  <c r="H96" i="1"/>
  <c r="H95" i="1"/>
  <c r="I94" i="1"/>
  <c r="H94" i="1"/>
  <c r="I93" i="1"/>
  <c r="H93" i="1"/>
  <c r="I92" i="1"/>
  <c r="H92" i="1"/>
  <c r="I90" i="1"/>
  <c r="H90" i="1"/>
  <c r="I89" i="1"/>
  <c r="H89" i="1"/>
  <c r="I88" i="1"/>
  <c r="H88" i="1"/>
  <c r="I87" i="1"/>
  <c r="H87" i="1"/>
  <c r="I86" i="1"/>
  <c r="H86" i="1"/>
  <c r="I85" i="1"/>
  <c r="H85" i="1"/>
  <c r="I84" i="1"/>
  <c r="H84" i="1"/>
  <c r="I83" i="1"/>
  <c r="H83" i="1"/>
  <c r="I82" i="1"/>
  <c r="H82" i="1"/>
  <c r="I81" i="1"/>
  <c r="H81" i="1"/>
  <c r="I80" i="1"/>
  <c r="H80" i="1"/>
  <c r="I78" i="1"/>
  <c r="H78" i="1"/>
  <c r="I77" i="1"/>
  <c r="H77" i="1"/>
  <c r="I75" i="1"/>
  <c r="H75" i="1"/>
  <c r="I74" i="1"/>
  <c r="H74" i="1"/>
  <c r="I73" i="1"/>
  <c r="H73" i="1"/>
  <c r="I72" i="1"/>
  <c r="H72" i="1"/>
  <c r="I71" i="1"/>
  <c r="H71" i="1"/>
  <c r="I70" i="1"/>
  <c r="H70" i="1"/>
  <c r="I69" i="1"/>
  <c r="H69" i="1"/>
  <c r="I68" i="1"/>
  <c r="H68" i="1"/>
  <c r="I67" i="1"/>
  <c r="H67" i="1"/>
  <c r="I66" i="1"/>
  <c r="H66" i="1"/>
  <c r="I65" i="1"/>
  <c r="H65" i="1"/>
  <c r="I64" i="1"/>
  <c r="H64" i="1"/>
  <c r="I63" i="1"/>
  <c r="H63" i="1"/>
  <c r="H46" i="1"/>
  <c r="H53" i="1"/>
  <c r="H52" i="1"/>
  <c r="H51" i="1"/>
  <c r="H50" i="1"/>
  <c r="H49" i="1"/>
  <c r="H48" i="1"/>
  <c r="H45" i="1"/>
  <c r="H47" i="1"/>
  <c r="H44" i="1"/>
  <c r="H43" i="1"/>
  <c r="H42" i="1"/>
  <c r="H41" i="1"/>
  <c r="H40" i="1"/>
  <c r="H39" i="1"/>
  <c r="H38" i="1"/>
  <c r="H37" i="1"/>
  <c r="H36" i="1"/>
  <c r="H35" i="1"/>
  <c r="H34" i="1"/>
  <c r="H33" i="1"/>
  <c r="H32" i="1"/>
  <c r="H31" i="1"/>
  <c r="H30" i="1"/>
  <c r="H24" i="1"/>
  <c r="H21" i="1"/>
  <c r="D90" i="4"/>
  <c r="H29" i="1"/>
  <c r="H28" i="1"/>
  <c r="H27" i="1"/>
  <c r="H26" i="1"/>
  <c r="H25" i="1"/>
  <c r="H23" i="1"/>
  <c r="H22" i="1"/>
  <c r="H20" i="1"/>
  <c r="H19" i="1"/>
  <c r="H18" i="1"/>
  <c r="H17" i="1"/>
  <c r="H16" i="1"/>
  <c r="H15" i="1"/>
  <c r="C174" i="4"/>
  <c r="C222" i="4"/>
  <c r="C211" i="4"/>
  <c r="C136" i="4"/>
  <c r="D92" i="4"/>
  <c r="D91" i="4"/>
  <c r="F163" i="4" s="1"/>
  <c r="I163" i="4" s="1"/>
  <c r="E90" i="4"/>
  <c r="D76" i="4"/>
  <c r="AK70" i="4"/>
  <c r="D70" i="4"/>
  <c r="AL68" i="4"/>
  <c r="AC68" i="4"/>
  <c r="AB68" i="4"/>
  <c r="AA68" i="4"/>
  <c r="R68" i="4"/>
  <c r="Q68" i="4"/>
  <c r="P68" i="4"/>
  <c r="O68" i="4"/>
  <c r="N68" i="4"/>
  <c r="L68" i="4"/>
  <c r="K68" i="4"/>
  <c r="J68" i="4"/>
  <c r="I68" i="4"/>
  <c r="H68" i="4"/>
  <c r="AL67" i="4"/>
  <c r="AC67" i="4"/>
  <c r="AB67" i="4"/>
  <c r="AA67" i="4"/>
  <c r="R67" i="4"/>
  <c r="Q67" i="4"/>
  <c r="P67" i="4"/>
  <c r="O67" i="4"/>
  <c r="N67" i="4"/>
  <c r="L67" i="4"/>
  <c r="K67" i="4"/>
  <c r="J67" i="4"/>
  <c r="I67" i="4"/>
  <c r="H67" i="4"/>
  <c r="AL66" i="4"/>
  <c r="AC66" i="4"/>
  <c r="AB66" i="4"/>
  <c r="AA66" i="4"/>
  <c r="R66" i="4"/>
  <c r="Q66" i="4"/>
  <c r="P66" i="4"/>
  <c r="O66" i="4"/>
  <c r="Z66" i="4" s="1"/>
  <c r="L66" i="4"/>
  <c r="K66" i="4"/>
  <c r="I66" i="4"/>
  <c r="G66" i="4"/>
  <c r="N66" i="4" s="1"/>
  <c r="A66" i="4"/>
  <c r="AK64" i="4"/>
  <c r="D64" i="4"/>
  <c r="AL61" i="4"/>
  <c r="AC61" i="4"/>
  <c r="AB61" i="4"/>
  <c r="AA61" i="4"/>
  <c r="R61" i="4"/>
  <c r="Q61" i="4"/>
  <c r="P61" i="4"/>
  <c r="O61" i="4"/>
  <c r="Z61" i="4" s="1"/>
  <c r="L61" i="4"/>
  <c r="K61" i="4"/>
  <c r="J61" i="4"/>
  <c r="I61" i="4"/>
  <c r="G61" i="4"/>
  <c r="N61" i="4" s="1"/>
  <c r="AL60" i="4"/>
  <c r="AC60" i="4"/>
  <c r="AB60" i="4"/>
  <c r="AA60" i="4"/>
  <c r="R60" i="4"/>
  <c r="Q60" i="4"/>
  <c r="P60" i="4"/>
  <c r="O60" i="4"/>
  <c r="L60" i="4"/>
  <c r="K60" i="4"/>
  <c r="J60" i="4"/>
  <c r="I60" i="4"/>
  <c r="G60" i="4"/>
  <c r="N60" i="4" s="1"/>
  <c r="AL59" i="4"/>
  <c r="AC59" i="4"/>
  <c r="AB59" i="4"/>
  <c r="AA59" i="4"/>
  <c r="R59" i="4"/>
  <c r="Q59" i="4"/>
  <c r="P59" i="4"/>
  <c r="O59" i="4"/>
  <c r="Z59" i="4" s="1"/>
  <c r="L59" i="4"/>
  <c r="K59" i="4"/>
  <c r="J59" i="4"/>
  <c r="I59" i="4"/>
  <c r="G59" i="4"/>
  <c r="AL58" i="4"/>
  <c r="AC58" i="4"/>
  <c r="AB58" i="4"/>
  <c r="AA58" i="4"/>
  <c r="R58" i="4"/>
  <c r="Q58" i="4"/>
  <c r="P58" i="4"/>
  <c r="O58" i="4"/>
  <c r="Z58" i="4" s="1"/>
  <c r="L58" i="4"/>
  <c r="K58" i="4"/>
  <c r="J58" i="4"/>
  <c r="I58" i="4"/>
  <c r="G58" i="4"/>
  <c r="N58" i="4" s="1"/>
  <c r="AK56" i="4"/>
  <c r="D56" i="4"/>
  <c r="AL54" i="4"/>
  <c r="AC54" i="4"/>
  <c r="AB54" i="4"/>
  <c r="AA54" i="4"/>
  <c r="R54" i="4"/>
  <c r="Q54" i="4"/>
  <c r="P54" i="4"/>
  <c r="O54" i="4"/>
  <c r="Z54" i="4" s="1"/>
  <c r="N54" i="4"/>
  <c r="L54" i="4"/>
  <c r="K54" i="4"/>
  <c r="J54" i="4"/>
  <c r="I54" i="4"/>
  <c r="H54" i="4"/>
  <c r="AL53" i="4"/>
  <c r="AC53" i="4"/>
  <c r="AB53" i="4"/>
  <c r="AA53" i="4"/>
  <c r="R53" i="4"/>
  <c r="Q53" i="4"/>
  <c r="P53" i="4"/>
  <c r="O53" i="4"/>
  <c r="Z53" i="4" s="1"/>
  <c r="N53" i="4"/>
  <c r="L53" i="4"/>
  <c r="K53" i="4"/>
  <c r="J53" i="4"/>
  <c r="I53" i="4"/>
  <c r="H53" i="4"/>
  <c r="AL52" i="4"/>
  <c r="AC52" i="4"/>
  <c r="AB52" i="4"/>
  <c r="AA52" i="4"/>
  <c r="R52" i="4"/>
  <c r="Q52" i="4"/>
  <c r="P52" i="4"/>
  <c r="O52" i="4"/>
  <c r="Z52" i="4" s="1"/>
  <c r="N52" i="4"/>
  <c r="L52" i="4"/>
  <c r="K52" i="4"/>
  <c r="J52" i="4"/>
  <c r="I52" i="4"/>
  <c r="H52" i="4"/>
  <c r="AL51" i="4"/>
  <c r="AC51" i="4"/>
  <c r="AB51" i="4"/>
  <c r="AA51" i="4"/>
  <c r="R51" i="4"/>
  <c r="Q51" i="4"/>
  <c r="P51" i="4"/>
  <c r="O51" i="4"/>
  <c r="Z51" i="4" s="1"/>
  <c r="L51" i="4"/>
  <c r="K51" i="4"/>
  <c r="J51" i="4"/>
  <c r="I51" i="4"/>
  <c r="G51" i="4"/>
  <c r="N51" i="4" s="1"/>
  <c r="AL50" i="4"/>
  <c r="AC50" i="4"/>
  <c r="AB50" i="4"/>
  <c r="AA50" i="4"/>
  <c r="R50" i="4"/>
  <c r="Q50" i="4"/>
  <c r="P50" i="4"/>
  <c r="O50" i="4"/>
  <c r="Z50" i="4" s="1"/>
  <c r="L50" i="4"/>
  <c r="K50" i="4"/>
  <c r="J50" i="4"/>
  <c r="I50" i="4"/>
  <c r="G50" i="4"/>
  <c r="H50" i="4" s="1"/>
  <c r="AL49" i="4"/>
  <c r="AC49" i="4"/>
  <c r="AB49" i="4"/>
  <c r="AA49" i="4"/>
  <c r="R49" i="4"/>
  <c r="Q49" i="4"/>
  <c r="P49" i="4"/>
  <c r="O49" i="4"/>
  <c r="Z49" i="4" s="1"/>
  <c r="L49" i="4"/>
  <c r="K49" i="4"/>
  <c r="J49" i="4"/>
  <c r="I49" i="4"/>
  <c r="G49" i="4"/>
  <c r="H49" i="4" s="1"/>
  <c r="A49" i="4"/>
  <c r="A50" i="4" s="1"/>
  <c r="A51" i="4" s="1"/>
  <c r="A52" i="4" s="1"/>
  <c r="A53" i="4" s="1"/>
  <c r="A54" i="4" s="1"/>
  <c r="A58" i="4" s="1"/>
  <c r="A59" i="4" s="1"/>
  <c r="A60" i="4" s="1"/>
  <c r="A61" i="4" s="1"/>
  <c r="AK44" i="4"/>
  <c r="D44" i="4"/>
  <c r="AC43" i="4"/>
  <c r="AB43" i="4"/>
  <c r="AA43" i="4"/>
  <c r="Q43" i="4"/>
  <c r="P43" i="4"/>
  <c r="O43" i="4"/>
  <c r="L43" i="4"/>
  <c r="J43" i="4"/>
  <c r="I43" i="4"/>
  <c r="G43" i="4"/>
  <c r="K43" i="4" s="1"/>
  <c r="AC42" i="4"/>
  <c r="AB42" i="4"/>
  <c r="AA42" i="4"/>
  <c r="Q42" i="4"/>
  <c r="P42" i="4"/>
  <c r="O42" i="4"/>
  <c r="L42" i="4"/>
  <c r="K42" i="4"/>
  <c r="J42" i="4"/>
  <c r="G42" i="4"/>
  <c r="I42" i="4" s="1"/>
  <c r="AC41" i="4"/>
  <c r="AB41" i="4"/>
  <c r="AA41" i="4"/>
  <c r="Q41" i="4"/>
  <c r="P41" i="4"/>
  <c r="O41" i="4"/>
  <c r="L41" i="4"/>
  <c r="K41" i="4"/>
  <c r="I41" i="4"/>
  <c r="G41" i="4"/>
  <c r="AK38" i="4"/>
  <c r="D38" i="4"/>
  <c r="AB36" i="4"/>
  <c r="AA36" i="4"/>
  <c r="Q36" i="4"/>
  <c r="P36" i="4"/>
  <c r="O36" i="4"/>
  <c r="Z36" i="4" s="1"/>
  <c r="L36" i="4"/>
  <c r="K36" i="4"/>
  <c r="J36" i="4"/>
  <c r="G36" i="4"/>
  <c r="I36" i="4" s="1"/>
  <c r="AC35" i="4"/>
  <c r="AB35" i="4"/>
  <c r="AA35" i="4"/>
  <c r="Q35" i="4"/>
  <c r="P35" i="4"/>
  <c r="O35" i="4"/>
  <c r="L35" i="4"/>
  <c r="K35" i="4"/>
  <c r="I35" i="4"/>
  <c r="G35" i="4"/>
  <c r="H35" i="4" s="1"/>
  <c r="AD26" i="4"/>
  <c r="A25" i="4"/>
  <c r="A26" i="4" s="1"/>
  <c r="AD24" i="4"/>
  <c r="T17" i="4"/>
  <c r="M17" i="4"/>
  <c r="M16" i="4"/>
  <c r="M12" i="4"/>
  <c r="M15" i="4" s="1"/>
  <c r="C12" i="4"/>
  <c r="E11" i="4"/>
  <c r="R10" i="4"/>
  <c r="R9" i="4"/>
  <c r="A7" i="4"/>
  <c r="A8" i="4" s="1"/>
  <c r="A9" i="4" s="1"/>
  <c r="A10" i="4" s="1"/>
  <c r="A11" i="4" s="1"/>
  <c r="A12" i="4" s="1"/>
  <c r="A13" i="4" s="1"/>
  <c r="A14" i="4" s="1"/>
  <c r="A15" i="4" s="1"/>
  <c r="A16" i="4" s="1"/>
  <c r="A17" i="4" s="1"/>
  <c r="A18" i="4" s="1"/>
  <c r="M4" i="4"/>
  <c r="M3" i="4"/>
  <c r="P332" i="3"/>
  <c r="M332" i="3"/>
  <c r="I332" i="3"/>
  <c r="H332" i="3"/>
  <c r="AJ321" i="3"/>
  <c r="AN321" i="3" s="1"/>
  <c r="AH321" i="3"/>
  <c r="AB321" i="3"/>
  <c r="Q321" i="3"/>
  <c r="R321" i="3" s="1"/>
  <c r="N321" i="3"/>
  <c r="O321" i="3" s="1"/>
  <c r="K321" i="3"/>
  <c r="J321" i="3"/>
  <c r="AJ320" i="3"/>
  <c r="AN320" i="3" s="1"/>
  <c r="AI320" i="3"/>
  <c r="AM320" i="3" s="1"/>
  <c r="AH320" i="3"/>
  <c r="AB320" i="3"/>
  <c r="Q320" i="3"/>
  <c r="R320" i="3" s="1"/>
  <c r="N320" i="3"/>
  <c r="O320" i="3" s="1"/>
  <c r="K320" i="3"/>
  <c r="J320" i="3"/>
  <c r="AJ319" i="3"/>
  <c r="AN319" i="3" s="1"/>
  <c r="AH319" i="3"/>
  <c r="AB319" i="3"/>
  <c r="Q319" i="3"/>
  <c r="R319" i="3" s="1"/>
  <c r="N319" i="3"/>
  <c r="K319" i="3"/>
  <c r="J319" i="3"/>
  <c r="AJ318" i="3"/>
  <c r="AN318" i="3" s="1"/>
  <c r="AH318" i="3"/>
  <c r="AB318" i="3"/>
  <c r="Q318" i="3"/>
  <c r="R318" i="3" s="1"/>
  <c r="N318" i="3"/>
  <c r="K318" i="3"/>
  <c r="J318" i="3"/>
  <c r="AJ317" i="3"/>
  <c r="AN317" i="3" s="1"/>
  <c r="AH317" i="3"/>
  <c r="AB317" i="3"/>
  <c r="Q317" i="3"/>
  <c r="R317" i="3" s="1"/>
  <c r="N317" i="3"/>
  <c r="O317" i="3" s="1"/>
  <c r="K317" i="3"/>
  <c r="J317" i="3"/>
  <c r="AJ316" i="3"/>
  <c r="AN316" i="3" s="1"/>
  <c r="AH316" i="3"/>
  <c r="AB316" i="3"/>
  <c r="Q316" i="3"/>
  <c r="R316" i="3" s="1"/>
  <c r="N316" i="3"/>
  <c r="K316" i="3"/>
  <c r="J316" i="3"/>
  <c r="AJ315" i="3"/>
  <c r="AN315" i="3" s="1"/>
  <c r="AH315" i="3"/>
  <c r="AB315" i="3"/>
  <c r="Q315" i="3"/>
  <c r="R315" i="3" s="1"/>
  <c r="N315" i="3"/>
  <c r="O315" i="3" s="1"/>
  <c r="K315" i="3"/>
  <c r="J315" i="3"/>
  <c r="AJ314" i="3"/>
  <c r="AN314" i="3" s="1"/>
  <c r="AH314" i="3"/>
  <c r="AB314" i="3"/>
  <c r="Q314" i="3"/>
  <c r="R314" i="3" s="1"/>
  <c r="N314" i="3"/>
  <c r="O314" i="3" s="1"/>
  <c r="K314" i="3"/>
  <c r="J314" i="3"/>
  <c r="AJ313" i="3"/>
  <c r="AN313" i="3" s="1"/>
  <c r="AH313" i="3"/>
  <c r="AB313" i="3"/>
  <c r="Q313" i="3"/>
  <c r="R313" i="3" s="1"/>
  <c r="N313" i="3"/>
  <c r="O313" i="3" s="1"/>
  <c r="K313" i="3"/>
  <c r="J313" i="3"/>
  <c r="AJ312" i="3"/>
  <c r="AN312" i="3" s="1"/>
  <c r="AH312" i="3"/>
  <c r="AB312" i="3"/>
  <c r="Q312" i="3"/>
  <c r="R312" i="3" s="1"/>
  <c r="N312" i="3"/>
  <c r="O312" i="3" s="1"/>
  <c r="K312" i="3"/>
  <c r="J312" i="3"/>
  <c r="AJ311" i="3"/>
  <c r="AH311" i="3"/>
  <c r="AB311" i="3"/>
  <c r="Q311" i="3"/>
  <c r="N311" i="3"/>
  <c r="O311" i="3" s="1"/>
  <c r="K311" i="3"/>
  <c r="J311" i="3"/>
  <c r="N284" i="3"/>
  <c r="O284" i="3" s="1"/>
  <c r="AJ242" i="3"/>
  <c r="AN242" i="3" s="1"/>
  <c r="AI242" i="3"/>
  <c r="AM242" i="3" s="1"/>
  <c r="AH242" i="3"/>
  <c r="AB242" i="3"/>
  <c r="Q242" i="3"/>
  <c r="R242" i="3" s="1"/>
  <c r="N242" i="3"/>
  <c r="K242" i="3"/>
  <c r="J242" i="3"/>
  <c r="T306" i="3"/>
  <c r="S306" i="3"/>
  <c r="P306" i="3"/>
  <c r="M306" i="3"/>
  <c r="I306" i="3"/>
  <c r="H306" i="3"/>
  <c r="G306" i="3"/>
  <c r="F306" i="3"/>
  <c r="AB305" i="3"/>
  <c r="Q305" i="3"/>
  <c r="R305" i="3" s="1"/>
  <c r="N305" i="3"/>
  <c r="K305" i="3"/>
  <c r="J305" i="3"/>
  <c r="AJ304" i="3"/>
  <c r="AN304" i="3" s="1"/>
  <c r="AH304" i="3"/>
  <c r="AB304" i="3"/>
  <c r="Q304" i="3"/>
  <c r="R304" i="3" s="1"/>
  <c r="N304" i="3"/>
  <c r="O304" i="3" s="1"/>
  <c r="K304" i="3"/>
  <c r="J304" i="3"/>
  <c r="AI303" i="3"/>
  <c r="AM303" i="3" s="1"/>
  <c r="AB303" i="3"/>
  <c r="Q303" i="3"/>
  <c r="R303" i="3" s="1"/>
  <c r="N303" i="3"/>
  <c r="K303" i="3"/>
  <c r="J303" i="3"/>
  <c r="AJ302" i="3"/>
  <c r="AN302" i="3" s="1"/>
  <c r="AH302" i="3"/>
  <c r="AB302" i="3"/>
  <c r="Q302" i="3"/>
  <c r="R302" i="3" s="1"/>
  <c r="N302" i="3"/>
  <c r="O302" i="3" s="1"/>
  <c r="K302" i="3"/>
  <c r="J302" i="3"/>
  <c r="AJ301" i="3"/>
  <c r="AN301" i="3" s="1"/>
  <c r="AH301" i="3"/>
  <c r="AB301" i="3"/>
  <c r="Q301" i="3"/>
  <c r="R301" i="3" s="1"/>
  <c r="N301" i="3"/>
  <c r="O301" i="3" s="1"/>
  <c r="K301" i="3"/>
  <c r="J301" i="3"/>
  <c r="AJ300" i="3"/>
  <c r="AN300" i="3" s="1"/>
  <c r="AI300" i="3"/>
  <c r="AM300" i="3" s="1"/>
  <c r="AH300" i="3"/>
  <c r="AB300" i="3"/>
  <c r="Q300" i="3"/>
  <c r="R300" i="3" s="1"/>
  <c r="N300" i="3"/>
  <c r="O300" i="3" s="1"/>
  <c r="K300" i="3"/>
  <c r="J300" i="3"/>
  <c r="AJ299" i="3"/>
  <c r="AN299" i="3" s="1"/>
  <c r="AI299" i="3"/>
  <c r="AM299" i="3" s="1"/>
  <c r="AH299" i="3"/>
  <c r="AB299" i="3"/>
  <c r="Q299" i="3"/>
  <c r="R299" i="3" s="1"/>
  <c r="N299" i="3"/>
  <c r="K299" i="3"/>
  <c r="J299" i="3"/>
  <c r="AJ298" i="3"/>
  <c r="AN298" i="3" s="1"/>
  <c r="AI298" i="3"/>
  <c r="AM298" i="3" s="1"/>
  <c r="AH298" i="3"/>
  <c r="AB298" i="3"/>
  <c r="Q298" i="3"/>
  <c r="R298" i="3" s="1"/>
  <c r="N298" i="3"/>
  <c r="O298" i="3" s="1"/>
  <c r="K298" i="3"/>
  <c r="J298" i="3"/>
  <c r="AJ297" i="3"/>
  <c r="AN297" i="3" s="1"/>
  <c r="AI297" i="3"/>
  <c r="AM297" i="3" s="1"/>
  <c r="AH297" i="3"/>
  <c r="AB297" i="3"/>
  <c r="Q297" i="3"/>
  <c r="R297" i="3" s="1"/>
  <c r="N297" i="3"/>
  <c r="O297" i="3" s="1"/>
  <c r="K297" i="3"/>
  <c r="J297" i="3"/>
  <c r="AJ296" i="3"/>
  <c r="AN296" i="3" s="1"/>
  <c r="AI296" i="3"/>
  <c r="AM296" i="3" s="1"/>
  <c r="AH296" i="3"/>
  <c r="AB296" i="3"/>
  <c r="Q296" i="3"/>
  <c r="R296" i="3" s="1"/>
  <c r="N296" i="3"/>
  <c r="O296" i="3" s="1"/>
  <c r="K296" i="3"/>
  <c r="J296" i="3"/>
  <c r="AJ295" i="3"/>
  <c r="AN295" i="3" s="1"/>
  <c r="AI295" i="3"/>
  <c r="AM295" i="3" s="1"/>
  <c r="AH295" i="3"/>
  <c r="AB295" i="3"/>
  <c r="Q295" i="3"/>
  <c r="R295" i="3" s="1"/>
  <c r="N295" i="3"/>
  <c r="K295" i="3"/>
  <c r="J295" i="3"/>
  <c r="AJ294" i="3"/>
  <c r="AN294" i="3" s="1"/>
  <c r="AI294" i="3"/>
  <c r="AM294" i="3" s="1"/>
  <c r="AH294" i="3"/>
  <c r="AB294" i="3"/>
  <c r="Q294" i="3"/>
  <c r="R294" i="3" s="1"/>
  <c r="N294" i="3"/>
  <c r="O294" i="3" s="1"/>
  <c r="K294" i="3"/>
  <c r="J294" i="3"/>
  <c r="AJ293" i="3"/>
  <c r="AN293" i="3" s="1"/>
  <c r="AI293" i="3"/>
  <c r="AM293" i="3" s="1"/>
  <c r="AH293" i="3"/>
  <c r="AB293" i="3"/>
  <c r="Q293" i="3"/>
  <c r="R293" i="3" s="1"/>
  <c r="N293" i="3"/>
  <c r="K293" i="3"/>
  <c r="J293" i="3"/>
  <c r="AJ292" i="3"/>
  <c r="AN292" i="3" s="1"/>
  <c r="AI292" i="3"/>
  <c r="AM292" i="3" s="1"/>
  <c r="AH292" i="3"/>
  <c r="AB292" i="3"/>
  <c r="Q292" i="3"/>
  <c r="R292" i="3" s="1"/>
  <c r="N292" i="3"/>
  <c r="O292" i="3" s="1"/>
  <c r="K292" i="3"/>
  <c r="J292" i="3"/>
  <c r="AJ291" i="3"/>
  <c r="AN291" i="3" s="1"/>
  <c r="AI291" i="3"/>
  <c r="AM291" i="3" s="1"/>
  <c r="AH291" i="3"/>
  <c r="AB291" i="3"/>
  <c r="Q291" i="3"/>
  <c r="R291" i="3" s="1"/>
  <c r="N291" i="3"/>
  <c r="O291" i="3" s="1"/>
  <c r="K291" i="3"/>
  <c r="J291" i="3"/>
  <c r="AJ290" i="3"/>
  <c r="AN290" i="3" s="1"/>
  <c r="AI290" i="3"/>
  <c r="AM290" i="3" s="1"/>
  <c r="AH290" i="3"/>
  <c r="AB290" i="3"/>
  <c r="Q290" i="3"/>
  <c r="R290" i="3" s="1"/>
  <c r="N290" i="3"/>
  <c r="K290" i="3"/>
  <c r="J290" i="3"/>
  <c r="AJ289" i="3"/>
  <c r="AN289" i="3" s="1"/>
  <c r="AI289" i="3"/>
  <c r="AM289" i="3" s="1"/>
  <c r="AH289" i="3"/>
  <c r="AB289" i="3"/>
  <c r="Q289" i="3"/>
  <c r="R289" i="3" s="1"/>
  <c r="N289" i="3"/>
  <c r="K289" i="3"/>
  <c r="J289" i="3"/>
  <c r="AJ288" i="3"/>
  <c r="AN288" i="3" s="1"/>
  <c r="AH288" i="3"/>
  <c r="AB288" i="3"/>
  <c r="Q288" i="3"/>
  <c r="R288" i="3" s="1"/>
  <c r="N288" i="3"/>
  <c r="O288" i="3" s="1"/>
  <c r="K288" i="3"/>
  <c r="J288" i="3"/>
  <c r="AJ287" i="3"/>
  <c r="AN287" i="3" s="1"/>
  <c r="AI287" i="3"/>
  <c r="AM287" i="3" s="1"/>
  <c r="AH287" i="3"/>
  <c r="AB287" i="3"/>
  <c r="Q287" i="3"/>
  <c r="R287" i="3" s="1"/>
  <c r="N287" i="3"/>
  <c r="O287" i="3" s="1"/>
  <c r="K287" i="3"/>
  <c r="J287" i="3"/>
  <c r="AJ286" i="3"/>
  <c r="AN286" i="3" s="1"/>
  <c r="AI286" i="3"/>
  <c r="AM286" i="3" s="1"/>
  <c r="AH286" i="3"/>
  <c r="AB286" i="3"/>
  <c r="Q286" i="3"/>
  <c r="R286" i="3" s="1"/>
  <c r="N286" i="3"/>
  <c r="K286" i="3"/>
  <c r="J286" i="3"/>
  <c r="AJ285" i="3"/>
  <c r="AN285" i="3" s="1"/>
  <c r="AH285" i="3"/>
  <c r="AB285" i="3"/>
  <c r="Q285" i="3"/>
  <c r="R285" i="3" s="1"/>
  <c r="N285" i="3"/>
  <c r="O285" i="3" s="1"/>
  <c r="K285" i="3"/>
  <c r="J285" i="3"/>
  <c r="AJ284" i="3"/>
  <c r="AN284" i="3" s="1"/>
  <c r="AH284" i="3"/>
  <c r="AB284" i="3"/>
  <c r="Q284" i="3"/>
  <c r="R284" i="3" s="1"/>
  <c r="K284" i="3"/>
  <c r="J284" i="3"/>
  <c r="AJ283" i="3"/>
  <c r="AN283" i="3" s="1"/>
  <c r="AI283" i="3"/>
  <c r="AM283" i="3" s="1"/>
  <c r="AH283" i="3"/>
  <c r="AB283" i="3"/>
  <c r="Q283" i="3"/>
  <c r="R283" i="3" s="1"/>
  <c r="N283" i="3"/>
  <c r="K283" i="3"/>
  <c r="J283" i="3"/>
  <c r="AJ282" i="3"/>
  <c r="AN282" i="3" s="1"/>
  <c r="AI282" i="3"/>
  <c r="AM282" i="3" s="1"/>
  <c r="AH282" i="3"/>
  <c r="AB282" i="3"/>
  <c r="Q282" i="3"/>
  <c r="R282" i="3" s="1"/>
  <c r="N282" i="3"/>
  <c r="K282" i="3"/>
  <c r="J282" i="3"/>
  <c r="AJ281" i="3"/>
  <c r="AN281" i="3" s="1"/>
  <c r="AI281" i="3"/>
  <c r="AM281" i="3" s="1"/>
  <c r="AH281" i="3"/>
  <c r="AB281" i="3"/>
  <c r="Q281" i="3"/>
  <c r="R281" i="3" s="1"/>
  <c r="N281" i="3"/>
  <c r="K281" i="3"/>
  <c r="J281" i="3"/>
  <c r="AJ280" i="3"/>
  <c r="AN280" i="3" s="1"/>
  <c r="AH280" i="3"/>
  <c r="AB280" i="3"/>
  <c r="Q280" i="3"/>
  <c r="R280" i="3" s="1"/>
  <c r="N280" i="3"/>
  <c r="O280" i="3" s="1"/>
  <c r="K280" i="3"/>
  <c r="J280" i="3"/>
  <c r="AJ279" i="3"/>
  <c r="AN279" i="3" s="1"/>
  <c r="AH279" i="3"/>
  <c r="AB279" i="3"/>
  <c r="Q279" i="3"/>
  <c r="R279" i="3" s="1"/>
  <c r="N279" i="3"/>
  <c r="K279" i="3"/>
  <c r="J279" i="3"/>
  <c r="AJ278" i="3"/>
  <c r="AN278" i="3" s="1"/>
  <c r="AI278" i="3"/>
  <c r="AM278" i="3" s="1"/>
  <c r="AH278" i="3"/>
  <c r="AB278" i="3"/>
  <c r="Q278" i="3"/>
  <c r="R278" i="3" s="1"/>
  <c r="N278" i="3"/>
  <c r="K278" i="3"/>
  <c r="J278" i="3"/>
  <c r="AJ277" i="3"/>
  <c r="AN277" i="3" s="1"/>
  <c r="AI277" i="3"/>
  <c r="AM277" i="3" s="1"/>
  <c r="AH277" i="3"/>
  <c r="AB277" i="3"/>
  <c r="Q277" i="3"/>
  <c r="R277" i="3" s="1"/>
  <c r="N277" i="3"/>
  <c r="O277" i="3" s="1"/>
  <c r="K277" i="3"/>
  <c r="J277" i="3"/>
  <c r="AJ276" i="3"/>
  <c r="AN276" i="3" s="1"/>
  <c r="AH276" i="3"/>
  <c r="AB276" i="3"/>
  <c r="Q276" i="3"/>
  <c r="R276" i="3" s="1"/>
  <c r="N276" i="3"/>
  <c r="K276" i="3"/>
  <c r="J276" i="3"/>
  <c r="AJ275" i="3"/>
  <c r="AN275" i="3" s="1"/>
  <c r="AI275" i="3"/>
  <c r="AM275" i="3" s="1"/>
  <c r="AH275" i="3"/>
  <c r="AB275" i="3"/>
  <c r="Q275" i="3"/>
  <c r="R275" i="3" s="1"/>
  <c r="N275" i="3"/>
  <c r="O275" i="3" s="1"/>
  <c r="K275" i="3"/>
  <c r="J275" i="3"/>
  <c r="AJ274" i="3"/>
  <c r="AN274" i="3" s="1"/>
  <c r="AI274" i="3"/>
  <c r="AM274" i="3" s="1"/>
  <c r="AH274" i="3"/>
  <c r="AB274" i="3"/>
  <c r="Q274" i="3"/>
  <c r="R274" i="3" s="1"/>
  <c r="N274" i="3"/>
  <c r="O274" i="3" s="1"/>
  <c r="K274" i="3"/>
  <c r="J274" i="3"/>
  <c r="AJ273" i="3"/>
  <c r="AN273" i="3" s="1"/>
  <c r="AI273" i="3"/>
  <c r="AM273" i="3" s="1"/>
  <c r="AH273" i="3"/>
  <c r="AB273" i="3"/>
  <c r="Q273" i="3"/>
  <c r="R273" i="3" s="1"/>
  <c r="N273" i="3"/>
  <c r="O273" i="3" s="1"/>
  <c r="K273" i="3"/>
  <c r="J273" i="3"/>
  <c r="AJ272" i="3"/>
  <c r="AN272" i="3" s="1"/>
  <c r="AH272" i="3"/>
  <c r="AB272" i="3"/>
  <c r="Q272" i="3"/>
  <c r="R272" i="3" s="1"/>
  <c r="N272" i="3"/>
  <c r="K272" i="3"/>
  <c r="J272" i="3"/>
  <c r="AJ271" i="3"/>
  <c r="AN271" i="3" s="1"/>
  <c r="AH271" i="3"/>
  <c r="AB271" i="3"/>
  <c r="Q271" i="3"/>
  <c r="R271" i="3" s="1"/>
  <c r="N271" i="3"/>
  <c r="O271" i="3" s="1"/>
  <c r="K271" i="3"/>
  <c r="J271" i="3"/>
  <c r="AJ270" i="3"/>
  <c r="AN270" i="3" s="1"/>
  <c r="AH270" i="3"/>
  <c r="AB270" i="3"/>
  <c r="Q270" i="3"/>
  <c r="R270" i="3" s="1"/>
  <c r="N270" i="3"/>
  <c r="K270" i="3"/>
  <c r="J270" i="3"/>
  <c r="AJ269" i="3"/>
  <c r="AN269" i="3" s="1"/>
  <c r="AH269" i="3"/>
  <c r="AB269" i="3"/>
  <c r="Q269" i="3"/>
  <c r="R269" i="3" s="1"/>
  <c r="N269" i="3"/>
  <c r="O269" i="3" s="1"/>
  <c r="K269" i="3"/>
  <c r="J269" i="3"/>
  <c r="AJ268" i="3"/>
  <c r="AH268" i="3"/>
  <c r="AB268" i="3"/>
  <c r="Q268" i="3"/>
  <c r="R268" i="3" s="1"/>
  <c r="N268" i="3"/>
  <c r="K268" i="3"/>
  <c r="J268" i="3"/>
  <c r="AJ267" i="3"/>
  <c r="AN267" i="3" s="1"/>
  <c r="AH267" i="3"/>
  <c r="AB267" i="3"/>
  <c r="Q267" i="3"/>
  <c r="N267" i="3"/>
  <c r="O267" i="3" s="1"/>
  <c r="K267" i="3"/>
  <c r="J267" i="3"/>
  <c r="AJ266" i="3"/>
  <c r="AN266" i="3" s="1"/>
  <c r="AI266" i="3"/>
  <c r="AM266" i="3" s="1"/>
  <c r="AH266" i="3"/>
  <c r="AB266" i="3"/>
  <c r="Q266" i="3"/>
  <c r="R266" i="3" s="1"/>
  <c r="N266" i="3"/>
  <c r="O266" i="3" s="1"/>
  <c r="K266" i="3"/>
  <c r="J266" i="3"/>
  <c r="AJ265" i="3"/>
  <c r="AN265" i="3" s="1"/>
  <c r="AI265" i="3"/>
  <c r="AM265" i="3" s="1"/>
  <c r="AH265" i="3"/>
  <c r="AB265" i="3"/>
  <c r="Q265" i="3"/>
  <c r="R265" i="3" s="1"/>
  <c r="N265" i="3"/>
  <c r="O265" i="3" s="1"/>
  <c r="K265" i="3"/>
  <c r="J265" i="3"/>
  <c r="AJ264" i="3"/>
  <c r="AI264" i="3"/>
  <c r="AM264" i="3" s="1"/>
  <c r="AH264" i="3"/>
  <c r="AB264" i="3"/>
  <c r="Q264" i="3"/>
  <c r="R264" i="3" s="1"/>
  <c r="N264" i="3"/>
  <c r="O264" i="3" s="1"/>
  <c r="K264" i="3"/>
  <c r="J264" i="3"/>
  <c r="AJ263" i="3"/>
  <c r="AN263" i="3" s="1"/>
  <c r="AI263" i="3"/>
  <c r="AM263" i="3" s="1"/>
  <c r="AH263" i="3"/>
  <c r="AB263" i="3"/>
  <c r="Q263" i="3"/>
  <c r="N263" i="3"/>
  <c r="O263" i="3" s="1"/>
  <c r="K263" i="3"/>
  <c r="J263" i="3"/>
  <c r="AJ262" i="3"/>
  <c r="AN262" i="3" s="1"/>
  <c r="AI262" i="3"/>
  <c r="AM262" i="3" s="1"/>
  <c r="AH262" i="3"/>
  <c r="AB262" i="3"/>
  <c r="Q262" i="3"/>
  <c r="R262" i="3" s="1"/>
  <c r="N262" i="3"/>
  <c r="O262" i="3" s="1"/>
  <c r="K262" i="3"/>
  <c r="J262" i="3"/>
  <c r="AJ261" i="3"/>
  <c r="AN261" i="3" s="1"/>
  <c r="AI261" i="3"/>
  <c r="AM261" i="3" s="1"/>
  <c r="AH261" i="3"/>
  <c r="AB261" i="3"/>
  <c r="Q261" i="3"/>
  <c r="N261" i="3"/>
  <c r="O261" i="3" s="1"/>
  <c r="K261" i="3"/>
  <c r="J261" i="3"/>
  <c r="AJ260" i="3"/>
  <c r="AN260" i="3" s="1"/>
  <c r="AI260" i="3"/>
  <c r="AM260" i="3" s="1"/>
  <c r="AH260" i="3"/>
  <c r="AB260" i="3"/>
  <c r="Q260" i="3"/>
  <c r="R260" i="3" s="1"/>
  <c r="N260" i="3"/>
  <c r="K260" i="3"/>
  <c r="J260" i="3"/>
  <c r="AJ259" i="3"/>
  <c r="AN259" i="3" s="1"/>
  <c r="AH259" i="3"/>
  <c r="AB259" i="3"/>
  <c r="Q259" i="3"/>
  <c r="R259" i="3" s="1"/>
  <c r="N259" i="3"/>
  <c r="O259" i="3" s="1"/>
  <c r="K259" i="3"/>
  <c r="J259" i="3"/>
  <c r="AJ258" i="3"/>
  <c r="AN258" i="3" s="1"/>
  <c r="AH258" i="3"/>
  <c r="AB258" i="3"/>
  <c r="Q258" i="3"/>
  <c r="R258" i="3" s="1"/>
  <c r="N258" i="3"/>
  <c r="O258" i="3" s="1"/>
  <c r="K258" i="3"/>
  <c r="J258" i="3"/>
  <c r="AJ257" i="3"/>
  <c r="AN257" i="3" s="1"/>
  <c r="AH257" i="3"/>
  <c r="AB257" i="3"/>
  <c r="Q257" i="3"/>
  <c r="R257" i="3" s="1"/>
  <c r="N257" i="3"/>
  <c r="O257" i="3" s="1"/>
  <c r="K257" i="3"/>
  <c r="J257" i="3"/>
  <c r="AJ256" i="3"/>
  <c r="AN256" i="3" s="1"/>
  <c r="AH256" i="3"/>
  <c r="AB256" i="3"/>
  <c r="Q256" i="3"/>
  <c r="R256" i="3" s="1"/>
  <c r="N256" i="3"/>
  <c r="O256" i="3" s="1"/>
  <c r="K256" i="3"/>
  <c r="J256" i="3"/>
  <c r="AJ255" i="3"/>
  <c r="AN255" i="3" s="1"/>
  <c r="AH255" i="3"/>
  <c r="AB255" i="3"/>
  <c r="Q255" i="3"/>
  <c r="R255" i="3" s="1"/>
  <c r="N255" i="3"/>
  <c r="O255" i="3" s="1"/>
  <c r="K255" i="3"/>
  <c r="J255" i="3"/>
  <c r="AJ254" i="3"/>
  <c r="AN254" i="3" s="1"/>
  <c r="AI254" i="3"/>
  <c r="AM254" i="3" s="1"/>
  <c r="AH254" i="3"/>
  <c r="AB254" i="3"/>
  <c r="Q254" i="3"/>
  <c r="R254" i="3" s="1"/>
  <c r="N254" i="3"/>
  <c r="O254" i="3" s="1"/>
  <c r="K254" i="3"/>
  <c r="J254" i="3"/>
  <c r="AJ253" i="3"/>
  <c r="AN253" i="3" s="1"/>
  <c r="AH253" i="3"/>
  <c r="AB253" i="3"/>
  <c r="Q253" i="3"/>
  <c r="R253" i="3" s="1"/>
  <c r="N253" i="3"/>
  <c r="O253" i="3" s="1"/>
  <c r="K253" i="3"/>
  <c r="J253" i="3"/>
  <c r="AJ252" i="3"/>
  <c r="AN252" i="3" s="1"/>
  <c r="AI252" i="3"/>
  <c r="AM252" i="3" s="1"/>
  <c r="AH252" i="3"/>
  <c r="AB252" i="3"/>
  <c r="Q252" i="3"/>
  <c r="R252" i="3" s="1"/>
  <c r="N252" i="3"/>
  <c r="O252" i="3" s="1"/>
  <c r="K252" i="3"/>
  <c r="J252" i="3"/>
  <c r="AJ251" i="3"/>
  <c r="AN251" i="3" s="1"/>
  <c r="AI251" i="3"/>
  <c r="AM251" i="3" s="1"/>
  <c r="AH251" i="3"/>
  <c r="AB251" i="3"/>
  <c r="Q251" i="3"/>
  <c r="R251" i="3" s="1"/>
  <c r="N251" i="3"/>
  <c r="O251" i="3" s="1"/>
  <c r="K251" i="3"/>
  <c r="J251" i="3"/>
  <c r="AJ250" i="3"/>
  <c r="AN250" i="3" s="1"/>
  <c r="AI250" i="3"/>
  <c r="AM250" i="3" s="1"/>
  <c r="AH250" i="3"/>
  <c r="AB250" i="3"/>
  <c r="Q250" i="3"/>
  <c r="R250" i="3" s="1"/>
  <c r="N250" i="3"/>
  <c r="O250" i="3" s="1"/>
  <c r="K250" i="3"/>
  <c r="J250" i="3"/>
  <c r="AJ249" i="3"/>
  <c r="AN249" i="3" s="1"/>
  <c r="AH249" i="3"/>
  <c r="AB249" i="3"/>
  <c r="Q249" i="3"/>
  <c r="U249" i="3" s="1"/>
  <c r="K249" i="3"/>
  <c r="J249" i="3"/>
  <c r="AJ248" i="3"/>
  <c r="AN248" i="3" s="1"/>
  <c r="AH248" i="3"/>
  <c r="AB248" i="3"/>
  <c r="Q248" i="3"/>
  <c r="R248" i="3" s="1"/>
  <c r="K248" i="3"/>
  <c r="J248" i="3"/>
  <c r="AJ247" i="3"/>
  <c r="AN247" i="3" s="1"/>
  <c r="AH247" i="3"/>
  <c r="AB247" i="3"/>
  <c r="Q247" i="3"/>
  <c r="K247" i="3"/>
  <c r="J247" i="3"/>
  <c r="AJ246" i="3"/>
  <c r="AN246" i="3" s="1"/>
  <c r="AH246" i="3"/>
  <c r="AB246" i="3"/>
  <c r="Q246" i="3"/>
  <c r="U246" i="3" s="1"/>
  <c r="K246" i="3"/>
  <c r="J246" i="3"/>
  <c r="AJ245" i="3"/>
  <c r="AN245" i="3" s="1"/>
  <c r="AH245" i="3"/>
  <c r="AB245" i="3"/>
  <c r="Q245" i="3"/>
  <c r="R245" i="3" s="1"/>
  <c r="N245" i="3"/>
  <c r="O245" i="3" s="1"/>
  <c r="K245" i="3"/>
  <c r="J245" i="3"/>
  <c r="AJ244" i="3"/>
  <c r="AN244" i="3" s="1"/>
  <c r="AI244" i="3"/>
  <c r="AM244" i="3" s="1"/>
  <c r="AH244" i="3"/>
  <c r="AB244" i="3"/>
  <c r="Q244" i="3"/>
  <c r="R244" i="3" s="1"/>
  <c r="N244" i="3"/>
  <c r="O244" i="3" s="1"/>
  <c r="K244" i="3"/>
  <c r="J244" i="3"/>
  <c r="AJ243" i="3"/>
  <c r="AN243" i="3" s="1"/>
  <c r="AH243" i="3"/>
  <c r="AB243" i="3"/>
  <c r="Q243" i="3"/>
  <c r="R243" i="3" s="1"/>
  <c r="N243" i="3"/>
  <c r="O243" i="3" s="1"/>
  <c r="K243" i="3"/>
  <c r="J243" i="3"/>
  <c r="AJ241" i="3"/>
  <c r="AN241" i="3" s="1"/>
  <c r="AI241" i="3"/>
  <c r="AM241" i="3" s="1"/>
  <c r="AH241" i="3"/>
  <c r="AB241" i="3"/>
  <c r="Q241" i="3"/>
  <c r="R241" i="3" s="1"/>
  <c r="N241" i="3"/>
  <c r="K241" i="3"/>
  <c r="J241" i="3"/>
  <c r="AJ240" i="3"/>
  <c r="AN240" i="3" s="1"/>
  <c r="AI240" i="3"/>
  <c r="AM240" i="3" s="1"/>
  <c r="AH240" i="3"/>
  <c r="AB240" i="3"/>
  <c r="Q240" i="3"/>
  <c r="R240" i="3" s="1"/>
  <c r="N240" i="3"/>
  <c r="O240" i="3" s="1"/>
  <c r="K240" i="3"/>
  <c r="J240" i="3"/>
  <c r="AJ239" i="3"/>
  <c r="AN239" i="3" s="1"/>
  <c r="AH239" i="3"/>
  <c r="AB239" i="3"/>
  <c r="Q239" i="3"/>
  <c r="R239" i="3" s="1"/>
  <c r="N239" i="3"/>
  <c r="O239" i="3" s="1"/>
  <c r="K239" i="3"/>
  <c r="J239" i="3"/>
  <c r="AJ238" i="3"/>
  <c r="AN238" i="3" s="1"/>
  <c r="AI238" i="3"/>
  <c r="AM238" i="3" s="1"/>
  <c r="AH238" i="3"/>
  <c r="AB238" i="3"/>
  <c r="Q238" i="3"/>
  <c r="R238" i="3" s="1"/>
  <c r="N238" i="3"/>
  <c r="O238" i="3" s="1"/>
  <c r="K238" i="3"/>
  <c r="J238" i="3"/>
  <c r="AJ237" i="3"/>
  <c r="AN237" i="3" s="1"/>
  <c r="AI237" i="3"/>
  <c r="AM237" i="3" s="1"/>
  <c r="AH237" i="3"/>
  <c r="AB237" i="3"/>
  <c r="Q237" i="3"/>
  <c r="R237" i="3" s="1"/>
  <c r="N237" i="3"/>
  <c r="K237" i="3"/>
  <c r="J237" i="3"/>
  <c r="AJ236" i="3"/>
  <c r="AN236" i="3" s="1"/>
  <c r="AH236" i="3"/>
  <c r="AB236" i="3"/>
  <c r="Q236" i="3"/>
  <c r="R236" i="3" s="1"/>
  <c r="N236" i="3"/>
  <c r="O236" i="3" s="1"/>
  <c r="K236" i="3"/>
  <c r="J236" i="3"/>
  <c r="AJ235" i="3"/>
  <c r="AN235" i="3" s="1"/>
  <c r="AH235" i="3"/>
  <c r="AB235" i="3"/>
  <c r="Q235" i="3"/>
  <c r="R235" i="3" s="1"/>
  <c r="N235" i="3"/>
  <c r="O235" i="3" s="1"/>
  <c r="K235" i="3"/>
  <c r="J235" i="3"/>
  <c r="AJ234" i="3"/>
  <c r="AN234" i="3" s="1"/>
  <c r="AH234" i="3"/>
  <c r="AB234" i="3"/>
  <c r="Q234" i="3"/>
  <c r="U234" i="3" s="1"/>
  <c r="K234" i="3"/>
  <c r="J234" i="3"/>
  <c r="AJ233" i="3"/>
  <c r="AN233" i="3" s="1"/>
  <c r="AH233" i="3"/>
  <c r="AB233" i="3"/>
  <c r="Q233" i="3"/>
  <c r="U233" i="3" s="1"/>
  <c r="K233" i="3"/>
  <c r="J233" i="3"/>
  <c r="AJ232" i="3"/>
  <c r="AN232" i="3" s="1"/>
  <c r="AH232" i="3"/>
  <c r="AB232" i="3"/>
  <c r="Q232" i="3"/>
  <c r="R232" i="3" s="1"/>
  <c r="N232" i="3"/>
  <c r="O232" i="3" s="1"/>
  <c r="K232" i="3"/>
  <c r="J232" i="3"/>
  <c r="AJ231" i="3"/>
  <c r="AN231" i="3" s="1"/>
  <c r="AH231" i="3"/>
  <c r="AB231" i="3"/>
  <c r="Q231" i="3"/>
  <c r="U231" i="3" s="1"/>
  <c r="K231" i="3"/>
  <c r="J231" i="3"/>
  <c r="AJ230" i="3"/>
  <c r="AN230" i="3" s="1"/>
  <c r="AH230" i="3"/>
  <c r="AB230" i="3"/>
  <c r="Q230" i="3"/>
  <c r="R230" i="3" s="1"/>
  <c r="K230" i="3"/>
  <c r="J230" i="3"/>
  <c r="AJ229" i="3"/>
  <c r="AN229" i="3" s="1"/>
  <c r="AI229" i="3"/>
  <c r="AM229" i="3" s="1"/>
  <c r="AH229" i="3"/>
  <c r="AB229" i="3"/>
  <c r="Q229" i="3"/>
  <c r="R229" i="3" s="1"/>
  <c r="N229" i="3"/>
  <c r="O229" i="3" s="1"/>
  <c r="K229" i="3"/>
  <c r="J229" i="3"/>
  <c r="AJ228" i="3"/>
  <c r="AN228" i="3" s="1"/>
  <c r="AH228" i="3"/>
  <c r="AB228" i="3"/>
  <c r="Q228" i="3"/>
  <c r="R228" i="3" s="1"/>
  <c r="N228" i="3"/>
  <c r="O228" i="3" s="1"/>
  <c r="K228" i="3"/>
  <c r="J228" i="3"/>
  <c r="AJ227" i="3"/>
  <c r="AN227" i="3" s="1"/>
  <c r="AH227" i="3"/>
  <c r="AB227" i="3"/>
  <c r="Q227" i="3"/>
  <c r="R227" i="3" s="1"/>
  <c r="N227" i="3"/>
  <c r="O227" i="3" s="1"/>
  <c r="K227" i="3"/>
  <c r="J227" i="3"/>
  <c r="AJ226" i="3"/>
  <c r="AN226" i="3" s="1"/>
  <c r="AI226" i="3"/>
  <c r="AM226" i="3" s="1"/>
  <c r="AH226" i="3"/>
  <c r="AB226" i="3"/>
  <c r="Q226" i="3"/>
  <c r="R226" i="3" s="1"/>
  <c r="N226" i="3"/>
  <c r="O226" i="3" s="1"/>
  <c r="K226" i="3"/>
  <c r="J226" i="3"/>
  <c r="AJ225" i="3"/>
  <c r="AN225" i="3" s="1"/>
  <c r="AI225" i="3"/>
  <c r="AM225" i="3" s="1"/>
  <c r="AH225" i="3"/>
  <c r="AB225" i="3"/>
  <c r="Q225" i="3"/>
  <c r="R225" i="3" s="1"/>
  <c r="N225" i="3"/>
  <c r="O225" i="3" s="1"/>
  <c r="K225" i="3"/>
  <c r="J225" i="3"/>
  <c r="AJ224" i="3"/>
  <c r="AN224" i="3" s="1"/>
  <c r="AH224" i="3"/>
  <c r="AB224" i="3"/>
  <c r="Q224" i="3"/>
  <c r="R224" i="3" s="1"/>
  <c r="N224" i="3"/>
  <c r="K224" i="3"/>
  <c r="J224" i="3"/>
  <c r="AJ223" i="3"/>
  <c r="AN223" i="3" s="1"/>
  <c r="AH223" i="3"/>
  <c r="AB223" i="3"/>
  <c r="Q223" i="3"/>
  <c r="R223" i="3" s="1"/>
  <c r="N223" i="3"/>
  <c r="O223" i="3" s="1"/>
  <c r="K223" i="3"/>
  <c r="J223" i="3"/>
  <c r="AJ222" i="3"/>
  <c r="AN222" i="3" s="1"/>
  <c r="AH222" i="3"/>
  <c r="AB222" i="3"/>
  <c r="Q222" i="3"/>
  <c r="R222" i="3" s="1"/>
  <c r="N222" i="3"/>
  <c r="O222" i="3" s="1"/>
  <c r="K222" i="3"/>
  <c r="J222" i="3"/>
  <c r="AJ221" i="3"/>
  <c r="AN221" i="3" s="1"/>
  <c r="AI221" i="3"/>
  <c r="AM221" i="3" s="1"/>
  <c r="AH221" i="3"/>
  <c r="AB221" i="3"/>
  <c r="Q221" i="3"/>
  <c r="R221" i="3" s="1"/>
  <c r="N221" i="3"/>
  <c r="O221" i="3" s="1"/>
  <c r="K221" i="3"/>
  <c r="J221" i="3"/>
  <c r="AJ220" i="3"/>
  <c r="AN220" i="3" s="1"/>
  <c r="AI220" i="3"/>
  <c r="AM220" i="3" s="1"/>
  <c r="AH220" i="3"/>
  <c r="AB220" i="3"/>
  <c r="Q220" i="3"/>
  <c r="R220" i="3" s="1"/>
  <c r="N220" i="3"/>
  <c r="O220" i="3" s="1"/>
  <c r="K220" i="3"/>
  <c r="J220" i="3"/>
  <c r="AJ219" i="3"/>
  <c r="AN219" i="3" s="1"/>
  <c r="AI219" i="3"/>
  <c r="AM219" i="3" s="1"/>
  <c r="AH219" i="3"/>
  <c r="AB219" i="3"/>
  <c r="Q219" i="3"/>
  <c r="R219" i="3" s="1"/>
  <c r="N219" i="3"/>
  <c r="O219" i="3" s="1"/>
  <c r="K219" i="3"/>
  <c r="J219" i="3"/>
  <c r="AJ218" i="3"/>
  <c r="AN218" i="3" s="1"/>
  <c r="AI218" i="3"/>
  <c r="AM218" i="3" s="1"/>
  <c r="AH218" i="3"/>
  <c r="AB218" i="3"/>
  <c r="Q218" i="3"/>
  <c r="R218" i="3" s="1"/>
  <c r="N218" i="3"/>
  <c r="K218" i="3"/>
  <c r="J218" i="3"/>
  <c r="AJ217" i="3"/>
  <c r="AN217" i="3" s="1"/>
  <c r="AI217" i="3"/>
  <c r="AM217" i="3" s="1"/>
  <c r="AH217" i="3"/>
  <c r="AB217" i="3"/>
  <c r="Q217" i="3"/>
  <c r="R217" i="3" s="1"/>
  <c r="N217" i="3"/>
  <c r="O217" i="3" s="1"/>
  <c r="K217" i="3"/>
  <c r="J217" i="3"/>
  <c r="AJ216" i="3"/>
  <c r="AN216" i="3" s="1"/>
  <c r="AH216" i="3"/>
  <c r="AB216" i="3"/>
  <c r="Q216" i="3"/>
  <c r="R216" i="3" s="1"/>
  <c r="N216" i="3"/>
  <c r="K216" i="3"/>
  <c r="J216" i="3"/>
  <c r="AJ215" i="3"/>
  <c r="AH215" i="3"/>
  <c r="AB215" i="3"/>
  <c r="Q215" i="3"/>
  <c r="R215" i="3" s="1"/>
  <c r="N215" i="3"/>
  <c r="K215" i="3"/>
  <c r="J215" i="3"/>
  <c r="AJ87" i="3"/>
  <c r="AN87" i="3" s="1"/>
  <c r="AI87" i="3"/>
  <c r="AM87" i="3" s="1"/>
  <c r="AH87" i="3"/>
  <c r="AB87" i="3"/>
  <c r="Q87" i="3"/>
  <c r="R87" i="3" s="1"/>
  <c r="N87" i="3"/>
  <c r="K87" i="3"/>
  <c r="J87" i="3"/>
  <c r="AJ185" i="3"/>
  <c r="AN185" i="3" s="1"/>
  <c r="AH185" i="3"/>
  <c r="AB185" i="3"/>
  <c r="Q185" i="3"/>
  <c r="R185" i="3" s="1"/>
  <c r="N185" i="3"/>
  <c r="K185" i="3"/>
  <c r="J185" i="3"/>
  <c r="AJ188" i="3"/>
  <c r="AN188" i="3" s="1"/>
  <c r="AH188" i="3"/>
  <c r="AB188" i="3"/>
  <c r="Q188" i="3"/>
  <c r="R188" i="3" s="1"/>
  <c r="N188" i="3"/>
  <c r="O188" i="3" s="1"/>
  <c r="K188" i="3"/>
  <c r="J188" i="3"/>
  <c r="AJ132" i="3"/>
  <c r="AN132" i="3" s="1"/>
  <c r="AH132" i="3"/>
  <c r="AB132" i="3"/>
  <c r="Q132" i="3"/>
  <c r="U132" i="3" s="1"/>
  <c r="K132" i="3"/>
  <c r="J132" i="3"/>
  <c r="AJ131" i="3"/>
  <c r="AN131" i="3" s="1"/>
  <c r="AH131" i="3"/>
  <c r="AB131" i="3"/>
  <c r="Q131" i="3"/>
  <c r="U131" i="3" s="1"/>
  <c r="K131" i="3"/>
  <c r="J131" i="3"/>
  <c r="AB205" i="3"/>
  <c r="Q205" i="3"/>
  <c r="R205" i="3" s="1"/>
  <c r="N205" i="3"/>
  <c r="K205" i="3"/>
  <c r="J205" i="3"/>
  <c r="AJ204" i="3"/>
  <c r="AN204" i="3" s="1"/>
  <c r="AH204" i="3"/>
  <c r="AB204" i="3"/>
  <c r="Q204" i="3"/>
  <c r="R204" i="3" s="1"/>
  <c r="N204" i="3"/>
  <c r="O204" i="3" s="1"/>
  <c r="K204" i="3"/>
  <c r="J204" i="3"/>
  <c r="AJ203" i="3"/>
  <c r="AN203" i="3" s="1"/>
  <c r="AI203" i="3"/>
  <c r="AM203" i="3" s="1"/>
  <c r="AH203" i="3"/>
  <c r="AB203" i="3"/>
  <c r="Q203" i="3"/>
  <c r="R203" i="3" s="1"/>
  <c r="N203" i="3"/>
  <c r="K203" i="3"/>
  <c r="J203" i="3"/>
  <c r="AJ202" i="3"/>
  <c r="AN202" i="3" s="1"/>
  <c r="AH202" i="3"/>
  <c r="AB202" i="3"/>
  <c r="Q202" i="3"/>
  <c r="R202" i="3" s="1"/>
  <c r="N202" i="3"/>
  <c r="O202" i="3" s="1"/>
  <c r="K202" i="3"/>
  <c r="J202" i="3"/>
  <c r="AJ201" i="3"/>
  <c r="AN201" i="3" s="1"/>
  <c r="AH201" i="3"/>
  <c r="AB201" i="3"/>
  <c r="Q201" i="3"/>
  <c r="R201" i="3" s="1"/>
  <c r="N201" i="3"/>
  <c r="O201" i="3" s="1"/>
  <c r="K201" i="3"/>
  <c r="J201" i="3"/>
  <c r="AJ200" i="3"/>
  <c r="AN200" i="3" s="1"/>
  <c r="AI200" i="3"/>
  <c r="AM200" i="3" s="1"/>
  <c r="AH200" i="3"/>
  <c r="AB200" i="3"/>
  <c r="Q200" i="3"/>
  <c r="R200" i="3" s="1"/>
  <c r="N200" i="3"/>
  <c r="O200" i="3" s="1"/>
  <c r="K200" i="3"/>
  <c r="J200" i="3"/>
  <c r="AJ199" i="3"/>
  <c r="AN199" i="3" s="1"/>
  <c r="AI199" i="3"/>
  <c r="AM199" i="3" s="1"/>
  <c r="AH199" i="3"/>
  <c r="AB199" i="3"/>
  <c r="Q199" i="3"/>
  <c r="R199" i="3" s="1"/>
  <c r="N199" i="3"/>
  <c r="K199" i="3"/>
  <c r="J199" i="3"/>
  <c r="AJ198" i="3"/>
  <c r="AN198" i="3" s="1"/>
  <c r="AI198" i="3"/>
  <c r="AM198" i="3" s="1"/>
  <c r="AH198" i="3"/>
  <c r="AB198" i="3"/>
  <c r="Q198" i="3"/>
  <c r="N198" i="3"/>
  <c r="O198" i="3" s="1"/>
  <c r="K198" i="3"/>
  <c r="J198" i="3"/>
  <c r="AJ197" i="3"/>
  <c r="AN197" i="3" s="1"/>
  <c r="AI197" i="3"/>
  <c r="AM197" i="3" s="1"/>
  <c r="AH197" i="3"/>
  <c r="AB197" i="3"/>
  <c r="Q197" i="3"/>
  <c r="R197" i="3" s="1"/>
  <c r="N197" i="3"/>
  <c r="O197" i="3" s="1"/>
  <c r="K197" i="3"/>
  <c r="J197" i="3"/>
  <c r="AJ196" i="3"/>
  <c r="AN196" i="3" s="1"/>
  <c r="AI196" i="3"/>
  <c r="AM196" i="3" s="1"/>
  <c r="AH196" i="3"/>
  <c r="AB196" i="3"/>
  <c r="Q196" i="3"/>
  <c r="R196" i="3" s="1"/>
  <c r="N196" i="3"/>
  <c r="O196" i="3" s="1"/>
  <c r="K196" i="3"/>
  <c r="J196" i="3"/>
  <c r="AJ195" i="3"/>
  <c r="AN195" i="3" s="1"/>
  <c r="AI195" i="3"/>
  <c r="AM195" i="3" s="1"/>
  <c r="AH195" i="3"/>
  <c r="AB195" i="3"/>
  <c r="Q195" i="3"/>
  <c r="R195" i="3" s="1"/>
  <c r="N195" i="3"/>
  <c r="K195" i="3"/>
  <c r="J195" i="3"/>
  <c r="AJ194" i="3"/>
  <c r="AN194" i="3" s="1"/>
  <c r="AI194" i="3"/>
  <c r="AM194" i="3" s="1"/>
  <c r="AH194" i="3"/>
  <c r="AB194" i="3"/>
  <c r="Q194" i="3"/>
  <c r="R194" i="3" s="1"/>
  <c r="N194" i="3"/>
  <c r="O194" i="3" s="1"/>
  <c r="K194" i="3"/>
  <c r="J194" i="3"/>
  <c r="AJ193" i="3"/>
  <c r="AN193" i="3" s="1"/>
  <c r="AI193" i="3"/>
  <c r="AM193" i="3" s="1"/>
  <c r="AH193" i="3"/>
  <c r="AB193" i="3"/>
  <c r="Q193" i="3"/>
  <c r="R193" i="3" s="1"/>
  <c r="N193" i="3"/>
  <c r="K193" i="3"/>
  <c r="J193" i="3"/>
  <c r="AJ192" i="3"/>
  <c r="AN192" i="3" s="1"/>
  <c r="AI192" i="3"/>
  <c r="AM192" i="3" s="1"/>
  <c r="AH192" i="3"/>
  <c r="AB192" i="3"/>
  <c r="Q192" i="3"/>
  <c r="R192" i="3" s="1"/>
  <c r="N192" i="3"/>
  <c r="O192" i="3" s="1"/>
  <c r="K192" i="3"/>
  <c r="J192" i="3"/>
  <c r="AJ191" i="3"/>
  <c r="AN191" i="3" s="1"/>
  <c r="AI191" i="3"/>
  <c r="AM191" i="3" s="1"/>
  <c r="AH191" i="3"/>
  <c r="AB191" i="3"/>
  <c r="Q191" i="3"/>
  <c r="R191" i="3" s="1"/>
  <c r="N191" i="3"/>
  <c r="O191" i="3" s="1"/>
  <c r="K191" i="3"/>
  <c r="J191" i="3"/>
  <c r="AJ190" i="3"/>
  <c r="AN190" i="3" s="1"/>
  <c r="AI190" i="3"/>
  <c r="AM190" i="3" s="1"/>
  <c r="AH190" i="3"/>
  <c r="AB190" i="3"/>
  <c r="Q190" i="3"/>
  <c r="R190" i="3" s="1"/>
  <c r="N190" i="3"/>
  <c r="O190" i="3" s="1"/>
  <c r="K190" i="3"/>
  <c r="J190" i="3"/>
  <c r="AJ189" i="3"/>
  <c r="AN189" i="3" s="1"/>
  <c r="AI189" i="3"/>
  <c r="AM189" i="3" s="1"/>
  <c r="AH189" i="3"/>
  <c r="AB189" i="3"/>
  <c r="Q189" i="3"/>
  <c r="R189" i="3" s="1"/>
  <c r="N189" i="3"/>
  <c r="O189" i="3" s="1"/>
  <c r="K189" i="3"/>
  <c r="J189" i="3"/>
  <c r="AJ187" i="3"/>
  <c r="AN187" i="3" s="1"/>
  <c r="AI187" i="3"/>
  <c r="AM187" i="3" s="1"/>
  <c r="AH187" i="3"/>
  <c r="AB187" i="3"/>
  <c r="Q187" i="3"/>
  <c r="R187" i="3" s="1"/>
  <c r="N187" i="3"/>
  <c r="K187" i="3"/>
  <c r="J187" i="3"/>
  <c r="AJ186" i="3"/>
  <c r="AN186" i="3" s="1"/>
  <c r="AI186" i="3"/>
  <c r="AM186" i="3" s="1"/>
  <c r="AH186" i="3"/>
  <c r="AB186" i="3"/>
  <c r="Q186" i="3"/>
  <c r="R186" i="3" s="1"/>
  <c r="N186" i="3"/>
  <c r="O186" i="3" s="1"/>
  <c r="K186" i="3"/>
  <c r="J186" i="3"/>
  <c r="AJ184" i="3"/>
  <c r="AN184" i="3" s="1"/>
  <c r="AI184" i="3"/>
  <c r="AM184" i="3" s="1"/>
  <c r="AH184" i="3"/>
  <c r="AB184" i="3"/>
  <c r="Q184" i="3"/>
  <c r="R184" i="3" s="1"/>
  <c r="N184" i="3"/>
  <c r="O184" i="3" s="1"/>
  <c r="K184" i="3"/>
  <c r="J184" i="3"/>
  <c r="AJ183" i="3"/>
  <c r="AN183" i="3" s="1"/>
  <c r="AI183" i="3"/>
  <c r="AM183" i="3" s="1"/>
  <c r="AH183" i="3"/>
  <c r="AB183" i="3"/>
  <c r="Q183" i="3"/>
  <c r="R183" i="3" s="1"/>
  <c r="N183" i="3"/>
  <c r="O183" i="3" s="1"/>
  <c r="K183" i="3"/>
  <c r="J183" i="3"/>
  <c r="AJ182" i="3"/>
  <c r="AN182" i="3" s="1"/>
  <c r="AI182" i="3"/>
  <c r="AM182" i="3" s="1"/>
  <c r="AH182" i="3"/>
  <c r="AB182" i="3"/>
  <c r="Q182" i="3"/>
  <c r="R182" i="3" s="1"/>
  <c r="N182" i="3"/>
  <c r="K182" i="3"/>
  <c r="J182" i="3"/>
  <c r="AJ181" i="3"/>
  <c r="AI181" i="3"/>
  <c r="AM181" i="3" s="1"/>
  <c r="AH181" i="3"/>
  <c r="AB181" i="3"/>
  <c r="Q181" i="3"/>
  <c r="R181" i="3" s="1"/>
  <c r="N181" i="3"/>
  <c r="K181" i="3"/>
  <c r="J181" i="3"/>
  <c r="AJ180" i="3"/>
  <c r="AN180" i="3" s="1"/>
  <c r="AH180" i="3"/>
  <c r="AB180" i="3"/>
  <c r="Q180" i="3"/>
  <c r="R180" i="3" s="1"/>
  <c r="N180" i="3"/>
  <c r="O180" i="3" s="1"/>
  <c r="K180" i="3"/>
  <c r="J180" i="3"/>
  <c r="AJ179" i="3"/>
  <c r="AN179" i="3" s="1"/>
  <c r="AH179" i="3"/>
  <c r="AB179" i="3"/>
  <c r="Q179" i="3"/>
  <c r="R179" i="3" s="1"/>
  <c r="N179" i="3"/>
  <c r="O179" i="3" s="1"/>
  <c r="K179" i="3"/>
  <c r="J179" i="3"/>
  <c r="AJ178" i="3"/>
  <c r="AN178" i="3" s="1"/>
  <c r="AI178" i="3"/>
  <c r="AM178" i="3" s="1"/>
  <c r="AH178" i="3"/>
  <c r="AB178" i="3"/>
  <c r="Q178" i="3"/>
  <c r="R178" i="3" s="1"/>
  <c r="N178" i="3"/>
  <c r="O178" i="3" s="1"/>
  <c r="K178" i="3"/>
  <c r="J178" i="3"/>
  <c r="AJ177" i="3"/>
  <c r="AI177" i="3"/>
  <c r="AM177" i="3" s="1"/>
  <c r="AH177" i="3"/>
  <c r="AB177" i="3"/>
  <c r="Q177" i="3"/>
  <c r="R177" i="3" s="1"/>
  <c r="N177" i="3"/>
  <c r="O177" i="3" s="1"/>
  <c r="K177" i="3"/>
  <c r="J177" i="3"/>
  <c r="AJ176" i="3"/>
  <c r="AN176" i="3" s="1"/>
  <c r="AI176" i="3"/>
  <c r="AM176" i="3" s="1"/>
  <c r="AH176" i="3"/>
  <c r="AB176" i="3"/>
  <c r="Q176" i="3"/>
  <c r="R176" i="3" s="1"/>
  <c r="N176" i="3"/>
  <c r="O176" i="3" s="1"/>
  <c r="K176" i="3"/>
  <c r="J176" i="3"/>
  <c r="AJ175" i="3"/>
  <c r="AN175" i="3" s="1"/>
  <c r="AI175" i="3"/>
  <c r="AM175" i="3" s="1"/>
  <c r="AH175" i="3"/>
  <c r="AB175" i="3"/>
  <c r="Q175" i="3"/>
  <c r="R175" i="3" s="1"/>
  <c r="N175" i="3"/>
  <c r="K175" i="3"/>
  <c r="J175" i="3"/>
  <c r="AJ174" i="3"/>
  <c r="AN174" i="3" s="1"/>
  <c r="AI174" i="3"/>
  <c r="AM174" i="3" s="1"/>
  <c r="AH174" i="3"/>
  <c r="AB174" i="3"/>
  <c r="Q174" i="3"/>
  <c r="R174" i="3" s="1"/>
  <c r="N174" i="3"/>
  <c r="K174" i="3"/>
  <c r="J174" i="3"/>
  <c r="AJ173" i="3"/>
  <c r="AN173" i="3" s="1"/>
  <c r="AI173" i="3"/>
  <c r="AM173" i="3" s="1"/>
  <c r="AH173" i="3"/>
  <c r="AB173" i="3"/>
  <c r="Q173" i="3"/>
  <c r="N173" i="3"/>
  <c r="O173" i="3" s="1"/>
  <c r="K173" i="3"/>
  <c r="J173" i="3"/>
  <c r="AJ172" i="3"/>
  <c r="AN172" i="3" s="1"/>
  <c r="AH172" i="3"/>
  <c r="AB172" i="3"/>
  <c r="Q172" i="3"/>
  <c r="R172" i="3" s="1"/>
  <c r="N172" i="3"/>
  <c r="O172" i="3" s="1"/>
  <c r="K172" i="3"/>
  <c r="J172" i="3"/>
  <c r="AJ171" i="3"/>
  <c r="AN171" i="3" s="1"/>
  <c r="AH171" i="3"/>
  <c r="AB171" i="3"/>
  <c r="Q171" i="3"/>
  <c r="R171" i="3" s="1"/>
  <c r="N171" i="3"/>
  <c r="O171" i="3" s="1"/>
  <c r="K171" i="3"/>
  <c r="J171" i="3"/>
  <c r="AJ170" i="3"/>
  <c r="AH170" i="3"/>
  <c r="AB170" i="3"/>
  <c r="Q170" i="3"/>
  <c r="R170" i="3" s="1"/>
  <c r="N170" i="3"/>
  <c r="O170" i="3" s="1"/>
  <c r="K170" i="3"/>
  <c r="J170" i="3"/>
  <c r="AJ169" i="3"/>
  <c r="AN169" i="3" s="1"/>
  <c r="AH169" i="3"/>
  <c r="AB169" i="3"/>
  <c r="Q169" i="3"/>
  <c r="R169" i="3" s="1"/>
  <c r="N169" i="3"/>
  <c r="O169" i="3" s="1"/>
  <c r="K169" i="3"/>
  <c r="J169" i="3"/>
  <c r="AJ168" i="3"/>
  <c r="AN168" i="3" s="1"/>
  <c r="AH168" i="3"/>
  <c r="AB168" i="3"/>
  <c r="Q168" i="3"/>
  <c r="R168" i="3" s="1"/>
  <c r="N168" i="3"/>
  <c r="O168" i="3" s="1"/>
  <c r="K168" i="3"/>
  <c r="J168" i="3"/>
  <c r="AJ167" i="3"/>
  <c r="AN167" i="3" s="1"/>
  <c r="AH167" i="3"/>
  <c r="AB167" i="3"/>
  <c r="Q167" i="3"/>
  <c r="R167" i="3" s="1"/>
  <c r="N167" i="3"/>
  <c r="K167" i="3"/>
  <c r="J167" i="3"/>
  <c r="AJ166" i="3"/>
  <c r="AI166" i="3"/>
  <c r="AM166" i="3" s="1"/>
  <c r="AH166" i="3"/>
  <c r="AB166" i="3"/>
  <c r="Q166" i="3"/>
  <c r="R166" i="3" s="1"/>
  <c r="N166" i="3"/>
  <c r="O166" i="3" s="1"/>
  <c r="K166" i="3"/>
  <c r="J166" i="3"/>
  <c r="AJ165" i="3"/>
  <c r="AN165" i="3" s="1"/>
  <c r="AI165" i="3"/>
  <c r="AM165" i="3" s="1"/>
  <c r="AH165" i="3"/>
  <c r="AB165" i="3"/>
  <c r="Q165" i="3"/>
  <c r="R165" i="3" s="1"/>
  <c r="N165" i="3"/>
  <c r="O165" i="3" s="1"/>
  <c r="K165" i="3"/>
  <c r="J165" i="3"/>
  <c r="AJ164" i="3"/>
  <c r="AN164" i="3" s="1"/>
  <c r="AI164" i="3"/>
  <c r="AM164" i="3" s="1"/>
  <c r="AH164" i="3"/>
  <c r="AB164" i="3"/>
  <c r="Q164" i="3"/>
  <c r="R164" i="3" s="1"/>
  <c r="N164" i="3"/>
  <c r="O164" i="3" s="1"/>
  <c r="K164" i="3"/>
  <c r="J164" i="3"/>
  <c r="AJ163" i="3"/>
  <c r="AN163" i="3" s="1"/>
  <c r="AI163" i="3"/>
  <c r="AM163" i="3" s="1"/>
  <c r="AH163" i="3"/>
  <c r="AB163" i="3"/>
  <c r="Q163" i="3"/>
  <c r="R163" i="3" s="1"/>
  <c r="N163" i="3"/>
  <c r="K163" i="3"/>
  <c r="J163" i="3"/>
  <c r="AJ162" i="3"/>
  <c r="AN162" i="3" s="1"/>
  <c r="AI162" i="3"/>
  <c r="AM162" i="3" s="1"/>
  <c r="AH162" i="3"/>
  <c r="AB162" i="3"/>
  <c r="Q162" i="3"/>
  <c r="R162" i="3" s="1"/>
  <c r="N162" i="3"/>
  <c r="K162" i="3"/>
  <c r="J162" i="3"/>
  <c r="AJ161" i="3"/>
  <c r="AN161" i="3" s="1"/>
  <c r="AI161" i="3"/>
  <c r="AM161" i="3" s="1"/>
  <c r="AH161" i="3"/>
  <c r="AB161" i="3"/>
  <c r="Q161" i="3"/>
  <c r="R161" i="3" s="1"/>
  <c r="N161" i="3"/>
  <c r="O161" i="3" s="1"/>
  <c r="K161" i="3"/>
  <c r="J161" i="3"/>
  <c r="AJ160" i="3"/>
  <c r="AN160" i="3" s="1"/>
  <c r="AI160" i="3"/>
  <c r="AM160" i="3" s="1"/>
  <c r="AH160" i="3"/>
  <c r="AB160" i="3"/>
  <c r="Q160" i="3"/>
  <c r="R160" i="3" s="1"/>
  <c r="N160" i="3"/>
  <c r="O160" i="3" s="1"/>
  <c r="K160" i="3"/>
  <c r="J160" i="3"/>
  <c r="AJ159" i="3"/>
  <c r="AN159" i="3" s="1"/>
  <c r="AH159" i="3"/>
  <c r="AB159" i="3"/>
  <c r="Q159" i="3"/>
  <c r="R159" i="3" s="1"/>
  <c r="N159" i="3"/>
  <c r="O159" i="3" s="1"/>
  <c r="K159" i="3"/>
  <c r="J159" i="3"/>
  <c r="AJ158" i="3"/>
  <c r="AN158" i="3" s="1"/>
  <c r="AI158" i="3"/>
  <c r="AM158" i="3" s="1"/>
  <c r="AH158" i="3"/>
  <c r="AB158" i="3"/>
  <c r="Q158" i="3"/>
  <c r="R158" i="3" s="1"/>
  <c r="N158" i="3"/>
  <c r="K158" i="3"/>
  <c r="J158" i="3"/>
  <c r="AJ157" i="3"/>
  <c r="AN157" i="3" s="1"/>
  <c r="AH157" i="3"/>
  <c r="AB157" i="3"/>
  <c r="Q157" i="3"/>
  <c r="R157" i="3" s="1"/>
  <c r="N157" i="3"/>
  <c r="O157" i="3" s="1"/>
  <c r="K157" i="3"/>
  <c r="J157" i="3"/>
  <c r="AJ156" i="3"/>
  <c r="AN156" i="3" s="1"/>
  <c r="AH156" i="3"/>
  <c r="AB156" i="3"/>
  <c r="Q156" i="3"/>
  <c r="R156" i="3" s="1"/>
  <c r="N156" i="3"/>
  <c r="O156" i="3" s="1"/>
  <c r="K156" i="3"/>
  <c r="J156" i="3"/>
  <c r="AJ155" i="3"/>
  <c r="AN155" i="3" s="1"/>
  <c r="AH155" i="3"/>
  <c r="AB155" i="3"/>
  <c r="Q155" i="3"/>
  <c r="R155" i="3" s="1"/>
  <c r="N155" i="3"/>
  <c r="O155" i="3" s="1"/>
  <c r="K155" i="3"/>
  <c r="J155" i="3"/>
  <c r="AJ154" i="3"/>
  <c r="AN154" i="3" s="1"/>
  <c r="AI154" i="3"/>
  <c r="AM154" i="3" s="1"/>
  <c r="AH154" i="3"/>
  <c r="AB154" i="3"/>
  <c r="Q154" i="3"/>
  <c r="R154" i="3" s="1"/>
  <c r="N154" i="3"/>
  <c r="K154" i="3"/>
  <c r="J154" i="3"/>
  <c r="AJ153" i="3"/>
  <c r="AN153" i="3" s="1"/>
  <c r="AH153" i="3"/>
  <c r="AB153" i="3"/>
  <c r="Q153" i="3"/>
  <c r="R153" i="3" s="1"/>
  <c r="N153" i="3"/>
  <c r="O153" i="3" s="1"/>
  <c r="K153" i="3"/>
  <c r="J153" i="3"/>
  <c r="AJ152" i="3"/>
  <c r="AN152" i="3" s="1"/>
  <c r="AI152" i="3"/>
  <c r="AM152" i="3" s="1"/>
  <c r="AH152" i="3"/>
  <c r="AB152" i="3"/>
  <c r="Q152" i="3"/>
  <c r="R152" i="3" s="1"/>
  <c r="N152" i="3"/>
  <c r="O152" i="3" s="1"/>
  <c r="K152" i="3"/>
  <c r="J152" i="3"/>
  <c r="AJ151" i="3"/>
  <c r="AN151" i="3" s="1"/>
  <c r="AI151" i="3"/>
  <c r="AM151" i="3" s="1"/>
  <c r="AH151" i="3"/>
  <c r="AB151" i="3"/>
  <c r="Q151" i="3"/>
  <c r="R151" i="3" s="1"/>
  <c r="N151" i="3"/>
  <c r="K151" i="3"/>
  <c r="J151" i="3"/>
  <c r="AJ150" i="3"/>
  <c r="AN150" i="3" s="1"/>
  <c r="AI150" i="3"/>
  <c r="AM150" i="3" s="1"/>
  <c r="AH150" i="3"/>
  <c r="AB150" i="3"/>
  <c r="Q150" i="3"/>
  <c r="R150" i="3" s="1"/>
  <c r="N150" i="3"/>
  <c r="O150" i="3" s="1"/>
  <c r="K150" i="3"/>
  <c r="J150" i="3"/>
  <c r="AJ149" i="3"/>
  <c r="AN149" i="3" s="1"/>
  <c r="AH149" i="3"/>
  <c r="AB149" i="3"/>
  <c r="Q149" i="3"/>
  <c r="U149" i="3" s="1"/>
  <c r="K149" i="3"/>
  <c r="J149" i="3"/>
  <c r="AJ148" i="3"/>
  <c r="AN148" i="3" s="1"/>
  <c r="AH148" i="3"/>
  <c r="AB148" i="3"/>
  <c r="Q148" i="3"/>
  <c r="U148" i="3" s="1"/>
  <c r="K148" i="3"/>
  <c r="J148" i="3"/>
  <c r="AJ147" i="3"/>
  <c r="AN147" i="3" s="1"/>
  <c r="AH147" i="3"/>
  <c r="AB147" i="3"/>
  <c r="Q147" i="3"/>
  <c r="K147" i="3"/>
  <c r="J147" i="3"/>
  <c r="AJ146" i="3"/>
  <c r="AN146" i="3" s="1"/>
  <c r="AH146" i="3"/>
  <c r="AB146" i="3"/>
  <c r="Q146" i="3"/>
  <c r="U146" i="3" s="1"/>
  <c r="K146" i="3"/>
  <c r="J146" i="3"/>
  <c r="AJ145" i="3"/>
  <c r="AN145" i="3" s="1"/>
  <c r="AH145" i="3"/>
  <c r="AB145" i="3"/>
  <c r="Q145" i="3"/>
  <c r="R145" i="3" s="1"/>
  <c r="N145" i="3"/>
  <c r="O145" i="3" s="1"/>
  <c r="K145" i="3"/>
  <c r="J145" i="3"/>
  <c r="AJ144" i="3"/>
  <c r="AN144" i="3" s="1"/>
  <c r="AI144" i="3"/>
  <c r="AM144" i="3" s="1"/>
  <c r="AH144" i="3"/>
  <c r="AB144" i="3"/>
  <c r="Q144" i="3"/>
  <c r="R144" i="3" s="1"/>
  <c r="N144" i="3"/>
  <c r="O144" i="3" s="1"/>
  <c r="K144" i="3"/>
  <c r="J144" i="3"/>
  <c r="AJ143" i="3"/>
  <c r="AN143" i="3" s="1"/>
  <c r="AH143" i="3"/>
  <c r="AB143" i="3"/>
  <c r="Q143" i="3"/>
  <c r="R143" i="3" s="1"/>
  <c r="N143" i="3"/>
  <c r="O143" i="3" s="1"/>
  <c r="K143" i="3"/>
  <c r="J143" i="3"/>
  <c r="AJ142" i="3"/>
  <c r="AN142" i="3" s="1"/>
  <c r="AI142" i="3"/>
  <c r="AM142" i="3" s="1"/>
  <c r="AH142" i="3"/>
  <c r="AB142" i="3"/>
  <c r="Q142" i="3"/>
  <c r="R142" i="3" s="1"/>
  <c r="N142" i="3"/>
  <c r="K142" i="3"/>
  <c r="J142" i="3"/>
  <c r="AJ141" i="3"/>
  <c r="AN141" i="3" s="1"/>
  <c r="AI141" i="3"/>
  <c r="AM141" i="3" s="1"/>
  <c r="AH141" i="3"/>
  <c r="AB141" i="3"/>
  <c r="Q141" i="3"/>
  <c r="R141" i="3" s="1"/>
  <c r="N141" i="3"/>
  <c r="O141" i="3" s="1"/>
  <c r="K141" i="3"/>
  <c r="J141" i="3"/>
  <c r="AJ140" i="3"/>
  <c r="AN140" i="3" s="1"/>
  <c r="AI140" i="3"/>
  <c r="AM140" i="3" s="1"/>
  <c r="AH140" i="3"/>
  <c r="AB140" i="3"/>
  <c r="Q140" i="3"/>
  <c r="R140" i="3" s="1"/>
  <c r="N140" i="3"/>
  <c r="O140" i="3" s="1"/>
  <c r="K140" i="3"/>
  <c r="J140" i="3"/>
  <c r="AJ139" i="3"/>
  <c r="AN139" i="3" s="1"/>
  <c r="AI139" i="3"/>
  <c r="AM139" i="3" s="1"/>
  <c r="AH139" i="3"/>
  <c r="AB139" i="3"/>
  <c r="Q139" i="3"/>
  <c r="R139" i="3" s="1"/>
  <c r="N139" i="3"/>
  <c r="O139" i="3" s="1"/>
  <c r="K139" i="3"/>
  <c r="J139" i="3"/>
  <c r="AJ138" i="3"/>
  <c r="AN138" i="3" s="1"/>
  <c r="AI138" i="3"/>
  <c r="AM138" i="3" s="1"/>
  <c r="AH138" i="3"/>
  <c r="AB138" i="3"/>
  <c r="Q138" i="3"/>
  <c r="R138" i="3" s="1"/>
  <c r="N138" i="3"/>
  <c r="O138" i="3" s="1"/>
  <c r="K138" i="3"/>
  <c r="J138" i="3"/>
  <c r="AJ137" i="3"/>
  <c r="AN137" i="3" s="1"/>
  <c r="AH137" i="3"/>
  <c r="AB137" i="3"/>
  <c r="Q137" i="3"/>
  <c r="R137" i="3" s="1"/>
  <c r="N137" i="3"/>
  <c r="O137" i="3" s="1"/>
  <c r="K137" i="3"/>
  <c r="J137" i="3"/>
  <c r="AJ136" i="3"/>
  <c r="AN136" i="3" s="1"/>
  <c r="AH136" i="3"/>
  <c r="AB136" i="3"/>
  <c r="Q136" i="3"/>
  <c r="R136" i="3" s="1"/>
  <c r="N136" i="3"/>
  <c r="O136" i="3" s="1"/>
  <c r="K136" i="3"/>
  <c r="J136" i="3"/>
  <c r="AJ135" i="3"/>
  <c r="AN135" i="3" s="1"/>
  <c r="AH135" i="3"/>
  <c r="AB135" i="3"/>
  <c r="Q135" i="3"/>
  <c r="U135" i="3" s="1"/>
  <c r="K135" i="3"/>
  <c r="J135" i="3"/>
  <c r="AJ134" i="3"/>
  <c r="AN134" i="3" s="1"/>
  <c r="AH134" i="3"/>
  <c r="AB134" i="3"/>
  <c r="Q134" i="3"/>
  <c r="U134" i="3" s="1"/>
  <c r="K134" i="3"/>
  <c r="J134" i="3"/>
  <c r="AJ133" i="3"/>
  <c r="AN133" i="3" s="1"/>
  <c r="AH133" i="3"/>
  <c r="AB133" i="3"/>
  <c r="Q133" i="3"/>
  <c r="R133" i="3" s="1"/>
  <c r="N133" i="3"/>
  <c r="K133" i="3"/>
  <c r="J133" i="3"/>
  <c r="AJ130" i="3"/>
  <c r="AN130" i="3" s="1"/>
  <c r="AI130" i="3"/>
  <c r="AM130" i="3" s="1"/>
  <c r="AH130" i="3"/>
  <c r="AB130" i="3"/>
  <c r="Q130" i="3"/>
  <c r="R130" i="3" s="1"/>
  <c r="N130" i="3"/>
  <c r="O130" i="3" s="1"/>
  <c r="K130" i="3"/>
  <c r="J130" i="3"/>
  <c r="AJ129" i="3"/>
  <c r="AN129" i="3" s="1"/>
  <c r="AH129" i="3"/>
  <c r="AB129" i="3"/>
  <c r="Q129" i="3"/>
  <c r="R129" i="3" s="1"/>
  <c r="N129" i="3"/>
  <c r="O129" i="3" s="1"/>
  <c r="K129" i="3"/>
  <c r="J129" i="3"/>
  <c r="AJ128" i="3"/>
  <c r="AN128" i="3" s="1"/>
  <c r="AH128" i="3"/>
  <c r="AB128" i="3"/>
  <c r="Q128" i="3"/>
  <c r="R128" i="3" s="1"/>
  <c r="N128" i="3"/>
  <c r="O128" i="3" s="1"/>
  <c r="K128" i="3"/>
  <c r="J128" i="3"/>
  <c r="AJ127" i="3"/>
  <c r="AN127" i="3" s="1"/>
  <c r="AI127" i="3"/>
  <c r="AM127" i="3" s="1"/>
  <c r="AH127" i="3"/>
  <c r="AB127" i="3"/>
  <c r="Q127" i="3"/>
  <c r="R127" i="3" s="1"/>
  <c r="N127" i="3"/>
  <c r="K127" i="3"/>
  <c r="J127" i="3"/>
  <c r="AJ126" i="3"/>
  <c r="AN126" i="3" s="1"/>
  <c r="AI126" i="3"/>
  <c r="AM126" i="3" s="1"/>
  <c r="AH126" i="3"/>
  <c r="AB126" i="3"/>
  <c r="Q126" i="3"/>
  <c r="R126" i="3" s="1"/>
  <c r="N126" i="3"/>
  <c r="O126" i="3" s="1"/>
  <c r="K126" i="3"/>
  <c r="J126" i="3"/>
  <c r="AJ125" i="3"/>
  <c r="AN125" i="3" s="1"/>
  <c r="AI125" i="3"/>
  <c r="AM125" i="3" s="1"/>
  <c r="AH125" i="3"/>
  <c r="AB125" i="3"/>
  <c r="Q125" i="3"/>
  <c r="R125" i="3" s="1"/>
  <c r="N125" i="3"/>
  <c r="O125" i="3" s="1"/>
  <c r="K125" i="3"/>
  <c r="J125" i="3"/>
  <c r="AJ124" i="3"/>
  <c r="AN124" i="3" s="1"/>
  <c r="AH124" i="3"/>
  <c r="AB124" i="3"/>
  <c r="Q124" i="3"/>
  <c r="R124" i="3" s="1"/>
  <c r="N124" i="3"/>
  <c r="K124" i="3"/>
  <c r="J124" i="3"/>
  <c r="AJ123" i="3"/>
  <c r="AN123" i="3" s="1"/>
  <c r="AH123" i="3"/>
  <c r="AB123" i="3"/>
  <c r="Q123" i="3"/>
  <c r="R123" i="3" s="1"/>
  <c r="N123" i="3"/>
  <c r="K123" i="3"/>
  <c r="J123" i="3"/>
  <c r="AJ122" i="3"/>
  <c r="AN122" i="3" s="1"/>
  <c r="AI122" i="3"/>
  <c r="AM122" i="3" s="1"/>
  <c r="AH122" i="3"/>
  <c r="AB122" i="3"/>
  <c r="Q122" i="3"/>
  <c r="R122" i="3" s="1"/>
  <c r="N122" i="3"/>
  <c r="O122" i="3" s="1"/>
  <c r="K122" i="3"/>
  <c r="J122" i="3"/>
  <c r="AJ121" i="3"/>
  <c r="AN121" i="3" s="1"/>
  <c r="AI121" i="3"/>
  <c r="AM121" i="3" s="1"/>
  <c r="AH121" i="3"/>
  <c r="AB121" i="3"/>
  <c r="Q121" i="3"/>
  <c r="R121" i="3" s="1"/>
  <c r="N121" i="3"/>
  <c r="O121" i="3" s="1"/>
  <c r="K121" i="3"/>
  <c r="J121" i="3"/>
  <c r="AJ120" i="3"/>
  <c r="AN120" i="3" s="1"/>
  <c r="AI120" i="3"/>
  <c r="AM120" i="3" s="1"/>
  <c r="AH120" i="3"/>
  <c r="AB120" i="3"/>
  <c r="Q120" i="3"/>
  <c r="R120" i="3" s="1"/>
  <c r="N120" i="3"/>
  <c r="O120" i="3" s="1"/>
  <c r="K120" i="3"/>
  <c r="J120" i="3"/>
  <c r="AJ119" i="3"/>
  <c r="AN119" i="3" s="1"/>
  <c r="AI119" i="3"/>
  <c r="AM119" i="3" s="1"/>
  <c r="AH119" i="3"/>
  <c r="AB119" i="3"/>
  <c r="Q119" i="3"/>
  <c r="R119" i="3" s="1"/>
  <c r="N119" i="3"/>
  <c r="O119" i="3" s="1"/>
  <c r="K119" i="3"/>
  <c r="J119" i="3"/>
  <c r="AJ118" i="3"/>
  <c r="AN118" i="3" s="1"/>
  <c r="AI118" i="3"/>
  <c r="AM118" i="3" s="1"/>
  <c r="AH118" i="3"/>
  <c r="AB118" i="3"/>
  <c r="Q118" i="3"/>
  <c r="R118" i="3" s="1"/>
  <c r="N118" i="3"/>
  <c r="O118" i="3" s="1"/>
  <c r="K118" i="3"/>
  <c r="J118" i="3"/>
  <c r="AJ117" i="3"/>
  <c r="AN117" i="3" s="1"/>
  <c r="AH117" i="3"/>
  <c r="AB117" i="3"/>
  <c r="Q117" i="3"/>
  <c r="R117" i="3" s="1"/>
  <c r="N117" i="3"/>
  <c r="O117" i="3" s="1"/>
  <c r="K117" i="3"/>
  <c r="J117" i="3"/>
  <c r="AJ116" i="3"/>
  <c r="AH116" i="3"/>
  <c r="AB116" i="3"/>
  <c r="Q116" i="3"/>
  <c r="N116" i="3"/>
  <c r="K116" i="3"/>
  <c r="J116" i="3"/>
  <c r="AJ97" i="3"/>
  <c r="AN97" i="3" s="1"/>
  <c r="AI97" i="3"/>
  <c r="AM97" i="3" s="1"/>
  <c r="AH97" i="3"/>
  <c r="AB97" i="3"/>
  <c r="Q97" i="3"/>
  <c r="R97" i="3" s="1"/>
  <c r="N97" i="3"/>
  <c r="K97" i="3"/>
  <c r="J97" i="3"/>
  <c r="AJ93" i="3"/>
  <c r="AN93" i="3" s="1"/>
  <c r="AI93" i="3"/>
  <c r="AM93" i="3" s="1"/>
  <c r="AH93" i="3"/>
  <c r="AB93" i="3"/>
  <c r="Q93" i="3"/>
  <c r="R93" i="3" s="1"/>
  <c r="N93" i="3"/>
  <c r="K93" i="3"/>
  <c r="J93" i="3"/>
  <c r="AJ84" i="3"/>
  <c r="AN84" i="3" s="1"/>
  <c r="AI84" i="3"/>
  <c r="AM84" i="3" s="1"/>
  <c r="AH84" i="3"/>
  <c r="AB84" i="3"/>
  <c r="Q84" i="3"/>
  <c r="R84" i="3" s="1"/>
  <c r="N84" i="3"/>
  <c r="O84" i="3" s="1"/>
  <c r="K84" i="3"/>
  <c r="J84" i="3"/>
  <c r="N71" i="3"/>
  <c r="O71" i="3" s="1"/>
  <c r="AJ63" i="3"/>
  <c r="AN63" i="3" s="1"/>
  <c r="AH63" i="3"/>
  <c r="AB63" i="3"/>
  <c r="Q63" i="3"/>
  <c r="R63" i="3" s="1"/>
  <c r="N63" i="3"/>
  <c r="O63" i="3" s="1"/>
  <c r="K63" i="3"/>
  <c r="J63" i="3"/>
  <c r="AJ51" i="3"/>
  <c r="AN51" i="3" s="1"/>
  <c r="AH51" i="3"/>
  <c r="AB51" i="3"/>
  <c r="Q51" i="3"/>
  <c r="U51" i="3" s="1"/>
  <c r="K51" i="3"/>
  <c r="J51" i="3"/>
  <c r="Q105" i="3"/>
  <c r="R105" i="3" s="1"/>
  <c r="Q104" i="3"/>
  <c r="R104" i="3" s="1"/>
  <c r="Q103" i="3"/>
  <c r="R103" i="3" s="1"/>
  <c r="Q102" i="3"/>
  <c r="R102" i="3" s="1"/>
  <c r="Q101" i="3"/>
  <c r="Q100" i="3"/>
  <c r="R100" i="3" s="1"/>
  <c r="Q99" i="3"/>
  <c r="R99" i="3" s="1"/>
  <c r="Q98" i="3"/>
  <c r="R98" i="3" s="1"/>
  <c r="Q96" i="3"/>
  <c r="R96" i="3" s="1"/>
  <c r="Q95" i="3"/>
  <c r="R95" i="3" s="1"/>
  <c r="Q94" i="3"/>
  <c r="R94" i="3" s="1"/>
  <c r="Q92" i="3"/>
  <c r="R92" i="3" s="1"/>
  <c r="Q91" i="3"/>
  <c r="R91" i="3" s="1"/>
  <c r="Q90" i="3"/>
  <c r="R90" i="3" s="1"/>
  <c r="Q89" i="3"/>
  <c r="R89" i="3" s="1"/>
  <c r="Q88" i="3"/>
  <c r="R88" i="3" s="1"/>
  <c r="Q86" i="3"/>
  <c r="R86" i="3" s="1"/>
  <c r="Q85" i="3"/>
  <c r="R85" i="3" s="1"/>
  <c r="Q83" i="3"/>
  <c r="Q82" i="3"/>
  <c r="R82" i="3" s="1"/>
  <c r="Q81" i="3"/>
  <c r="R81" i="3" s="1"/>
  <c r="Q80" i="3"/>
  <c r="R80" i="3" s="1"/>
  <c r="Q79" i="3"/>
  <c r="R79" i="3" s="1"/>
  <c r="Q78" i="3"/>
  <c r="R78" i="3" s="1"/>
  <c r="Q77" i="3"/>
  <c r="R77" i="3" s="1"/>
  <c r="Q76" i="3"/>
  <c r="R76" i="3" s="1"/>
  <c r="Q75" i="3"/>
  <c r="R75" i="3" s="1"/>
  <c r="Q74" i="3"/>
  <c r="R74" i="3" s="1"/>
  <c r="Q73" i="3"/>
  <c r="Q72" i="3"/>
  <c r="R72" i="3" s="1"/>
  <c r="Q71" i="3"/>
  <c r="R71" i="3" s="1"/>
  <c r="Q70" i="3"/>
  <c r="R70" i="3" s="1"/>
  <c r="Q69" i="3"/>
  <c r="R69" i="3" s="1"/>
  <c r="Q68" i="3"/>
  <c r="R68" i="3" s="1"/>
  <c r="Q67" i="3"/>
  <c r="R67" i="3" s="1"/>
  <c r="Q66" i="3"/>
  <c r="R66" i="3" s="1"/>
  <c r="Q65" i="3"/>
  <c r="R65" i="3" s="1"/>
  <c r="Q64" i="3"/>
  <c r="R64" i="3" s="1"/>
  <c r="Q62" i="3"/>
  <c r="R62" i="3" s="1"/>
  <c r="Q61" i="3"/>
  <c r="R61" i="3" s="1"/>
  <c r="Q60" i="3"/>
  <c r="R60" i="3" s="1"/>
  <c r="Q59" i="3"/>
  <c r="R59" i="3" s="1"/>
  <c r="Q58" i="3"/>
  <c r="R58" i="3" s="1"/>
  <c r="Q57" i="3"/>
  <c r="R57" i="3" s="1"/>
  <c r="Q56" i="3"/>
  <c r="R56" i="3" s="1"/>
  <c r="Q54" i="3"/>
  <c r="R54" i="3" s="1"/>
  <c r="Q53" i="3"/>
  <c r="R53" i="3" s="1"/>
  <c r="Q52" i="3"/>
  <c r="R52" i="3" s="1"/>
  <c r="Q49" i="3"/>
  <c r="R49" i="3" s="1"/>
  <c r="Q48" i="3"/>
  <c r="R48" i="3" s="1"/>
  <c r="Q47" i="3"/>
  <c r="R47" i="3" s="1"/>
  <c r="Q46" i="3"/>
  <c r="R46" i="3" s="1"/>
  <c r="Q45" i="3"/>
  <c r="R45" i="3" s="1"/>
  <c r="Q44" i="3"/>
  <c r="R44" i="3" s="1"/>
  <c r="Q43" i="3"/>
  <c r="R43" i="3" s="1"/>
  <c r="Q42" i="3"/>
  <c r="R42" i="3" s="1"/>
  <c r="Q41" i="3"/>
  <c r="R41" i="3" s="1"/>
  <c r="Q40" i="3"/>
  <c r="R40" i="3" s="1"/>
  <c r="Q39" i="3"/>
  <c r="R39" i="3" s="1"/>
  <c r="Q50" i="3"/>
  <c r="R50" i="3" s="1"/>
  <c r="Q37" i="3"/>
  <c r="R37" i="3" s="1"/>
  <c r="Q36" i="3"/>
  <c r="R36" i="3" s="1"/>
  <c r="Q35" i="3"/>
  <c r="R35" i="3" s="1"/>
  <c r="Q32" i="3"/>
  <c r="R32" i="3" s="1"/>
  <c r="Q31" i="3"/>
  <c r="R31" i="3" s="1"/>
  <c r="Q30" i="3"/>
  <c r="R30" i="3" s="1"/>
  <c r="Q29" i="3"/>
  <c r="R29" i="3" s="1"/>
  <c r="Q28" i="3"/>
  <c r="R28" i="3" s="1"/>
  <c r="Q27" i="3"/>
  <c r="R27" i="3" s="1"/>
  <c r="Q26" i="3"/>
  <c r="R26" i="3" s="1"/>
  <c r="Q22" i="3"/>
  <c r="R22" i="3" s="1"/>
  <c r="Q21" i="3"/>
  <c r="R21" i="3" s="1"/>
  <c r="N105" i="3"/>
  <c r="O105" i="3" s="1"/>
  <c r="N104" i="3"/>
  <c r="O104" i="3" s="1"/>
  <c r="N103" i="3"/>
  <c r="O103" i="3" s="1"/>
  <c r="N102" i="3"/>
  <c r="O102" i="3" s="1"/>
  <c r="N101" i="3"/>
  <c r="O101" i="3" s="1"/>
  <c r="N100" i="3"/>
  <c r="O100" i="3" s="1"/>
  <c r="N99" i="3"/>
  <c r="O99" i="3" s="1"/>
  <c r="N98" i="3"/>
  <c r="O98" i="3" s="1"/>
  <c r="N96" i="3"/>
  <c r="O96" i="3" s="1"/>
  <c r="N95" i="3"/>
  <c r="O95" i="3" s="1"/>
  <c r="N94" i="3"/>
  <c r="O94" i="3" s="1"/>
  <c r="N92" i="3"/>
  <c r="O92" i="3" s="1"/>
  <c r="N91" i="3"/>
  <c r="O91" i="3" s="1"/>
  <c r="N90" i="3"/>
  <c r="O90" i="3" s="1"/>
  <c r="N89" i="3"/>
  <c r="O89" i="3" s="1"/>
  <c r="N88" i="3"/>
  <c r="O88" i="3" s="1"/>
  <c r="N86" i="3"/>
  <c r="O86" i="3" s="1"/>
  <c r="N85" i="3"/>
  <c r="O85" i="3" s="1"/>
  <c r="N83" i="3"/>
  <c r="O83" i="3" s="1"/>
  <c r="N82" i="3"/>
  <c r="O82" i="3" s="1"/>
  <c r="N81" i="3"/>
  <c r="O81" i="3" s="1"/>
  <c r="N80" i="3"/>
  <c r="O80" i="3" s="1"/>
  <c r="N79" i="3"/>
  <c r="O79" i="3" s="1"/>
  <c r="N78" i="3"/>
  <c r="O78" i="3" s="1"/>
  <c r="N77" i="3"/>
  <c r="O77" i="3" s="1"/>
  <c r="N76" i="3"/>
  <c r="O76" i="3" s="1"/>
  <c r="N75" i="3"/>
  <c r="O75" i="3" s="1"/>
  <c r="N74" i="3"/>
  <c r="O74" i="3" s="1"/>
  <c r="N73" i="3"/>
  <c r="O73" i="3" s="1"/>
  <c r="N72" i="3"/>
  <c r="O72" i="3" s="1"/>
  <c r="N70" i="3"/>
  <c r="O70" i="3" s="1"/>
  <c r="N69" i="3"/>
  <c r="O69" i="3" s="1"/>
  <c r="N68" i="3"/>
  <c r="O68" i="3" s="1"/>
  <c r="N67" i="3"/>
  <c r="O67" i="3" s="1"/>
  <c r="N66" i="3"/>
  <c r="O66" i="3" s="1"/>
  <c r="N65" i="3"/>
  <c r="O65" i="3" s="1"/>
  <c r="N64" i="3"/>
  <c r="O64" i="3" s="1"/>
  <c r="N62" i="3"/>
  <c r="O62" i="3" s="1"/>
  <c r="N61" i="3"/>
  <c r="O61" i="3" s="1"/>
  <c r="N60" i="3"/>
  <c r="O60" i="3" s="1"/>
  <c r="N59" i="3"/>
  <c r="O59" i="3" s="1"/>
  <c r="N58" i="3"/>
  <c r="O58" i="3" s="1"/>
  <c r="N57" i="3"/>
  <c r="O57" i="3" s="1"/>
  <c r="N56" i="3"/>
  <c r="O56" i="3" s="1"/>
  <c r="N54" i="3"/>
  <c r="O54" i="3" s="1"/>
  <c r="N53" i="3"/>
  <c r="O53" i="3" s="1"/>
  <c r="N52" i="3"/>
  <c r="O52" i="3" s="1"/>
  <c r="N49" i="3"/>
  <c r="O49" i="3" s="1"/>
  <c r="N48" i="3"/>
  <c r="O48" i="3" s="1"/>
  <c r="N47" i="3"/>
  <c r="O47" i="3" s="1"/>
  <c r="N46" i="3"/>
  <c r="O46" i="3" s="1"/>
  <c r="N45" i="3"/>
  <c r="O45" i="3" s="1"/>
  <c r="N44" i="3"/>
  <c r="O44" i="3" s="1"/>
  <c r="N43" i="3"/>
  <c r="O43" i="3" s="1"/>
  <c r="N42" i="3"/>
  <c r="O42" i="3" s="1"/>
  <c r="N41" i="3"/>
  <c r="O41" i="3" s="1"/>
  <c r="N39" i="3"/>
  <c r="O39" i="3" s="1"/>
  <c r="N37" i="3"/>
  <c r="O37" i="3" s="1"/>
  <c r="N36" i="3"/>
  <c r="O36" i="3" s="1"/>
  <c r="N35" i="3"/>
  <c r="O35" i="3" s="1"/>
  <c r="N32" i="3"/>
  <c r="O32" i="3" s="1"/>
  <c r="N31" i="3"/>
  <c r="O31" i="3" s="1"/>
  <c r="N30" i="3"/>
  <c r="O30" i="3" s="1"/>
  <c r="N29" i="3"/>
  <c r="O29" i="3" s="1"/>
  <c r="N28" i="3"/>
  <c r="O28" i="3" s="1"/>
  <c r="N27" i="3"/>
  <c r="O27" i="3" s="1"/>
  <c r="N26" i="3"/>
  <c r="O26" i="3" s="1"/>
  <c r="N22" i="3"/>
  <c r="O22" i="3" s="1"/>
  <c r="N21" i="3"/>
  <c r="O21" i="3" s="1"/>
  <c r="T111" i="3"/>
  <c r="S111" i="3"/>
  <c r="P111" i="3"/>
  <c r="M111" i="3"/>
  <c r="I111" i="3"/>
  <c r="H111" i="3"/>
  <c r="F111" i="3"/>
  <c r="AJ105" i="3"/>
  <c r="AN105" i="3" s="1"/>
  <c r="AH105" i="3"/>
  <c r="AB105" i="3"/>
  <c r="K105" i="3"/>
  <c r="J105" i="3"/>
  <c r="AJ104" i="3"/>
  <c r="AN104" i="3" s="1"/>
  <c r="AH104" i="3"/>
  <c r="AB104" i="3"/>
  <c r="K104" i="3"/>
  <c r="J104" i="3"/>
  <c r="AJ103" i="3"/>
  <c r="AN103" i="3" s="1"/>
  <c r="AH103" i="3"/>
  <c r="AB103" i="3"/>
  <c r="K103" i="3"/>
  <c r="J103" i="3"/>
  <c r="AJ102" i="3"/>
  <c r="AN102" i="3" s="1"/>
  <c r="AH102" i="3"/>
  <c r="AB102" i="3"/>
  <c r="K102" i="3"/>
  <c r="J102" i="3"/>
  <c r="AJ101" i="3"/>
  <c r="AN101" i="3" s="1"/>
  <c r="AH101" i="3"/>
  <c r="AB101" i="3"/>
  <c r="K101" i="3"/>
  <c r="J101" i="3"/>
  <c r="AJ100" i="3"/>
  <c r="AN100" i="3" s="1"/>
  <c r="AH100" i="3"/>
  <c r="AB100" i="3"/>
  <c r="K100" i="3"/>
  <c r="J100" i="3"/>
  <c r="AJ99" i="3"/>
  <c r="AN99" i="3" s="1"/>
  <c r="AH99" i="3"/>
  <c r="AB99" i="3"/>
  <c r="K99" i="3"/>
  <c r="J99" i="3"/>
  <c r="AJ98" i="3"/>
  <c r="AN98" i="3" s="1"/>
  <c r="AH98" i="3"/>
  <c r="AB98" i="3"/>
  <c r="K98" i="3"/>
  <c r="J98" i="3"/>
  <c r="AJ96" i="3"/>
  <c r="AN96" i="3" s="1"/>
  <c r="AH96" i="3"/>
  <c r="AB96" i="3"/>
  <c r="K96" i="3"/>
  <c r="J96" i="3"/>
  <c r="AJ95" i="3"/>
  <c r="AN95" i="3" s="1"/>
  <c r="AH95" i="3"/>
  <c r="AB95" i="3"/>
  <c r="AJ94" i="3"/>
  <c r="AN94" i="3" s="1"/>
  <c r="AH94" i="3"/>
  <c r="AB94" i="3"/>
  <c r="K94" i="3"/>
  <c r="J94" i="3"/>
  <c r="AJ92" i="3"/>
  <c r="AN92" i="3" s="1"/>
  <c r="AH92" i="3"/>
  <c r="AB92" i="3"/>
  <c r="K92" i="3"/>
  <c r="J92" i="3"/>
  <c r="AJ91" i="3"/>
  <c r="AN91" i="3" s="1"/>
  <c r="AH91" i="3"/>
  <c r="AB91" i="3"/>
  <c r="K91" i="3"/>
  <c r="J91" i="3"/>
  <c r="AJ90" i="3"/>
  <c r="AN90" i="3" s="1"/>
  <c r="AH90" i="3"/>
  <c r="AB90" i="3"/>
  <c r="K90" i="3"/>
  <c r="J90" i="3"/>
  <c r="AJ89" i="3"/>
  <c r="AN89" i="3" s="1"/>
  <c r="AI89" i="3"/>
  <c r="AM89" i="3" s="1"/>
  <c r="AH89" i="3"/>
  <c r="AB89" i="3"/>
  <c r="K89" i="3"/>
  <c r="J89" i="3"/>
  <c r="AJ88" i="3"/>
  <c r="AN88" i="3" s="1"/>
  <c r="AI88" i="3"/>
  <c r="AM88" i="3" s="1"/>
  <c r="AH88" i="3"/>
  <c r="AB88" i="3"/>
  <c r="K88" i="3"/>
  <c r="J88" i="3"/>
  <c r="AJ86" i="3"/>
  <c r="AN86" i="3" s="1"/>
  <c r="AI86" i="3"/>
  <c r="AM86" i="3" s="1"/>
  <c r="AH86" i="3"/>
  <c r="AB86" i="3"/>
  <c r="K86" i="3"/>
  <c r="J86" i="3"/>
  <c r="AJ85" i="3"/>
  <c r="AN85" i="3" s="1"/>
  <c r="AH85" i="3"/>
  <c r="AB85" i="3"/>
  <c r="K85" i="3"/>
  <c r="J85" i="3"/>
  <c r="AJ83" i="3"/>
  <c r="AN83" i="3" s="1"/>
  <c r="AI83" i="3"/>
  <c r="AM83" i="3" s="1"/>
  <c r="AH83" i="3"/>
  <c r="AB83" i="3"/>
  <c r="K83" i="3"/>
  <c r="J83" i="3"/>
  <c r="AJ82" i="3"/>
  <c r="AN82" i="3" s="1"/>
  <c r="AI82" i="3"/>
  <c r="AM82" i="3" s="1"/>
  <c r="AH82" i="3"/>
  <c r="AB82" i="3"/>
  <c r="K82" i="3"/>
  <c r="J82" i="3"/>
  <c r="AJ81" i="3"/>
  <c r="AN81" i="3" s="1"/>
  <c r="AH81" i="3"/>
  <c r="AB81" i="3"/>
  <c r="K81" i="3"/>
  <c r="J81" i="3"/>
  <c r="AJ80" i="3"/>
  <c r="AN80" i="3" s="1"/>
  <c r="AI80" i="3"/>
  <c r="AM80" i="3" s="1"/>
  <c r="AH80" i="3"/>
  <c r="AB80" i="3"/>
  <c r="K80" i="3"/>
  <c r="J80" i="3"/>
  <c r="AJ79" i="3"/>
  <c r="AN79" i="3" s="1"/>
  <c r="AI79" i="3"/>
  <c r="AM79" i="3" s="1"/>
  <c r="AH79" i="3"/>
  <c r="AB79" i="3"/>
  <c r="K79" i="3"/>
  <c r="J79" i="3"/>
  <c r="AJ78" i="3"/>
  <c r="AN78" i="3" s="1"/>
  <c r="AI78" i="3"/>
  <c r="AM78" i="3" s="1"/>
  <c r="AH78" i="3"/>
  <c r="AB78" i="3"/>
  <c r="K78" i="3"/>
  <c r="J78" i="3"/>
  <c r="AJ77" i="3"/>
  <c r="AN77" i="3" s="1"/>
  <c r="AI77" i="3"/>
  <c r="AM77" i="3" s="1"/>
  <c r="AH77" i="3"/>
  <c r="AB77" i="3"/>
  <c r="K77" i="3"/>
  <c r="J77" i="3"/>
  <c r="AJ76" i="3"/>
  <c r="AN76" i="3" s="1"/>
  <c r="AI76" i="3"/>
  <c r="AM76" i="3" s="1"/>
  <c r="AH76" i="3"/>
  <c r="AB76" i="3"/>
  <c r="K76" i="3"/>
  <c r="J76" i="3"/>
  <c r="AJ75" i="3"/>
  <c r="AN75" i="3" s="1"/>
  <c r="AI75" i="3"/>
  <c r="AM75" i="3" s="1"/>
  <c r="AH75" i="3"/>
  <c r="AB75" i="3"/>
  <c r="AJ74" i="3"/>
  <c r="AN74" i="3" s="1"/>
  <c r="AH74" i="3"/>
  <c r="AB74" i="3"/>
  <c r="K74" i="3"/>
  <c r="J74" i="3"/>
  <c r="AJ73" i="3"/>
  <c r="AN73" i="3" s="1"/>
  <c r="AH73" i="3"/>
  <c r="AB73" i="3"/>
  <c r="K73" i="3"/>
  <c r="J73" i="3"/>
  <c r="AJ72" i="3"/>
  <c r="AN72" i="3" s="1"/>
  <c r="AH72" i="3"/>
  <c r="AB72" i="3"/>
  <c r="K72" i="3"/>
  <c r="J72" i="3"/>
  <c r="AJ71" i="3"/>
  <c r="AN71" i="3" s="1"/>
  <c r="AH71" i="3"/>
  <c r="AB71" i="3"/>
  <c r="AJ70" i="3"/>
  <c r="AN70" i="3" s="1"/>
  <c r="AH70" i="3"/>
  <c r="AB70" i="3"/>
  <c r="K70" i="3"/>
  <c r="J70" i="3"/>
  <c r="AJ69" i="3"/>
  <c r="AN69" i="3" s="1"/>
  <c r="AH69" i="3"/>
  <c r="AB69" i="3"/>
  <c r="K69" i="3"/>
  <c r="J69" i="3"/>
  <c r="AJ68" i="3"/>
  <c r="AN68" i="3" s="1"/>
  <c r="AH68" i="3"/>
  <c r="AB68" i="3"/>
  <c r="K68" i="3"/>
  <c r="J68" i="3"/>
  <c r="AJ67" i="3"/>
  <c r="AN67" i="3" s="1"/>
  <c r="AI67" i="3"/>
  <c r="AM67" i="3" s="1"/>
  <c r="AH67" i="3"/>
  <c r="AB67" i="3"/>
  <c r="K67" i="3"/>
  <c r="J67" i="3"/>
  <c r="AJ66" i="3"/>
  <c r="AN66" i="3" s="1"/>
  <c r="AH66" i="3"/>
  <c r="AB66" i="3"/>
  <c r="K66" i="3"/>
  <c r="J66" i="3"/>
  <c r="AJ65" i="3"/>
  <c r="AN65" i="3" s="1"/>
  <c r="AI65" i="3"/>
  <c r="AM65" i="3" s="1"/>
  <c r="AH65" i="3"/>
  <c r="AB65" i="3"/>
  <c r="K65" i="3"/>
  <c r="J65" i="3"/>
  <c r="AJ64" i="3"/>
  <c r="AN64" i="3" s="1"/>
  <c r="AH64" i="3"/>
  <c r="AB64" i="3"/>
  <c r="K64" i="3"/>
  <c r="J64" i="3"/>
  <c r="AJ62" i="3"/>
  <c r="AN62" i="3" s="1"/>
  <c r="AH62" i="3"/>
  <c r="AB62" i="3"/>
  <c r="K62" i="3"/>
  <c r="J62" i="3"/>
  <c r="AJ61" i="3"/>
  <c r="AN61" i="3" s="1"/>
  <c r="AH61" i="3"/>
  <c r="AB61" i="3"/>
  <c r="K61" i="3"/>
  <c r="J61" i="3"/>
  <c r="AJ60" i="3"/>
  <c r="AN60" i="3" s="1"/>
  <c r="AH60" i="3"/>
  <c r="AB60" i="3"/>
  <c r="K60" i="3"/>
  <c r="J60" i="3"/>
  <c r="AJ59" i="3"/>
  <c r="AN59" i="3" s="1"/>
  <c r="AH59" i="3"/>
  <c r="AB59" i="3"/>
  <c r="J59" i="3"/>
  <c r="AJ58" i="3"/>
  <c r="AN58" i="3" s="1"/>
  <c r="AH58" i="3"/>
  <c r="AB58" i="3"/>
  <c r="K58" i="3"/>
  <c r="J58" i="3"/>
  <c r="AJ57" i="3"/>
  <c r="AN57" i="3" s="1"/>
  <c r="AH57" i="3"/>
  <c r="AB57" i="3"/>
  <c r="J57" i="3"/>
  <c r="AJ56" i="3"/>
  <c r="AN56" i="3" s="1"/>
  <c r="AH56" i="3"/>
  <c r="AB56" i="3"/>
  <c r="K56" i="3"/>
  <c r="J56" i="3"/>
  <c r="AJ54" i="3"/>
  <c r="AN54" i="3" s="1"/>
  <c r="AH54" i="3"/>
  <c r="AB54" i="3"/>
  <c r="K54" i="3"/>
  <c r="J54" i="3"/>
  <c r="AJ53" i="3"/>
  <c r="AN53" i="3" s="1"/>
  <c r="AH53" i="3"/>
  <c r="AB53" i="3"/>
  <c r="K53" i="3"/>
  <c r="J53" i="3"/>
  <c r="AJ52" i="3"/>
  <c r="AN52" i="3" s="1"/>
  <c r="AH52" i="3"/>
  <c r="AB52" i="3"/>
  <c r="K52" i="3"/>
  <c r="J52" i="3"/>
  <c r="AJ49" i="3"/>
  <c r="AN49" i="3" s="1"/>
  <c r="AH49" i="3"/>
  <c r="AB49" i="3"/>
  <c r="K49" i="3"/>
  <c r="J49" i="3"/>
  <c r="AJ48" i="3"/>
  <c r="AN48" i="3" s="1"/>
  <c r="AI48" i="3"/>
  <c r="AM48" i="3" s="1"/>
  <c r="AH48" i="3"/>
  <c r="AB48" i="3"/>
  <c r="K48" i="3"/>
  <c r="J48" i="3"/>
  <c r="AJ47" i="3"/>
  <c r="AN47" i="3" s="1"/>
  <c r="AH47" i="3"/>
  <c r="AB47" i="3"/>
  <c r="K47" i="3"/>
  <c r="J47" i="3"/>
  <c r="AJ46" i="3"/>
  <c r="AN46" i="3" s="1"/>
  <c r="AH46" i="3"/>
  <c r="AB46" i="3"/>
  <c r="K46" i="3"/>
  <c r="J46" i="3"/>
  <c r="AJ45" i="3"/>
  <c r="AN45" i="3" s="1"/>
  <c r="AH45" i="3"/>
  <c r="AB45" i="3"/>
  <c r="K45" i="3"/>
  <c r="J45" i="3"/>
  <c r="AJ44" i="3"/>
  <c r="AN44" i="3" s="1"/>
  <c r="AH44" i="3"/>
  <c r="AB44" i="3"/>
  <c r="K44" i="3"/>
  <c r="J44" i="3"/>
  <c r="AJ43" i="3"/>
  <c r="AN43" i="3" s="1"/>
  <c r="AI43" i="3"/>
  <c r="AM43" i="3" s="1"/>
  <c r="AH43" i="3"/>
  <c r="AB43" i="3"/>
  <c r="K43" i="3"/>
  <c r="J43" i="3"/>
  <c r="AJ42" i="3"/>
  <c r="AN42" i="3" s="1"/>
  <c r="AH42" i="3"/>
  <c r="AB42" i="3"/>
  <c r="K42" i="3"/>
  <c r="J42" i="3"/>
  <c r="AJ41" i="3"/>
  <c r="AN41" i="3" s="1"/>
  <c r="AH41" i="3"/>
  <c r="AB41" i="3"/>
  <c r="K41" i="3"/>
  <c r="J41" i="3"/>
  <c r="AJ40" i="3"/>
  <c r="AN40" i="3" s="1"/>
  <c r="AH40" i="3"/>
  <c r="AB40" i="3"/>
  <c r="K40" i="3"/>
  <c r="J40" i="3"/>
  <c r="AJ39" i="3"/>
  <c r="AN39" i="3" s="1"/>
  <c r="AH39" i="3"/>
  <c r="AB39" i="3"/>
  <c r="K39" i="3"/>
  <c r="J39" i="3"/>
  <c r="AJ50" i="3"/>
  <c r="AN50" i="3" s="1"/>
  <c r="AH50" i="3"/>
  <c r="AB50" i="3"/>
  <c r="AJ37" i="3"/>
  <c r="AN37" i="3" s="1"/>
  <c r="AI37" i="3"/>
  <c r="AM37" i="3" s="1"/>
  <c r="AH37" i="3"/>
  <c r="AB37" i="3"/>
  <c r="K37" i="3"/>
  <c r="J37" i="3"/>
  <c r="AJ36" i="3"/>
  <c r="AN36" i="3" s="1"/>
  <c r="AH36" i="3"/>
  <c r="AB36" i="3"/>
  <c r="K36" i="3"/>
  <c r="J36" i="3"/>
  <c r="AJ35" i="3"/>
  <c r="AN35" i="3" s="1"/>
  <c r="AH35" i="3"/>
  <c r="AB35" i="3"/>
  <c r="K35" i="3"/>
  <c r="J35" i="3"/>
  <c r="AJ32" i="3"/>
  <c r="AN32" i="3" s="1"/>
  <c r="AI32" i="3"/>
  <c r="AM32" i="3" s="1"/>
  <c r="AH32" i="3"/>
  <c r="AB32" i="3"/>
  <c r="K32" i="3"/>
  <c r="J32" i="3"/>
  <c r="AJ31" i="3"/>
  <c r="AN31" i="3" s="1"/>
  <c r="AI31" i="3"/>
  <c r="AM31" i="3" s="1"/>
  <c r="AH31" i="3"/>
  <c r="AB31" i="3"/>
  <c r="K31" i="3"/>
  <c r="J31" i="3"/>
  <c r="AJ30" i="3"/>
  <c r="AN30" i="3" s="1"/>
  <c r="AH30" i="3"/>
  <c r="AB30" i="3"/>
  <c r="K30" i="3"/>
  <c r="J30" i="3"/>
  <c r="AJ29" i="3"/>
  <c r="AN29" i="3" s="1"/>
  <c r="AI29" i="3"/>
  <c r="AM29" i="3" s="1"/>
  <c r="AH29" i="3"/>
  <c r="AB29" i="3"/>
  <c r="K29" i="3"/>
  <c r="J29" i="3"/>
  <c r="AJ28" i="3"/>
  <c r="AN28" i="3" s="1"/>
  <c r="AH28" i="3"/>
  <c r="AB28" i="3"/>
  <c r="K28" i="3"/>
  <c r="J28" i="3"/>
  <c r="AJ27" i="3"/>
  <c r="AN27" i="3" s="1"/>
  <c r="AH27" i="3"/>
  <c r="AB27" i="3"/>
  <c r="K27" i="3"/>
  <c r="J27" i="3"/>
  <c r="AJ26" i="3"/>
  <c r="AN26" i="3" s="1"/>
  <c r="AH26" i="3"/>
  <c r="AB26" i="3"/>
  <c r="K26" i="3"/>
  <c r="J26" i="3"/>
  <c r="AJ22" i="3"/>
  <c r="AN22" i="3" s="1"/>
  <c r="AH22" i="3"/>
  <c r="AB22" i="3"/>
  <c r="K22" i="3"/>
  <c r="J22" i="3"/>
  <c r="AJ21" i="3"/>
  <c r="AN21" i="3" s="1"/>
  <c r="AH21" i="3"/>
  <c r="AB21" i="3"/>
  <c r="K21" i="3"/>
  <c r="J21" i="3"/>
  <c r="AJ20" i="3"/>
  <c r="AH20" i="3"/>
  <c r="AB20" i="3"/>
  <c r="Q20" i="3"/>
  <c r="R20" i="3" s="1"/>
  <c r="N20" i="3"/>
  <c r="K20" i="3"/>
  <c r="J20" i="3"/>
  <c r="C43" i="2"/>
  <c r="L42" i="2"/>
  <c r="K42" i="2"/>
  <c r="J42" i="2"/>
  <c r="I42" i="2"/>
  <c r="H42" i="2"/>
  <c r="L41" i="2"/>
  <c r="K41" i="2"/>
  <c r="J41" i="2"/>
  <c r="I41" i="2"/>
  <c r="H41" i="2"/>
  <c r="G41" i="2"/>
  <c r="L40" i="2"/>
  <c r="K40" i="2"/>
  <c r="J40" i="2"/>
  <c r="I40" i="2"/>
  <c r="H40" i="2"/>
  <c r="G40" i="2"/>
  <c r="L39" i="2"/>
  <c r="K39" i="2"/>
  <c r="J39" i="2"/>
  <c r="I39" i="2"/>
  <c r="G39" i="2"/>
  <c r="L38" i="2"/>
  <c r="K38" i="2"/>
  <c r="J38" i="2"/>
  <c r="I38" i="2"/>
  <c r="H38" i="2"/>
  <c r="G38" i="2"/>
  <c r="L37" i="2"/>
  <c r="K37" i="2"/>
  <c r="J37" i="2"/>
  <c r="I37" i="2"/>
  <c r="H37" i="2"/>
  <c r="G37" i="2"/>
  <c r="L36" i="2"/>
  <c r="K36" i="2"/>
  <c r="J36" i="2"/>
  <c r="I36" i="2"/>
  <c r="H36" i="2"/>
  <c r="M36" i="2" s="1"/>
  <c r="G36" i="2"/>
  <c r="A36" i="2"/>
  <c r="A37" i="2" s="1"/>
  <c r="A38" i="2" s="1"/>
  <c r="A39" i="2" s="1"/>
  <c r="A40" i="2" s="1"/>
  <c r="A41" i="2" s="1"/>
  <c r="A42" i="2" s="1"/>
  <c r="L35" i="2"/>
  <c r="K35" i="2"/>
  <c r="J35" i="2"/>
  <c r="I35" i="2"/>
  <c r="H35" i="2"/>
  <c r="G35" i="2"/>
  <c r="E20" i="2"/>
  <c r="A28" i="2"/>
  <c r="A29" i="2" s="1"/>
  <c r="A30" i="2" s="1"/>
  <c r="H20" i="2"/>
  <c r="I19" i="2"/>
  <c r="I16" i="2"/>
  <c r="I14" i="2"/>
  <c r="I13" i="2"/>
  <c r="I10" i="2"/>
  <c r="A7" i="2"/>
  <c r="A8" i="2" s="1"/>
  <c r="A9" i="2" s="1"/>
  <c r="A10" i="2" s="1"/>
  <c r="A11" i="2" s="1"/>
  <c r="A12" i="2" s="1"/>
  <c r="A13" i="2" s="1"/>
  <c r="A14" i="2" s="1"/>
  <c r="A15" i="2" s="1"/>
  <c r="A16" i="2" s="1"/>
  <c r="A17" i="2" s="1"/>
  <c r="A18" i="2" s="1"/>
  <c r="A19" i="2" s="1"/>
  <c r="A20" i="2" s="1"/>
  <c r="H107" i="1" l="1"/>
  <c r="D5" i="1" s="1"/>
  <c r="K210" i="3"/>
  <c r="O116" i="3"/>
  <c r="N210" i="3"/>
  <c r="Q210" i="3"/>
  <c r="H8" i="3"/>
  <c r="F228" i="4"/>
  <c r="I228" i="4" s="1"/>
  <c r="F231" i="4"/>
  <c r="F102" i="4"/>
  <c r="I102" i="4" s="1"/>
  <c r="F134" i="4"/>
  <c r="J332" i="3"/>
  <c r="J8" i="3" s="1"/>
  <c r="AB332" i="3"/>
  <c r="K332" i="3"/>
  <c r="I164" i="1"/>
  <c r="E7" i="1" s="1"/>
  <c r="H164" i="1"/>
  <c r="D7" i="1" s="1"/>
  <c r="E4" i="1"/>
  <c r="H152" i="1"/>
  <c r="D6" i="1" s="1"/>
  <c r="I152" i="1"/>
  <c r="E6" i="1" s="1"/>
  <c r="E5" i="1"/>
  <c r="H14" i="1"/>
  <c r="F215" i="4"/>
  <c r="F210" i="4"/>
  <c r="I210" i="4" s="1"/>
  <c r="F143" i="4"/>
  <c r="I143" i="4" s="1"/>
  <c r="F187" i="4"/>
  <c r="F207" i="4"/>
  <c r="F147" i="4"/>
  <c r="I147" i="4" s="1"/>
  <c r="F180" i="4"/>
  <c r="F184" i="4"/>
  <c r="F188" i="4"/>
  <c r="F192" i="4"/>
  <c r="F196" i="4"/>
  <c r="F200" i="4"/>
  <c r="F204" i="4"/>
  <c r="F208" i="4"/>
  <c r="F179" i="4"/>
  <c r="F195" i="4"/>
  <c r="F203" i="4"/>
  <c r="F159" i="4"/>
  <c r="I159" i="4" s="1"/>
  <c r="F181" i="4"/>
  <c r="I181" i="4" s="1"/>
  <c r="F185" i="4"/>
  <c r="I185" i="4" s="1"/>
  <c r="F189" i="4"/>
  <c r="I189" i="4" s="1"/>
  <c r="F193" i="4"/>
  <c r="H193" i="4" s="1"/>
  <c r="F197" i="4"/>
  <c r="I197" i="4" s="1"/>
  <c r="F201" i="4"/>
  <c r="H201" i="4" s="1"/>
  <c r="F205" i="4"/>
  <c r="H205" i="4" s="1"/>
  <c r="F209" i="4"/>
  <c r="H209" i="4" s="1"/>
  <c r="F183" i="4"/>
  <c r="F191" i="4"/>
  <c r="F199" i="4"/>
  <c r="F132" i="4"/>
  <c r="F178" i="4"/>
  <c r="F182" i="4"/>
  <c r="F186" i="4"/>
  <c r="F190" i="4"/>
  <c r="F194" i="4"/>
  <c r="F198" i="4"/>
  <c r="F202" i="4"/>
  <c r="F206" i="4"/>
  <c r="F218" i="4"/>
  <c r="F104" i="4"/>
  <c r="I104" i="4" s="1"/>
  <c r="F151" i="4"/>
  <c r="I151" i="4" s="1"/>
  <c r="F167" i="4"/>
  <c r="I167" i="4" s="1"/>
  <c r="F219" i="4"/>
  <c r="F116" i="4"/>
  <c r="I116" i="4" s="1"/>
  <c r="F155" i="4"/>
  <c r="I155" i="4" s="1"/>
  <c r="F171" i="4"/>
  <c r="F120" i="4"/>
  <c r="I120" i="4" s="1"/>
  <c r="F144" i="4"/>
  <c r="F152" i="4"/>
  <c r="F160" i="4"/>
  <c r="F168" i="4"/>
  <c r="F108" i="4"/>
  <c r="I108" i="4" s="1"/>
  <c r="F124" i="4"/>
  <c r="I124" i="4" s="1"/>
  <c r="F141" i="4"/>
  <c r="F145" i="4"/>
  <c r="F149" i="4"/>
  <c r="F153" i="4"/>
  <c r="F157" i="4"/>
  <c r="F161" i="4"/>
  <c r="F165" i="4"/>
  <c r="F169" i="4"/>
  <c r="F140" i="4"/>
  <c r="F148" i="4"/>
  <c r="F156" i="4"/>
  <c r="F164" i="4"/>
  <c r="F172" i="4"/>
  <c r="F173" i="4" s="1"/>
  <c r="I173" i="4" s="1"/>
  <c r="F112" i="4"/>
  <c r="I112" i="4" s="1"/>
  <c r="F128" i="4"/>
  <c r="I128" i="4" s="1"/>
  <c r="F142" i="4"/>
  <c r="F146" i="4"/>
  <c r="F150" i="4"/>
  <c r="F154" i="4"/>
  <c r="F158" i="4"/>
  <c r="F162" i="4"/>
  <c r="F166" i="4"/>
  <c r="F170" i="4"/>
  <c r="F105" i="4"/>
  <c r="I105" i="4" s="1"/>
  <c r="F109" i="4"/>
  <c r="I109" i="4" s="1"/>
  <c r="F113" i="4"/>
  <c r="I113" i="4" s="1"/>
  <c r="F117" i="4"/>
  <c r="I117" i="4" s="1"/>
  <c r="F121" i="4"/>
  <c r="I121" i="4" s="1"/>
  <c r="F125" i="4"/>
  <c r="F129" i="4"/>
  <c r="F133" i="4"/>
  <c r="H143" i="4"/>
  <c r="H163" i="4"/>
  <c r="F106" i="4"/>
  <c r="I106" i="4" s="1"/>
  <c r="F110" i="4"/>
  <c r="I110" i="4" s="1"/>
  <c r="F114" i="4"/>
  <c r="I114" i="4" s="1"/>
  <c r="F118" i="4"/>
  <c r="I118" i="4" s="1"/>
  <c r="F122" i="4"/>
  <c r="F126" i="4"/>
  <c r="F130" i="4"/>
  <c r="I130" i="4" s="1"/>
  <c r="F135" i="4"/>
  <c r="I135" i="4" s="1"/>
  <c r="F103" i="4"/>
  <c r="I103" i="4" s="1"/>
  <c r="F107" i="4"/>
  <c r="I107" i="4" s="1"/>
  <c r="F111" i="4"/>
  <c r="I111" i="4" s="1"/>
  <c r="F115" i="4"/>
  <c r="I115" i="4" s="1"/>
  <c r="F119" i="4"/>
  <c r="I119" i="4" s="1"/>
  <c r="F123" i="4"/>
  <c r="F127" i="4"/>
  <c r="F131" i="4"/>
  <c r="F216" i="4"/>
  <c r="F220" i="4"/>
  <c r="F217" i="4"/>
  <c r="F221" i="4"/>
  <c r="V60" i="4"/>
  <c r="K38" i="4"/>
  <c r="P24" i="4" s="1"/>
  <c r="Q38" i="4"/>
  <c r="AH41" i="4"/>
  <c r="T43" i="4"/>
  <c r="T54" i="4"/>
  <c r="T58" i="4"/>
  <c r="P44" i="4"/>
  <c r="AC44" i="4"/>
  <c r="W50" i="4"/>
  <c r="V61" i="4"/>
  <c r="AG59" i="4"/>
  <c r="P38" i="4"/>
  <c r="U49" i="4"/>
  <c r="AJ53" i="4"/>
  <c r="Y59" i="4"/>
  <c r="AM60" i="4"/>
  <c r="L38" i="4"/>
  <c r="Q24" i="4" s="1"/>
  <c r="AG35" i="4"/>
  <c r="AF50" i="4"/>
  <c r="AH52" i="4"/>
  <c r="U53" i="4"/>
  <c r="Q64" i="4"/>
  <c r="AH59" i="4"/>
  <c r="AH60" i="4"/>
  <c r="AG68" i="4"/>
  <c r="M51" i="4"/>
  <c r="AD51" i="4"/>
  <c r="AH51" i="4"/>
  <c r="T52" i="4"/>
  <c r="T59" i="4"/>
  <c r="AC70" i="4"/>
  <c r="AM67" i="4"/>
  <c r="Q44" i="4"/>
  <c r="V42" i="4"/>
  <c r="V51" i="4"/>
  <c r="W61" i="4"/>
  <c r="AM61" i="4"/>
  <c r="AG67" i="4"/>
  <c r="AH36" i="4"/>
  <c r="AE53" i="4"/>
  <c r="S60" i="4"/>
  <c r="AF68" i="4"/>
  <c r="AL36" i="4"/>
  <c r="AM36" i="4" s="1"/>
  <c r="Y49" i="4"/>
  <c r="AM50" i="4"/>
  <c r="AH50" i="4"/>
  <c r="W53" i="4"/>
  <c r="AM54" i="4"/>
  <c r="AA70" i="4"/>
  <c r="Y67" i="4"/>
  <c r="V68" i="4"/>
  <c r="W49" i="4"/>
  <c r="M59" i="4"/>
  <c r="V36" i="4"/>
  <c r="AH43" i="4"/>
  <c r="M50" i="4"/>
  <c r="N50" i="4"/>
  <c r="U52" i="4"/>
  <c r="AD54" i="4"/>
  <c r="AG54" i="4"/>
  <c r="AE58" i="4"/>
  <c r="P70" i="4"/>
  <c r="Y68" i="4"/>
  <c r="AM68" i="4"/>
  <c r="W67" i="4"/>
  <c r="M36" i="4"/>
  <c r="L56" i="4"/>
  <c r="G24" i="4" s="1"/>
  <c r="AD50" i="4"/>
  <c r="Y52" i="4"/>
  <c r="M53" i="4"/>
  <c r="W54" i="4"/>
  <c r="Y54" i="4"/>
  <c r="AL64" i="4"/>
  <c r="H60" i="4"/>
  <c r="Y60" i="4"/>
  <c r="W60" i="4"/>
  <c r="N70" i="4"/>
  <c r="K70" i="4"/>
  <c r="AB70" i="4"/>
  <c r="S68" i="4"/>
  <c r="F226" i="4"/>
  <c r="I226" i="4" s="1"/>
  <c r="I44" i="4"/>
  <c r="T24" i="4" s="1"/>
  <c r="V54" i="4"/>
  <c r="AJ58" i="4"/>
  <c r="I70" i="4"/>
  <c r="AB38" i="4"/>
  <c r="L44" i="4"/>
  <c r="W24" i="4" s="1"/>
  <c r="W43" i="4"/>
  <c r="I56" i="4"/>
  <c r="D24" i="4" s="1"/>
  <c r="W52" i="4"/>
  <c r="AM52" i="4"/>
  <c r="M54" i="4"/>
  <c r="H58" i="4"/>
  <c r="L64" i="4"/>
  <c r="K24" i="4" s="1"/>
  <c r="R64" i="4"/>
  <c r="Z60" i="4"/>
  <c r="AD60" i="4" s="1"/>
  <c r="K64" i="4"/>
  <c r="J24" i="4" s="1"/>
  <c r="O64" i="4"/>
  <c r="H66" i="4"/>
  <c r="H70" i="4" s="1"/>
  <c r="L70" i="4"/>
  <c r="M67" i="4"/>
  <c r="R70" i="4"/>
  <c r="T68" i="4"/>
  <c r="Z68" i="4"/>
  <c r="AD68" i="4" s="1"/>
  <c r="F227" i="4"/>
  <c r="I227" i="4" s="1"/>
  <c r="AB44" i="4"/>
  <c r="AH42" i="4"/>
  <c r="U43" i="4"/>
  <c r="J56" i="4"/>
  <c r="E24" i="4" s="1"/>
  <c r="P56" i="4"/>
  <c r="Z56" i="4"/>
  <c r="AM49" i="4"/>
  <c r="H51" i="4"/>
  <c r="H56" i="4" s="1"/>
  <c r="AE51" i="4"/>
  <c r="S54" i="4"/>
  <c r="U54" i="4"/>
  <c r="AJ54" i="4"/>
  <c r="AH54" i="4"/>
  <c r="AL56" i="4"/>
  <c r="AF58" i="4"/>
  <c r="AG60" i="4"/>
  <c r="H61" i="4"/>
  <c r="W66" i="4"/>
  <c r="AM66" i="4"/>
  <c r="S67" i="4"/>
  <c r="V67" i="4"/>
  <c r="AE68" i="4"/>
  <c r="AH68" i="4"/>
  <c r="F230" i="4"/>
  <c r="H230" i="4" s="1"/>
  <c r="I38" i="4"/>
  <c r="O44" i="4"/>
  <c r="AL41" i="4"/>
  <c r="M42" i="4"/>
  <c r="S51" i="4"/>
  <c r="AF36" i="4"/>
  <c r="N42" i="4"/>
  <c r="H42" i="4"/>
  <c r="Z42" i="4"/>
  <c r="AL42" i="4"/>
  <c r="AM42" i="4" s="1"/>
  <c r="M43" i="4"/>
  <c r="AL43" i="4"/>
  <c r="AM43" i="4" s="1"/>
  <c r="Z43" i="4"/>
  <c r="AD43" i="4" s="1"/>
  <c r="R42" i="4"/>
  <c r="T42" i="4" s="1"/>
  <c r="R43" i="4"/>
  <c r="V43" i="4" s="1"/>
  <c r="R41" i="4"/>
  <c r="S41" i="4" s="1"/>
  <c r="R35" i="4"/>
  <c r="W35" i="4"/>
  <c r="N35" i="4"/>
  <c r="J35" i="4"/>
  <c r="O38" i="4"/>
  <c r="Z35" i="4"/>
  <c r="AJ35" i="4" s="1"/>
  <c r="AL35" i="4"/>
  <c r="T35" i="4"/>
  <c r="AE35" i="4"/>
  <c r="AG36" i="4"/>
  <c r="K44" i="4"/>
  <c r="V24" i="4" s="1"/>
  <c r="Z41" i="4"/>
  <c r="AJ41" i="4" s="1"/>
  <c r="M52" i="4"/>
  <c r="AD49" i="4"/>
  <c r="AJ51" i="4"/>
  <c r="V35" i="4"/>
  <c r="U35" i="4"/>
  <c r="AA38" i="4"/>
  <c r="AH35" i="4"/>
  <c r="H36" i="4"/>
  <c r="H38" i="4" s="1"/>
  <c r="N36" i="4"/>
  <c r="R36" i="4"/>
  <c r="S36" i="4" s="1"/>
  <c r="AC56" i="4"/>
  <c r="AD52" i="4"/>
  <c r="S52" i="4"/>
  <c r="AH61" i="4"/>
  <c r="AG61" i="4"/>
  <c r="AJ61" i="4"/>
  <c r="AF61" i="4"/>
  <c r="AA64" i="4"/>
  <c r="AE61" i="4"/>
  <c r="M49" i="4"/>
  <c r="V49" i="4"/>
  <c r="AJ49" i="4"/>
  <c r="AF49" i="4"/>
  <c r="AA56" i="4"/>
  <c r="AE49" i="4"/>
  <c r="S50" i="4"/>
  <c r="T51" i="4"/>
  <c r="Y51" i="4"/>
  <c r="Q56" i="4"/>
  <c r="W59" i="4"/>
  <c r="V59" i="4"/>
  <c r="AD59" i="4"/>
  <c r="V41" i="4"/>
  <c r="AE41" i="4"/>
  <c r="U42" i="4"/>
  <c r="AF42" i="4"/>
  <c r="AF43" i="4"/>
  <c r="AE43" i="4"/>
  <c r="N49" i="4"/>
  <c r="AB56" i="4"/>
  <c r="AG49" i="4"/>
  <c r="Y50" i="4"/>
  <c r="U50" i="4"/>
  <c r="T50" i="4"/>
  <c r="U51" i="4"/>
  <c r="AF51" i="4"/>
  <c r="AM51" i="4"/>
  <c r="V52" i="4"/>
  <c r="AJ52" i="4"/>
  <c r="AF52" i="4"/>
  <c r="AE52" i="4"/>
  <c r="AD53" i="4"/>
  <c r="S53" i="4"/>
  <c r="AM53" i="4"/>
  <c r="R56" i="4"/>
  <c r="I64" i="4"/>
  <c r="H24" i="4" s="1"/>
  <c r="M58" i="4"/>
  <c r="S58" i="4"/>
  <c r="AH58" i="4"/>
  <c r="AB64" i="4"/>
  <c r="AG58" i="4"/>
  <c r="AJ59" i="4"/>
  <c r="M61" i="4"/>
  <c r="AD61" i="4"/>
  <c r="S61" i="4"/>
  <c r="W36" i="4"/>
  <c r="U36" i="4"/>
  <c r="H41" i="4"/>
  <c r="J41" i="4"/>
  <c r="J44" i="4" s="1"/>
  <c r="U24" i="4" s="1"/>
  <c r="N41" i="4"/>
  <c r="W41" i="4"/>
  <c r="AG41" i="4"/>
  <c r="W42" i="4"/>
  <c r="AG42" i="4"/>
  <c r="H43" i="4"/>
  <c r="N43" i="4"/>
  <c r="AA44" i="4"/>
  <c r="K56" i="4"/>
  <c r="F24" i="4" s="1"/>
  <c r="O56" i="4"/>
  <c r="S49" i="4"/>
  <c r="AH49" i="4"/>
  <c r="V50" i="4"/>
  <c r="AG50" i="4"/>
  <c r="AE50" i="4"/>
  <c r="AJ50" i="4"/>
  <c r="W51" i="4"/>
  <c r="AG51" i="4"/>
  <c r="AG52" i="4"/>
  <c r="V53" i="4"/>
  <c r="Y53" i="4"/>
  <c r="T53" i="4"/>
  <c r="AH53" i="4"/>
  <c r="AG53" i="4"/>
  <c r="AF53" i="4"/>
  <c r="J64" i="4"/>
  <c r="I24" i="4" s="1"/>
  <c r="W58" i="4"/>
  <c r="V58" i="4"/>
  <c r="P64" i="4"/>
  <c r="Y58" i="4"/>
  <c r="U58" i="4"/>
  <c r="AC64" i="4"/>
  <c r="H59" i="4"/>
  <c r="N59" i="4"/>
  <c r="N64" i="4" s="1"/>
  <c r="S59" i="4"/>
  <c r="U59" i="4"/>
  <c r="AM59" i="4"/>
  <c r="M60" i="4"/>
  <c r="AD66" i="4"/>
  <c r="AE60" i="4"/>
  <c r="T61" i="4"/>
  <c r="S66" i="4"/>
  <c r="AE66" i="4"/>
  <c r="Z67" i="4"/>
  <c r="AD67" i="4" s="1"/>
  <c r="AH67" i="4"/>
  <c r="M68" i="4"/>
  <c r="U68" i="4"/>
  <c r="Q70" i="4"/>
  <c r="AE54" i="4"/>
  <c r="AD58" i="4"/>
  <c r="AM58" i="4"/>
  <c r="AE59" i="4"/>
  <c r="T60" i="4"/>
  <c r="AF60" i="4"/>
  <c r="U61" i="4"/>
  <c r="Y61" i="4"/>
  <c r="T66" i="4"/>
  <c r="AF66" i="4"/>
  <c r="AJ66" i="4"/>
  <c r="AE67" i="4"/>
  <c r="H215" i="4"/>
  <c r="T41" i="4"/>
  <c r="T49" i="4"/>
  <c r="AF54" i="4"/>
  <c r="AF59" i="4"/>
  <c r="U60" i="4"/>
  <c r="U66" i="4"/>
  <c r="Y66" i="4"/>
  <c r="AG66" i="4"/>
  <c r="T67" i="4"/>
  <c r="AF67" i="4"/>
  <c r="W68" i="4"/>
  <c r="O70" i="4"/>
  <c r="AL70" i="4"/>
  <c r="H228" i="4"/>
  <c r="J66" i="4"/>
  <c r="J70" i="4" s="1"/>
  <c r="V66" i="4"/>
  <c r="AH66" i="4"/>
  <c r="U67" i="4"/>
  <c r="F229" i="4"/>
  <c r="U241" i="3"/>
  <c r="U260" i="3"/>
  <c r="U318" i="3"/>
  <c r="U283" i="3"/>
  <c r="U289" i="3"/>
  <c r="U295" i="3"/>
  <c r="U299" i="3"/>
  <c r="U321" i="3"/>
  <c r="L321" i="3" s="1"/>
  <c r="U317" i="3"/>
  <c r="L317" i="3" s="1"/>
  <c r="AL314" i="3"/>
  <c r="AP314" i="3" s="1"/>
  <c r="AL319" i="3"/>
  <c r="AP319" i="3" s="1"/>
  <c r="AL318" i="3"/>
  <c r="AP318" i="3" s="1"/>
  <c r="U313" i="3"/>
  <c r="L313" i="3" s="1"/>
  <c r="U315" i="3"/>
  <c r="L315" i="3" s="1"/>
  <c r="AL317" i="3"/>
  <c r="AP317" i="3" s="1"/>
  <c r="O318" i="3"/>
  <c r="AL321" i="3"/>
  <c r="AP321" i="3" s="1"/>
  <c r="U316" i="3"/>
  <c r="U319" i="3"/>
  <c r="U237" i="3"/>
  <c r="U270" i="3"/>
  <c r="AL312" i="3"/>
  <c r="AP312" i="3" s="1"/>
  <c r="AL313" i="3"/>
  <c r="AP313" i="3" s="1"/>
  <c r="O316" i="3"/>
  <c r="AL316" i="3"/>
  <c r="AP316" i="3" s="1"/>
  <c r="O319" i="3"/>
  <c r="AL320" i="3"/>
  <c r="AP320" i="3" s="1"/>
  <c r="AN311" i="3"/>
  <c r="Q332" i="3"/>
  <c r="U279" i="3"/>
  <c r="R311" i="3"/>
  <c r="R332" i="3" s="1"/>
  <c r="AL311" i="3"/>
  <c r="U312" i="3"/>
  <c r="L312" i="3" s="1"/>
  <c r="AI312" i="3" s="1"/>
  <c r="AM312" i="3" s="1"/>
  <c r="U314" i="3"/>
  <c r="L314" i="3" s="1"/>
  <c r="U205" i="3"/>
  <c r="U248" i="3"/>
  <c r="L248" i="3" s="1"/>
  <c r="AI248" i="3" s="1"/>
  <c r="AM248" i="3" s="1"/>
  <c r="U293" i="3"/>
  <c r="U242" i="3"/>
  <c r="N332" i="3"/>
  <c r="U311" i="3"/>
  <c r="AL315" i="3"/>
  <c r="AP315" i="3" s="1"/>
  <c r="U320" i="3"/>
  <c r="L320" i="3" s="1"/>
  <c r="AG320" i="3" s="1"/>
  <c r="AK320" i="3" s="1"/>
  <c r="AO320" i="3" s="1"/>
  <c r="AL242" i="3"/>
  <c r="AP242" i="3" s="1"/>
  <c r="U303" i="3"/>
  <c r="U276" i="3"/>
  <c r="AL284" i="3"/>
  <c r="AP284" i="3" s="1"/>
  <c r="U245" i="3"/>
  <c r="U268" i="3"/>
  <c r="O242" i="3"/>
  <c r="R231" i="3"/>
  <c r="L231" i="3" s="1"/>
  <c r="AG231" i="3" s="1"/>
  <c r="L245" i="3"/>
  <c r="AI245" i="3" s="1"/>
  <c r="AM245" i="3" s="1"/>
  <c r="AL295" i="3"/>
  <c r="AP295" i="3" s="1"/>
  <c r="AL296" i="3"/>
  <c r="AP296" i="3" s="1"/>
  <c r="U218" i="3"/>
  <c r="U272" i="3"/>
  <c r="U294" i="3"/>
  <c r="L294" i="3" s="1"/>
  <c r="AG294" i="3" s="1"/>
  <c r="AK294" i="3" s="1"/>
  <c r="AO294" i="3" s="1"/>
  <c r="U305" i="3"/>
  <c r="U230" i="3"/>
  <c r="L230" i="3" s="1"/>
  <c r="AG230" i="3" s="1"/>
  <c r="AL219" i="3"/>
  <c r="AP219" i="3" s="1"/>
  <c r="AL220" i="3"/>
  <c r="AP220" i="3" s="1"/>
  <c r="AL277" i="3"/>
  <c r="AP277" i="3" s="1"/>
  <c r="AL278" i="3"/>
  <c r="AP278" i="3" s="1"/>
  <c r="AL298" i="3"/>
  <c r="AP298" i="3" s="1"/>
  <c r="AL224" i="3"/>
  <c r="AP224" i="3" s="1"/>
  <c r="AL233" i="3"/>
  <c r="AP233" i="3" s="1"/>
  <c r="AL260" i="3"/>
  <c r="AP260" i="3" s="1"/>
  <c r="AL293" i="3"/>
  <c r="AP293" i="3" s="1"/>
  <c r="AL232" i="3"/>
  <c r="AP232" i="3" s="1"/>
  <c r="AL246" i="3"/>
  <c r="AP246" i="3" s="1"/>
  <c r="AL262" i="3"/>
  <c r="AP262" i="3" s="1"/>
  <c r="R132" i="3"/>
  <c r="L132" i="3" s="1"/>
  <c r="AG132" i="3" s="1"/>
  <c r="O218" i="3"/>
  <c r="O237" i="3"/>
  <c r="O241" i="3"/>
  <c r="O260" i="3"/>
  <c r="O268" i="3"/>
  <c r="L268" i="3" s="1"/>
  <c r="AI268" i="3" s="1"/>
  <c r="AM268" i="3" s="1"/>
  <c r="O270" i="3"/>
  <c r="O283" i="3"/>
  <c r="O289" i="3"/>
  <c r="O293" i="3"/>
  <c r="O295" i="3"/>
  <c r="O303" i="3"/>
  <c r="U87" i="3"/>
  <c r="U221" i="3"/>
  <c r="L221" i="3" s="1"/>
  <c r="AG221" i="3" s="1"/>
  <c r="AK221" i="3" s="1"/>
  <c r="AO221" i="3" s="1"/>
  <c r="U224" i="3"/>
  <c r="U225" i="3"/>
  <c r="L225" i="3" s="1"/>
  <c r="AG225" i="3" s="1"/>
  <c r="AK225" i="3" s="1"/>
  <c r="AO225" i="3" s="1"/>
  <c r="U229" i="3"/>
  <c r="L229" i="3" s="1"/>
  <c r="AG229" i="3" s="1"/>
  <c r="AK229" i="3" s="1"/>
  <c r="AO229" i="3" s="1"/>
  <c r="R233" i="3"/>
  <c r="L233" i="3" s="1"/>
  <c r="AG233" i="3" s="1"/>
  <c r="R234" i="3"/>
  <c r="L234" i="3" s="1"/>
  <c r="U235" i="3"/>
  <c r="L235" i="3" s="1"/>
  <c r="AG235" i="3" s="1"/>
  <c r="U238" i="3"/>
  <c r="L238" i="3" s="1"/>
  <c r="AG238" i="3" s="1"/>
  <c r="AK238" i="3" s="1"/>
  <c r="AO238" i="3" s="1"/>
  <c r="AL245" i="3"/>
  <c r="AP245" i="3" s="1"/>
  <c r="AL247" i="3"/>
  <c r="AP247" i="3" s="1"/>
  <c r="R249" i="3"/>
  <c r="L249" i="3" s="1"/>
  <c r="AG249" i="3" s="1"/>
  <c r="U251" i="3"/>
  <c r="U259" i="3"/>
  <c r="L259" i="3" s="1"/>
  <c r="AG259" i="3" s="1"/>
  <c r="O272" i="3"/>
  <c r="U274" i="3"/>
  <c r="L274" i="3" s="1"/>
  <c r="AG274" i="3" s="1"/>
  <c r="AK274" i="3" s="1"/>
  <c r="AO274" i="3" s="1"/>
  <c r="U275" i="3"/>
  <c r="L275" i="3" s="1"/>
  <c r="AG275" i="3" s="1"/>
  <c r="AK275" i="3" s="1"/>
  <c r="AO275" i="3" s="1"/>
  <c r="O276" i="3"/>
  <c r="O279" i="3"/>
  <c r="U281" i="3"/>
  <c r="U285" i="3"/>
  <c r="L285" i="3" s="1"/>
  <c r="AI285" i="3" s="1"/>
  <c r="AM285" i="3" s="1"/>
  <c r="AL286" i="3"/>
  <c r="AP286" i="3" s="1"/>
  <c r="U291" i="3"/>
  <c r="L291" i="3" s="1"/>
  <c r="AG291" i="3" s="1"/>
  <c r="AK291" i="3" s="1"/>
  <c r="AO291" i="3" s="1"/>
  <c r="U297" i="3"/>
  <c r="L297" i="3" s="1"/>
  <c r="AG297" i="3" s="1"/>
  <c r="AK297" i="3" s="1"/>
  <c r="AO297" i="3" s="1"/>
  <c r="U298" i="3"/>
  <c r="L298" i="3" s="1"/>
  <c r="AG298" i="3" s="1"/>
  <c r="AK298" i="3" s="1"/>
  <c r="AO298" i="3" s="1"/>
  <c r="O299" i="3"/>
  <c r="U302" i="3"/>
  <c r="L302" i="3" s="1"/>
  <c r="AI302" i="3" s="1"/>
  <c r="AM302" i="3" s="1"/>
  <c r="O305" i="3"/>
  <c r="U185" i="3"/>
  <c r="U216" i="3"/>
  <c r="U217" i="3"/>
  <c r="L217" i="3" s="1"/>
  <c r="AG217" i="3" s="1"/>
  <c r="AK217" i="3" s="1"/>
  <c r="AO217" i="3" s="1"/>
  <c r="AL240" i="3"/>
  <c r="AP240" i="3" s="1"/>
  <c r="AL244" i="3"/>
  <c r="AP244" i="3" s="1"/>
  <c r="U250" i="3"/>
  <c r="L250" i="3" s="1"/>
  <c r="AG250" i="3" s="1"/>
  <c r="AK250" i="3" s="1"/>
  <c r="AO250" i="3" s="1"/>
  <c r="AL253" i="3"/>
  <c r="AP253" i="3" s="1"/>
  <c r="U255" i="3"/>
  <c r="L255" i="3" s="1"/>
  <c r="AG255" i="3" s="1"/>
  <c r="U266" i="3"/>
  <c r="L266" i="3" s="1"/>
  <c r="AG266" i="3" s="1"/>
  <c r="AK266" i="3" s="1"/>
  <c r="AO266" i="3" s="1"/>
  <c r="U271" i="3"/>
  <c r="L271" i="3" s="1"/>
  <c r="AI271" i="3" s="1"/>
  <c r="AM271" i="3" s="1"/>
  <c r="U277" i="3"/>
  <c r="L277" i="3" s="1"/>
  <c r="AG277" i="3" s="1"/>
  <c r="AK277" i="3" s="1"/>
  <c r="AO277" i="3" s="1"/>
  <c r="O281" i="3"/>
  <c r="AL282" i="3"/>
  <c r="AP282" i="3" s="1"/>
  <c r="U287" i="3"/>
  <c r="L287" i="3" s="1"/>
  <c r="AG287" i="3" s="1"/>
  <c r="AK287" i="3" s="1"/>
  <c r="AO287" i="3" s="1"/>
  <c r="U301" i="3"/>
  <c r="L301" i="3" s="1"/>
  <c r="AG301" i="3" s="1"/>
  <c r="AL268" i="3"/>
  <c r="AP268" i="3" s="1"/>
  <c r="AL216" i="3"/>
  <c r="AP216" i="3" s="1"/>
  <c r="AL227" i="3"/>
  <c r="AP227" i="3" s="1"/>
  <c r="AL281" i="3"/>
  <c r="AP281" i="3" s="1"/>
  <c r="AL221" i="3"/>
  <c r="AP221" i="3" s="1"/>
  <c r="AL225" i="3"/>
  <c r="AP225" i="3" s="1"/>
  <c r="AL226" i="3"/>
  <c r="AP226" i="3" s="1"/>
  <c r="AL229" i="3"/>
  <c r="AP229" i="3" s="1"/>
  <c r="AL239" i="3"/>
  <c r="AP239" i="3" s="1"/>
  <c r="AL269" i="3"/>
  <c r="AP269" i="3" s="1"/>
  <c r="AL274" i="3"/>
  <c r="AP274" i="3" s="1"/>
  <c r="AL276" i="3"/>
  <c r="AP276" i="3" s="1"/>
  <c r="AL285" i="3"/>
  <c r="AP285" i="3" s="1"/>
  <c r="AL251" i="3"/>
  <c r="AP251" i="3" s="1"/>
  <c r="AL252" i="3"/>
  <c r="AP252" i="3" s="1"/>
  <c r="AL259" i="3"/>
  <c r="AP259" i="3" s="1"/>
  <c r="AL265" i="3"/>
  <c r="AP265" i="3" s="1"/>
  <c r="AL273" i="3"/>
  <c r="AP273" i="3" s="1"/>
  <c r="AL279" i="3"/>
  <c r="AP279" i="3" s="1"/>
  <c r="AL280" i="3"/>
  <c r="AP280" i="3" s="1"/>
  <c r="AL283" i="3"/>
  <c r="AP283" i="3" s="1"/>
  <c r="AL291" i="3"/>
  <c r="AP291" i="3" s="1"/>
  <c r="AL294" i="3"/>
  <c r="AP294" i="3" s="1"/>
  <c r="AL272" i="3"/>
  <c r="AP272" i="3" s="1"/>
  <c r="AL289" i="3"/>
  <c r="AP289" i="3" s="1"/>
  <c r="AL217" i="3"/>
  <c r="AP217" i="3" s="1"/>
  <c r="AL254" i="3"/>
  <c r="AP254" i="3" s="1"/>
  <c r="AL261" i="3"/>
  <c r="AP261" i="3" s="1"/>
  <c r="AL263" i="3"/>
  <c r="AP263" i="3" s="1"/>
  <c r="AN268" i="3"/>
  <c r="AL275" i="3"/>
  <c r="AP275" i="3" s="1"/>
  <c r="AL218" i="3"/>
  <c r="AP218" i="3" s="1"/>
  <c r="AL235" i="3"/>
  <c r="AP235" i="3" s="1"/>
  <c r="AL236" i="3"/>
  <c r="AP236" i="3" s="1"/>
  <c r="AL241" i="3"/>
  <c r="AP241" i="3" s="1"/>
  <c r="AL248" i="3"/>
  <c r="AP248" i="3" s="1"/>
  <c r="AL249" i="3"/>
  <c r="AP249" i="3" s="1"/>
  <c r="AL250" i="3"/>
  <c r="AP250" i="3" s="1"/>
  <c r="AL256" i="3"/>
  <c r="AP256" i="3" s="1"/>
  <c r="AL258" i="3"/>
  <c r="AP258" i="3" s="1"/>
  <c r="AL290" i="3"/>
  <c r="AP290" i="3" s="1"/>
  <c r="AL292" i="3"/>
  <c r="AP292" i="3" s="1"/>
  <c r="AL301" i="3"/>
  <c r="AP301" i="3" s="1"/>
  <c r="AL302" i="3"/>
  <c r="AP302" i="3" s="1"/>
  <c r="AL287" i="3"/>
  <c r="AP287" i="3" s="1"/>
  <c r="AL222" i="3"/>
  <c r="AP222" i="3" s="1"/>
  <c r="AL223" i="3"/>
  <c r="AP223" i="3" s="1"/>
  <c r="AL228" i="3"/>
  <c r="AP228" i="3" s="1"/>
  <c r="AL230" i="3"/>
  <c r="AP230" i="3" s="1"/>
  <c r="AL231" i="3"/>
  <c r="AP231" i="3" s="1"/>
  <c r="AL243" i="3"/>
  <c r="AP243" i="3" s="1"/>
  <c r="AL257" i="3"/>
  <c r="AP257" i="3" s="1"/>
  <c r="AL267" i="3"/>
  <c r="AP267" i="3" s="1"/>
  <c r="AL270" i="3"/>
  <c r="AP270" i="3" s="1"/>
  <c r="AL271" i="3"/>
  <c r="AP271" i="3" s="1"/>
  <c r="AL288" i="3"/>
  <c r="AP288" i="3" s="1"/>
  <c r="AL297" i="3"/>
  <c r="AP297" i="3" s="1"/>
  <c r="AL300" i="3"/>
  <c r="AP300" i="3" s="1"/>
  <c r="AL304" i="3"/>
  <c r="AP304" i="3" s="1"/>
  <c r="U220" i="3"/>
  <c r="L220" i="3" s="1"/>
  <c r="AG220" i="3" s="1"/>
  <c r="AK220" i="3" s="1"/>
  <c r="AO220" i="3" s="1"/>
  <c r="U228" i="3"/>
  <c r="L228" i="3" s="1"/>
  <c r="U232" i="3"/>
  <c r="L232" i="3" s="1"/>
  <c r="U263" i="3"/>
  <c r="R263" i="3"/>
  <c r="U278" i="3"/>
  <c r="O278" i="3"/>
  <c r="N306" i="3"/>
  <c r="U215" i="3"/>
  <c r="O216" i="3"/>
  <c r="U219" i="3"/>
  <c r="L219" i="3" s="1"/>
  <c r="AG219" i="3" s="1"/>
  <c r="AK219" i="3" s="1"/>
  <c r="AO219" i="3" s="1"/>
  <c r="U223" i="3"/>
  <c r="L223" i="3" s="1"/>
  <c r="AI223" i="3" s="1"/>
  <c r="AM223" i="3" s="1"/>
  <c r="O224" i="3"/>
  <c r="U227" i="3"/>
  <c r="L227" i="3" s="1"/>
  <c r="U240" i="3"/>
  <c r="L240" i="3" s="1"/>
  <c r="AG240" i="3" s="1"/>
  <c r="AK240" i="3" s="1"/>
  <c r="AO240" i="3" s="1"/>
  <c r="R246" i="3"/>
  <c r="L246" i="3" s="1"/>
  <c r="AG246" i="3" s="1"/>
  <c r="U247" i="3"/>
  <c r="R247" i="3"/>
  <c r="U264" i="3"/>
  <c r="L264" i="3" s="1"/>
  <c r="AG264" i="3" s="1"/>
  <c r="AK264" i="3" s="1"/>
  <c r="AO264" i="3" s="1"/>
  <c r="AN264" i="3"/>
  <c r="AL264" i="3"/>
  <c r="AP264" i="3" s="1"/>
  <c r="AL215" i="3"/>
  <c r="O286" i="3"/>
  <c r="U286" i="3"/>
  <c r="J306" i="3"/>
  <c r="I8" i="3" s="1"/>
  <c r="O215" i="3"/>
  <c r="AB306" i="3"/>
  <c r="AN215" i="3"/>
  <c r="U222" i="3"/>
  <c r="L222" i="3" s="1"/>
  <c r="AG222" i="3" s="1"/>
  <c r="U226" i="3"/>
  <c r="L226" i="3" s="1"/>
  <c r="AG226" i="3" s="1"/>
  <c r="AK226" i="3" s="1"/>
  <c r="AO226" i="3" s="1"/>
  <c r="AL234" i="3"/>
  <c r="AP234" i="3" s="1"/>
  <c r="U236" i="3"/>
  <c r="L236" i="3" s="1"/>
  <c r="AL237" i="3"/>
  <c r="AP237" i="3" s="1"/>
  <c r="AL238" i="3"/>
  <c r="AP238" i="3" s="1"/>
  <c r="L251" i="3"/>
  <c r="AG251" i="3" s="1"/>
  <c r="AK251" i="3" s="1"/>
  <c r="AO251" i="3" s="1"/>
  <c r="O290" i="3"/>
  <c r="U290" i="3"/>
  <c r="K306" i="3"/>
  <c r="Q306" i="3"/>
  <c r="U243" i="3"/>
  <c r="L243" i="3" s="1"/>
  <c r="U254" i="3"/>
  <c r="L254" i="3" s="1"/>
  <c r="AG254" i="3" s="1"/>
  <c r="AK254" i="3" s="1"/>
  <c r="AO254" i="3" s="1"/>
  <c r="AL255" i="3"/>
  <c r="AP255" i="3" s="1"/>
  <c r="U258" i="3"/>
  <c r="L258" i="3" s="1"/>
  <c r="R261" i="3"/>
  <c r="U261" i="3"/>
  <c r="R267" i="3"/>
  <c r="U267" i="3"/>
  <c r="U253" i="3"/>
  <c r="L253" i="3" s="1"/>
  <c r="U257" i="3"/>
  <c r="L257" i="3" s="1"/>
  <c r="U239" i="3"/>
  <c r="L239" i="3" s="1"/>
  <c r="U244" i="3"/>
  <c r="L244" i="3" s="1"/>
  <c r="AG244" i="3" s="1"/>
  <c r="AK244" i="3" s="1"/>
  <c r="AO244" i="3" s="1"/>
  <c r="U252" i="3"/>
  <c r="L252" i="3" s="1"/>
  <c r="AG252" i="3" s="1"/>
  <c r="AK252" i="3" s="1"/>
  <c r="AO252" i="3" s="1"/>
  <c r="U256" i="3"/>
  <c r="L256" i="3" s="1"/>
  <c r="U262" i="3"/>
  <c r="L262" i="3" s="1"/>
  <c r="AG262" i="3" s="1"/>
  <c r="AK262" i="3" s="1"/>
  <c r="AO262" i="3" s="1"/>
  <c r="U265" i="3"/>
  <c r="L265" i="3" s="1"/>
  <c r="AG265" i="3" s="1"/>
  <c r="AK265" i="3" s="1"/>
  <c r="AO265" i="3" s="1"/>
  <c r="AL266" i="3"/>
  <c r="AP266" i="3" s="1"/>
  <c r="U269" i="3"/>
  <c r="L269" i="3" s="1"/>
  <c r="O282" i="3"/>
  <c r="U282" i="3"/>
  <c r="AL299" i="3"/>
  <c r="AP299" i="3" s="1"/>
  <c r="U273" i="3"/>
  <c r="L273" i="3" s="1"/>
  <c r="AG273" i="3" s="1"/>
  <c r="AK273" i="3" s="1"/>
  <c r="AO273" i="3" s="1"/>
  <c r="U280" i="3"/>
  <c r="L280" i="3" s="1"/>
  <c r="U284" i="3"/>
  <c r="L284" i="3" s="1"/>
  <c r="U288" i="3"/>
  <c r="L288" i="3" s="1"/>
  <c r="U292" i="3"/>
  <c r="L292" i="3" s="1"/>
  <c r="AG292" i="3" s="1"/>
  <c r="AK292" i="3" s="1"/>
  <c r="AO292" i="3" s="1"/>
  <c r="U296" i="3"/>
  <c r="L296" i="3" s="1"/>
  <c r="AG296" i="3" s="1"/>
  <c r="AK296" i="3" s="1"/>
  <c r="AO296" i="3" s="1"/>
  <c r="U300" i="3"/>
  <c r="L300" i="3" s="1"/>
  <c r="AG300" i="3" s="1"/>
  <c r="AK300" i="3" s="1"/>
  <c r="AO300" i="3" s="1"/>
  <c r="U304" i="3"/>
  <c r="L304" i="3" s="1"/>
  <c r="AL87" i="3"/>
  <c r="AP87" i="3" s="1"/>
  <c r="O87" i="3"/>
  <c r="AL185" i="3"/>
  <c r="AP185" i="3" s="1"/>
  <c r="O185" i="3"/>
  <c r="AL188" i="3"/>
  <c r="AP188" i="3" s="1"/>
  <c r="U188" i="3"/>
  <c r="L188" i="3" s="1"/>
  <c r="AL131" i="3"/>
  <c r="AP131" i="3" s="1"/>
  <c r="AL132" i="3"/>
  <c r="AP132" i="3" s="1"/>
  <c r="R131" i="3"/>
  <c r="L131" i="3" s="1"/>
  <c r="AG131" i="3" s="1"/>
  <c r="U187" i="3"/>
  <c r="U195" i="3"/>
  <c r="U151" i="3"/>
  <c r="U162" i="3"/>
  <c r="U163" i="3"/>
  <c r="U198" i="3"/>
  <c r="U124" i="3"/>
  <c r="U203" i="3"/>
  <c r="R134" i="3"/>
  <c r="L134" i="3" s="1"/>
  <c r="AI134" i="3" s="1"/>
  <c r="AM134" i="3" s="1"/>
  <c r="U191" i="3"/>
  <c r="L191" i="3" s="1"/>
  <c r="AG191" i="3" s="1"/>
  <c r="AK191" i="3" s="1"/>
  <c r="AO191" i="3" s="1"/>
  <c r="U199" i="3"/>
  <c r="AL176" i="3"/>
  <c r="AP176" i="3" s="1"/>
  <c r="AL140" i="3"/>
  <c r="AP140" i="3" s="1"/>
  <c r="O124" i="3"/>
  <c r="R135" i="3"/>
  <c r="L135" i="3" s="1"/>
  <c r="R146" i="3"/>
  <c r="L146" i="3" s="1"/>
  <c r="AI146" i="3" s="1"/>
  <c r="AM146" i="3" s="1"/>
  <c r="R149" i="3"/>
  <c r="L149" i="3" s="1"/>
  <c r="AG149" i="3" s="1"/>
  <c r="U174" i="3"/>
  <c r="O187" i="3"/>
  <c r="R198" i="3"/>
  <c r="U139" i="3"/>
  <c r="L139" i="3" s="1"/>
  <c r="AG139" i="3" s="1"/>
  <c r="AK139" i="3" s="1"/>
  <c r="AO139" i="3" s="1"/>
  <c r="U154" i="3"/>
  <c r="O163" i="3"/>
  <c r="U173" i="3"/>
  <c r="O174" i="3"/>
  <c r="U182" i="3"/>
  <c r="U192" i="3"/>
  <c r="L192" i="3" s="1"/>
  <c r="AG192" i="3" s="1"/>
  <c r="AK192" i="3" s="1"/>
  <c r="AO192" i="3" s="1"/>
  <c r="U197" i="3"/>
  <c r="L197" i="3" s="1"/>
  <c r="AG197" i="3" s="1"/>
  <c r="AK197" i="3" s="1"/>
  <c r="AO197" i="3" s="1"/>
  <c r="U201" i="3"/>
  <c r="L201" i="3" s="1"/>
  <c r="U93" i="3"/>
  <c r="U97" i="3"/>
  <c r="O154" i="3"/>
  <c r="U175" i="3"/>
  <c r="U193" i="3"/>
  <c r="AL167" i="3"/>
  <c r="AP167" i="3" s="1"/>
  <c r="AL173" i="3"/>
  <c r="AP173" i="3" s="1"/>
  <c r="AL139" i="3"/>
  <c r="AP139" i="3" s="1"/>
  <c r="AL163" i="3"/>
  <c r="AP163" i="3" s="1"/>
  <c r="AL190" i="3"/>
  <c r="AP190" i="3" s="1"/>
  <c r="AL168" i="3"/>
  <c r="AP168" i="3" s="1"/>
  <c r="AL202" i="3"/>
  <c r="AP202" i="3" s="1"/>
  <c r="AL151" i="3"/>
  <c r="AP151" i="3" s="1"/>
  <c r="AL175" i="3"/>
  <c r="AP175" i="3" s="1"/>
  <c r="AL197" i="3"/>
  <c r="AP197" i="3" s="1"/>
  <c r="AL204" i="3"/>
  <c r="AP204" i="3" s="1"/>
  <c r="AL141" i="3"/>
  <c r="AP141" i="3" s="1"/>
  <c r="AL144" i="3"/>
  <c r="AP144" i="3" s="1"/>
  <c r="AL157" i="3"/>
  <c r="AP157" i="3" s="1"/>
  <c r="AL180" i="3"/>
  <c r="AP180" i="3" s="1"/>
  <c r="AL182" i="3"/>
  <c r="AP182" i="3" s="1"/>
  <c r="U120" i="3"/>
  <c r="L120" i="3" s="1"/>
  <c r="AG120" i="3" s="1"/>
  <c r="AK120" i="3" s="1"/>
  <c r="AO120" i="3" s="1"/>
  <c r="AL120" i="3"/>
  <c r="AP120" i="3" s="1"/>
  <c r="U127" i="3"/>
  <c r="U128" i="3"/>
  <c r="L128" i="3" s="1"/>
  <c r="AI128" i="3" s="1"/>
  <c r="AM128" i="3" s="1"/>
  <c r="U133" i="3"/>
  <c r="U145" i="3"/>
  <c r="L145" i="3" s="1"/>
  <c r="AI145" i="3" s="1"/>
  <c r="AM145" i="3" s="1"/>
  <c r="O151" i="3"/>
  <c r="U153" i="3"/>
  <c r="L153" i="3" s="1"/>
  <c r="U161" i="3"/>
  <c r="L161" i="3" s="1"/>
  <c r="AG161" i="3" s="1"/>
  <c r="AK161" i="3" s="1"/>
  <c r="AO161" i="3" s="1"/>
  <c r="O162" i="3"/>
  <c r="U170" i="3"/>
  <c r="L170" i="3" s="1"/>
  <c r="AI170" i="3" s="1"/>
  <c r="AM170" i="3" s="1"/>
  <c r="R173" i="3"/>
  <c r="O175" i="3"/>
  <c r="O182" i="3"/>
  <c r="O193" i="3"/>
  <c r="AL193" i="3"/>
  <c r="AP193" i="3" s="1"/>
  <c r="U194" i="3"/>
  <c r="L194" i="3" s="1"/>
  <c r="AG194" i="3" s="1"/>
  <c r="AK194" i="3" s="1"/>
  <c r="AO194" i="3" s="1"/>
  <c r="O195" i="3"/>
  <c r="O199" i="3"/>
  <c r="O203" i="3"/>
  <c r="AL122" i="3"/>
  <c r="AP122" i="3" s="1"/>
  <c r="U136" i="3"/>
  <c r="L136" i="3" s="1"/>
  <c r="AI136" i="3" s="1"/>
  <c r="AM136" i="3" s="1"/>
  <c r="U142" i="3"/>
  <c r="AL142" i="3"/>
  <c r="AP142" i="3" s="1"/>
  <c r="AL155" i="3"/>
  <c r="AP155" i="3" s="1"/>
  <c r="U158" i="3"/>
  <c r="AL158" i="3"/>
  <c r="AP158" i="3" s="1"/>
  <c r="AL164" i="3"/>
  <c r="AP164" i="3" s="1"/>
  <c r="U167" i="3"/>
  <c r="U181" i="3"/>
  <c r="U196" i="3"/>
  <c r="L196" i="3" s="1"/>
  <c r="AG196" i="3" s="1"/>
  <c r="AK196" i="3" s="1"/>
  <c r="AO196" i="3" s="1"/>
  <c r="AL200" i="3"/>
  <c r="AP200" i="3" s="1"/>
  <c r="U202" i="3"/>
  <c r="L202" i="3" s="1"/>
  <c r="AI202" i="3" s="1"/>
  <c r="AM202" i="3" s="1"/>
  <c r="O205" i="3"/>
  <c r="U123" i="3"/>
  <c r="O142" i="3"/>
  <c r="AL148" i="3"/>
  <c r="AP148" i="3" s="1"/>
  <c r="AL149" i="3"/>
  <c r="AP149" i="3" s="1"/>
  <c r="U150" i="3"/>
  <c r="L150" i="3" s="1"/>
  <c r="AG150" i="3" s="1"/>
  <c r="AK150" i="3" s="1"/>
  <c r="AO150" i="3" s="1"/>
  <c r="AL153" i="3"/>
  <c r="AP153" i="3" s="1"/>
  <c r="AL156" i="3"/>
  <c r="AP156" i="3" s="1"/>
  <c r="U157" i="3"/>
  <c r="L157" i="3" s="1"/>
  <c r="O158" i="3"/>
  <c r="U166" i="3"/>
  <c r="L166" i="3" s="1"/>
  <c r="AG166" i="3" s="1"/>
  <c r="AK166" i="3" s="1"/>
  <c r="AO166" i="3" s="1"/>
  <c r="O167" i="3"/>
  <c r="U171" i="3"/>
  <c r="L171" i="3" s="1"/>
  <c r="U178" i="3"/>
  <c r="L178" i="3" s="1"/>
  <c r="AG178" i="3" s="1"/>
  <c r="AK178" i="3" s="1"/>
  <c r="AO178" i="3" s="1"/>
  <c r="AL178" i="3"/>
  <c r="AP178" i="3" s="1"/>
  <c r="O181" i="3"/>
  <c r="AL121" i="3"/>
  <c r="AP121" i="3" s="1"/>
  <c r="AL128" i="3"/>
  <c r="AP128" i="3" s="1"/>
  <c r="AL134" i="3"/>
  <c r="AP134" i="3" s="1"/>
  <c r="AL184" i="3"/>
  <c r="AP184" i="3" s="1"/>
  <c r="AL189" i="3"/>
  <c r="AP189" i="3" s="1"/>
  <c r="AL123" i="3"/>
  <c r="AP123" i="3" s="1"/>
  <c r="AL160" i="3"/>
  <c r="AP160" i="3" s="1"/>
  <c r="AL171" i="3"/>
  <c r="AP171" i="3" s="1"/>
  <c r="AL198" i="3"/>
  <c r="AP198" i="3" s="1"/>
  <c r="AL174" i="3"/>
  <c r="AP174" i="3" s="1"/>
  <c r="AL179" i="3"/>
  <c r="AP179" i="3" s="1"/>
  <c r="AL146" i="3"/>
  <c r="AP146" i="3" s="1"/>
  <c r="AL152" i="3"/>
  <c r="AP152" i="3" s="1"/>
  <c r="AL124" i="3"/>
  <c r="AP124" i="3" s="1"/>
  <c r="AL125" i="3"/>
  <c r="AP125" i="3" s="1"/>
  <c r="AL145" i="3"/>
  <c r="AP145" i="3" s="1"/>
  <c r="AL147" i="3"/>
  <c r="AP147" i="3" s="1"/>
  <c r="AL161" i="3"/>
  <c r="AP161" i="3" s="1"/>
  <c r="AL183" i="3"/>
  <c r="AP183" i="3" s="1"/>
  <c r="AL192" i="3"/>
  <c r="AP192" i="3" s="1"/>
  <c r="AL196" i="3"/>
  <c r="AP196" i="3" s="1"/>
  <c r="AL97" i="3"/>
  <c r="AP97" i="3" s="1"/>
  <c r="AB210" i="3"/>
  <c r="AL117" i="3"/>
  <c r="AP117" i="3" s="1"/>
  <c r="AL118" i="3"/>
  <c r="AP118" i="3" s="1"/>
  <c r="AL119" i="3"/>
  <c r="AP119" i="3" s="1"/>
  <c r="AL126" i="3"/>
  <c r="AP126" i="3" s="1"/>
  <c r="AL127" i="3"/>
  <c r="AP127" i="3" s="1"/>
  <c r="AL129" i="3"/>
  <c r="AP129" i="3" s="1"/>
  <c r="AL130" i="3"/>
  <c r="AP130" i="3" s="1"/>
  <c r="AL133" i="3"/>
  <c r="AP133" i="3" s="1"/>
  <c r="AL136" i="3"/>
  <c r="AP136" i="3" s="1"/>
  <c r="AL143" i="3"/>
  <c r="AP143" i="3" s="1"/>
  <c r="AL154" i="3"/>
  <c r="AP154" i="3" s="1"/>
  <c r="AL159" i="3"/>
  <c r="AP159" i="3" s="1"/>
  <c r="AL165" i="3"/>
  <c r="AP165" i="3" s="1"/>
  <c r="AL169" i="3"/>
  <c r="AP169" i="3" s="1"/>
  <c r="AL172" i="3"/>
  <c r="AP172" i="3" s="1"/>
  <c r="AL194" i="3"/>
  <c r="AP194" i="3" s="1"/>
  <c r="AL199" i="3"/>
  <c r="AP199" i="3" s="1"/>
  <c r="AL201" i="3"/>
  <c r="AP201" i="3" s="1"/>
  <c r="U119" i="3"/>
  <c r="L119" i="3" s="1"/>
  <c r="AG119" i="3" s="1"/>
  <c r="AK119" i="3" s="1"/>
  <c r="AO119" i="3" s="1"/>
  <c r="U118" i="3"/>
  <c r="L118" i="3" s="1"/>
  <c r="AG118" i="3" s="1"/>
  <c r="AK118" i="3" s="1"/>
  <c r="AO118" i="3" s="1"/>
  <c r="U122" i="3"/>
  <c r="L122" i="3" s="1"/>
  <c r="AG122" i="3" s="1"/>
  <c r="AK122" i="3" s="1"/>
  <c r="AO122" i="3" s="1"/>
  <c r="O123" i="3"/>
  <c r="U126" i="3"/>
  <c r="L126" i="3" s="1"/>
  <c r="AG126" i="3" s="1"/>
  <c r="AK126" i="3" s="1"/>
  <c r="AO126" i="3" s="1"/>
  <c r="O127" i="3"/>
  <c r="U130" i="3"/>
  <c r="L130" i="3" s="1"/>
  <c r="AG130" i="3" s="1"/>
  <c r="AK130" i="3" s="1"/>
  <c r="AO130" i="3" s="1"/>
  <c r="O133" i="3"/>
  <c r="U137" i="3"/>
  <c r="L137" i="3" s="1"/>
  <c r="U141" i="3"/>
  <c r="L141" i="3" s="1"/>
  <c r="AG141" i="3" s="1"/>
  <c r="AK141" i="3" s="1"/>
  <c r="AO141" i="3" s="1"/>
  <c r="AN116" i="3"/>
  <c r="U147" i="3"/>
  <c r="R147" i="3"/>
  <c r="R116" i="3"/>
  <c r="AL116" i="3"/>
  <c r="U117" i="3"/>
  <c r="L117" i="3" s="1"/>
  <c r="U121" i="3"/>
  <c r="L121" i="3" s="1"/>
  <c r="AG121" i="3" s="1"/>
  <c r="AK121" i="3" s="1"/>
  <c r="AO121" i="3" s="1"/>
  <c r="U125" i="3"/>
  <c r="L125" i="3" s="1"/>
  <c r="AG125" i="3" s="1"/>
  <c r="AK125" i="3" s="1"/>
  <c r="AO125" i="3" s="1"/>
  <c r="U129" i="3"/>
  <c r="L129" i="3" s="1"/>
  <c r="AL135" i="3"/>
  <c r="AP135" i="3" s="1"/>
  <c r="U138" i="3"/>
  <c r="L138" i="3" s="1"/>
  <c r="AG138" i="3" s="1"/>
  <c r="AK138" i="3" s="1"/>
  <c r="AO138" i="3" s="1"/>
  <c r="U155" i="3"/>
  <c r="L155" i="3" s="1"/>
  <c r="AL162" i="3"/>
  <c r="AP162" i="3" s="1"/>
  <c r="AN166" i="3"/>
  <c r="AL166" i="3"/>
  <c r="AP166" i="3" s="1"/>
  <c r="U116" i="3"/>
  <c r="AL137" i="3"/>
  <c r="AP137" i="3" s="1"/>
  <c r="AL138" i="3"/>
  <c r="AP138" i="3" s="1"/>
  <c r="U140" i="3"/>
  <c r="L140" i="3" s="1"/>
  <c r="AG140" i="3" s="1"/>
  <c r="AK140" i="3" s="1"/>
  <c r="AO140" i="3" s="1"/>
  <c r="U143" i="3"/>
  <c r="L143" i="3" s="1"/>
  <c r="AL150" i="3"/>
  <c r="AP150" i="3" s="1"/>
  <c r="U159" i="3"/>
  <c r="L159" i="3" s="1"/>
  <c r="AN170" i="3"/>
  <c r="AL170" i="3"/>
  <c r="AP170" i="3" s="1"/>
  <c r="U177" i="3"/>
  <c r="L177" i="3" s="1"/>
  <c r="AG177" i="3" s="1"/>
  <c r="AK177" i="3" s="1"/>
  <c r="AO177" i="3" s="1"/>
  <c r="AN177" i="3"/>
  <c r="AL177" i="3"/>
  <c r="AP177" i="3" s="1"/>
  <c r="U144" i="3"/>
  <c r="L144" i="3" s="1"/>
  <c r="AG144" i="3" s="1"/>
  <c r="AK144" i="3" s="1"/>
  <c r="AO144" i="3" s="1"/>
  <c r="U152" i="3"/>
  <c r="L152" i="3" s="1"/>
  <c r="AG152" i="3" s="1"/>
  <c r="AK152" i="3" s="1"/>
  <c r="AO152" i="3" s="1"/>
  <c r="U156" i="3"/>
  <c r="L156" i="3" s="1"/>
  <c r="U160" i="3"/>
  <c r="L160" i="3" s="1"/>
  <c r="AG160" i="3" s="1"/>
  <c r="AK160" i="3" s="1"/>
  <c r="AO160" i="3" s="1"/>
  <c r="U164" i="3"/>
  <c r="L164" i="3" s="1"/>
  <c r="AG164" i="3" s="1"/>
  <c r="AK164" i="3" s="1"/>
  <c r="AO164" i="3" s="1"/>
  <c r="AN181" i="3"/>
  <c r="AL181" i="3"/>
  <c r="AP181" i="3" s="1"/>
  <c r="U186" i="3"/>
  <c r="L186" i="3" s="1"/>
  <c r="AG186" i="3" s="1"/>
  <c r="AK186" i="3" s="1"/>
  <c r="AO186" i="3" s="1"/>
  <c r="R148" i="3"/>
  <c r="L148" i="3" s="1"/>
  <c r="AG148" i="3" s="1"/>
  <c r="U165" i="3"/>
  <c r="L165" i="3" s="1"/>
  <c r="AG165" i="3" s="1"/>
  <c r="AK165" i="3" s="1"/>
  <c r="AO165" i="3" s="1"/>
  <c r="U169" i="3"/>
  <c r="L169" i="3" s="1"/>
  <c r="AG169" i="3" s="1"/>
  <c r="U176" i="3"/>
  <c r="L176" i="3" s="1"/>
  <c r="AG176" i="3" s="1"/>
  <c r="AK176" i="3" s="1"/>
  <c r="AO176" i="3" s="1"/>
  <c r="U168" i="3"/>
  <c r="L168" i="3" s="1"/>
  <c r="U172" i="3"/>
  <c r="L172" i="3" s="1"/>
  <c r="U180" i="3"/>
  <c r="L180" i="3" s="1"/>
  <c r="U184" i="3"/>
  <c r="L184" i="3" s="1"/>
  <c r="AG184" i="3" s="1"/>
  <c r="AK184" i="3" s="1"/>
  <c r="AO184" i="3" s="1"/>
  <c r="AL186" i="3"/>
  <c r="AP186" i="3" s="1"/>
  <c r="AL187" i="3"/>
  <c r="AP187" i="3" s="1"/>
  <c r="U190" i="3"/>
  <c r="L190" i="3" s="1"/>
  <c r="AG190" i="3" s="1"/>
  <c r="AK190" i="3" s="1"/>
  <c r="AO190" i="3" s="1"/>
  <c r="AL191" i="3"/>
  <c r="AP191" i="3" s="1"/>
  <c r="AL195" i="3"/>
  <c r="AP195" i="3" s="1"/>
  <c r="AL203" i="3"/>
  <c r="AP203" i="3" s="1"/>
  <c r="U179" i="3"/>
  <c r="L179" i="3" s="1"/>
  <c r="U183" i="3"/>
  <c r="L183" i="3" s="1"/>
  <c r="AG183" i="3" s="1"/>
  <c r="AK183" i="3" s="1"/>
  <c r="AO183" i="3" s="1"/>
  <c r="U189" i="3"/>
  <c r="L189" i="3" s="1"/>
  <c r="AG189" i="3" s="1"/>
  <c r="AK189" i="3" s="1"/>
  <c r="AO189" i="3" s="1"/>
  <c r="U200" i="3"/>
  <c r="L200" i="3" s="1"/>
  <c r="AG200" i="3" s="1"/>
  <c r="AK200" i="3" s="1"/>
  <c r="AO200" i="3" s="1"/>
  <c r="U204" i="3"/>
  <c r="L204" i="3" s="1"/>
  <c r="O97" i="3"/>
  <c r="AL93" i="3"/>
  <c r="AP93" i="3" s="1"/>
  <c r="O93" i="3"/>
  <c r="AL84" i="3"/>
  <c r="AP84" i="3" s="1"/>
  <c r="U84" i="3"/>
  <c r="L84" i="3" s="1"/>
  <c r="AG84" i="3" s="1"/>
  <c r="AK84" i="3" s="1"/>
  <c r="AO84" i="3" s="1"/>
  <c r="AL63" i="3"/>
  <c r="AP63" i="3" s="1"/>
  <c r="U63" i="3"/>
  <c r="L63" i="3" s="1"/>
  <c r="AL51" i="3"/>
  <c r="AP51" i="3" s="1"/>
  <c r="R51" i="3"/>
  <c r="L51" i="3" s="1"/>
  <c r="AG51" i="3" s="1"/>
  <c r="U83" i="3"/>
  <c r="R83" i="3"/>
  <c r="U39" i="3"/>
  <c r="L39" i="3" s="1"/>
  <c r="U101" i="3"/>
  <c r="U73" i="3"/>
  <c r="U68" i="3"/>
  <c r="L68" i="3" s="1"/>
  <c r="AG68" i="3" s="1"/>
  <c r="U42" i="3"/>
  <c r="L42" i="3" s="1"/>
  <c r="U67" i="3"/>
  <c r="L67" i="3" s="1"/>
  <c r="AG67" i="3" s="1"/>
  <c r="AK67" i="3" s="1"/>
  <c r="AO67" i="3" s="1"/>
  <c r="R73" i="3"/>
  <c r="R101" i="3"/>
  <c r="AL39" i="3"/>
  <c r="AP39" i="3" s="1"/>
  <c r="AL42" i="3"/>
  <c r="AP42" i="3" s="1"/>
  <c r="AL46" i="3"/>
  <c r="AP46" i="3" s="1"/>
  <c r="AL41" i="3"/>
  <c r="AP41" i="3" s="1"/>
  <c r="AL45" i="3"/>
  <c r="AP45" i="3" s="1"/>
  <c r="AL44" i="3"/>
  <c r="AP44" i="3" s="1"/>
  <c r="AL57" i="3"/>
  <c r="AP57" i="3" s="1"/>
  <c r="AL72" i="3"/>
  <c r="AP72" i="3" s="1"/>
  <c r="AL101" i="3"/>
  <c r="AP101" i="3" s="1"/>
  <c r="AL66" i="3"/>
  <c r="AP66" i="3" s="1"/>
  <c r="AL81" i="3"/>
  <c r="AP81" i="3" s="1"/>
  <c r="AL74" i="3"/>
  <c r="AP74" i="3" s="1"/>
  <c r="U74" i="3"/>
  <c r="L74" i="3" s="1"/>
  <c r="AL105" i="3"/>
  <c r="AP105" i="3" s="1"/>
  <c r="AL31" i="3"/>
  <c r="AP31" i="3" s="1"/>
  <c r="AL35" i="3"/>
  <c r="AP35" i="3" s="1"/>
  <c r="AL36" i="3"/>
  <c r="AP36" i="3" s="1"/>
  <c r="U45" i="3"/>
  <c r="L45" i="3" s="1"/>
  <c r="U46" i="3"/>
  <c r="L46" i="3" s="1"/>
  <c r="AL48" i="3"/>
  <c r="AP48" i="3" s="1"/>
  <c r="AL49" i="3"/>
  <c r="AP49" i="3" s="1"/>
  <c r="AL52" i="3"/>
  <c r="AP52" i="3" s="1"/>
  <c r="AL53" i="3"/>
  <c r="AP53" i="3" s="1"/>
  <c r="AL56" i="3"/>
  <c r="AP56" i="3" s="1"/>
  <c r="U57" i="3"/>
  <c r="L57" i="3" s="1"/>
  <c r="U60" i="3"/>
  <c r="L60" i="3" s="1"/>
  <c r="AL76" i="3"/>
  <c r="AP76" i="3" s="1"/>
  <c r="U89" i="3"/>
  <c r="L89" i="3" s="1"/>
  <c r="AG89" i="3" s="1"/>
  <c r="AK89" i="3" s="1"/>
  <c r="AO89" i="3" s="1"/>
  <c r="J95" i="3"/>
  <c r="AL98" i="3"/>
  <c r="AP98" i="3" s="1"/>
  <c r="U103" i="3"/>
  <c r="U49" i="3"/>
  <c r="AL59" i="3"/>
  <c r="AP59" i="3" s="1"/>
  <c r="U66" i="3"/>
  <c r="L66" i="3" s="1"/>
  <c r="AI66" i="3" s="1"/>
  <c r="AM66" i="3" s="1"/>
  <c r="AL69" i="3"/>
  <c r="AP69" i="3" s="1"/>
  <c r="U70" i="3"/>
  <c r="L70" i="3" s="1"/>
  <c r="AI70" i="3" s="1"/>
  <c r="AM70" i="3" s="1"/>
  <c r="AL71" i="3"/>
  <c r="AP71" i="3" s="1"/>
  <c r="U76" i="3"/>
  <c r="L76" i="3" s="1"/>
  <c r="AG76" i="3" s="1"/>
  <c r="AK76" i="3" s="1"/>
  <c r="AO76" i="3" s="1"/>
  <c r="AL77" i="3"/>
  <c r="AP77" i="3" s="1"/>
  <c r="U78" i="3"/>
  <c r="L78" i="3" s="1"/>
  <c r="AG78" i="3" s="1"/>
  <c r="AK78" i="3" s="1"/>
  <c r="AO78" i="3" s="1"/>
  <c r="AL86" i="3"/>
  <c r="AP86" i="3" s="1"/>
  <c r="AL89" i="3"/>
  <c r="AP89" i="3" s="1"/>
  <c r="AL91" i="3"/>
  <c r="AP91" i="3" s="1"/>
  <c r="AL92" i="3"/>
  <c r="AP92" i="3" s="1"/>
  <c r="AL22" i="3"/>
  <c r="AP22" i="3" s="1"/>
  <c r="AL26" i="3"/>
  <c r="AP26" i="3" s="1"/>
  <c r="AL27" i="3"/>
  <c r="AP27" i="3" s="1"/>
  <c r="U58" i="3"/>
  <c r="L58" i="3" s="1"/>
  <c r="AL62" i="3"/>
  <c r="AP62" i="3" s="1"/>
  <c r="AL68" i="3"/>
  <c r="AP68" i="3" s="1"/>
  <c r="U71" i="3"/>
  <c r="U91" i="3"/>
  <c r="L91" i="3" s="1"/>
  <c r="AI91" i="3" s="1"/>
  <c r="AM91" i="3" s="1"/>
  <c r="AL37" i="3"/>
  <c r="AP37" i="3" s="1"/>
  <c r="U50" i="3"/>
  <c r="L50" i="3" s="1"/>
  <c r="AL40" i="3"/>
  <c r="AP40" i="3" s="1"/>
  <c r="U43" i="3"/>
  <c r="L43" i="3" s="1"/>
  <c r="AG43" i="3" s="1"/>
  <c r="AK43" i="3" s="1"/>
  <c r="AO43" i="3" s="1"/>
  <c r="AL43" i="3"/>
  <c r="AP43" i="3" s="1"/>
  <c r="AL47" i="3"/>
  <c r="AP47" i="3" s="1"/>
  <c r="AL54" i="3"/>
  <c r="AP54" i="3" s="1"/>
  <c r="U56" i="3"/>
  <c r="L56" i="3" s="1"/>
  <c r="AI56" i="3" s="1"/>
  <c r="AM56" i="3" s="1"/>
  <c r="K59" i="3"/>
  <c r="U61" i="3"/>
  <c r="L61" i="3" s="1"/>
  <c r="AI61" i="3" s="1"/>
  <c r="AM61" i="3" s="1"/>
  <c r="AL61" i="3"/>
  <c r="AP61" i="3" s="1"/>
  <c r="U64" i="3"/>
  <c r="L64" i="3" s="1"/>
  <c r="AL64" i="3"/>
  <c r="AP64" i="3" s="1"/>
  <c r="AL70" i="3"/>
  <c r="AP70" i="3" s="1"/>
  <c r="AL73" i="3"/>
  <c r="AP73" i="3" s="1"/>
  <c r="J75" i="3"/>
  <c r="U77" i="3"/>
  <c r="L77" i="3" s="1"/>
  <c r="AG77" i="3" s="1"/>
  <c r="AK77" i="3" s="1"/>
  <c r="AO77" i="3" s="1"/>
  <c r="AL78" i="3"/>
  <c r="AP78" i="3" s="1"/>
  <c r="U81" i="3"/>
  <c r="L81" i="3" s="1"/>
  <c r="U82" i="3"/>
  <c r="L82" i="3" s="1"/>
  <c r="AG82" i="3" s="1"/>
  <c r="AK82" i="3" s="1"/>
  <c r="AO82" i="3" s="1"/>
  <c r="U72" i="3"/>
  <c r="L72" i="3" s="1"/>
  <c r="U75" i="3"/>
  <c r="U79" i="3"/>
  <c r="L79" i="3" s="1"/>
  <c r="AG79" i="3" s="1"/>
  <c r="AK79" i="3" s="1"/>
  <c r="AO79" i="3" s="1"/>
  <c r="U86" i="3"/>
  <c r="L86" i="3" s="1"/>
  <c r="AG86" i="3" s="1"/>
  <c r="AK86" i="3" s="1"/>
  <c r="AO86" i="3" s="1"/>
  <c r="U88" i="3"/>
  <c r="L88" i="3" s="1"/>
  <c r="AG88" i="3" s="1"/>
  <c r="AK88" i="3" s="1"/>
  <c r="AO88" i="3" s="1"/>
  <c r="U37" i="3"/>
  <c r="L37" i="3" s="1"/>
  <c r="AG37" i="3" s="1"/>
  <c r="AK37" i="3" s="1"/>
  <c r="AO37" i="3" s="1"/>
  <c r="U54" i="3"/>
  <c r="L54" i="3" s="1"/>
  <c r="AI54" i="3" s="1"/>
  <c r="AM54" i="3" s="1"/>
  <c r="U21" i="3"/>
  <c r="L21" i="3" s="1"/>
  <c r="U22" i="3"/>
  <c r="L22" i="3" s="1"/>
  <c r="AG22" i="3" s="1"/>
  <c r="U28" i="3"/>
  <c r="L28" i="3" s="1"/>
  <c r="AI28" i="3" s="1"/>
  <c r="AM28" i="3" s="1"/>
  <c r="AL29" i="3"/>
  <c r="AP29" i="3" s="1"/>
  <c r="AL30" i="3"/>
  <c r="AP30" i="3" s="1"/>
  <c r="U32" i="3"/>
  <c r="L32" i="3" s="1"/>
  <c r="AG32" i="3" s="1"/>
  <c r="AK32" i="3" s="1"/>
  <c r="AO32" i="3" s="1"/>
  <c r="AL32" i="3"/>
  <c r="AP32" i="3" s="1"/>
  <c r="AL50" i="3"/>
  <c r="AP50" i="3" s="1"/>
  <c r="U44" i="3"/>
  <c r="L44" i="3" s="1"/>
  <c r="AL58" i="3"/>
  <c r="AP58" i="3" s="1"/>
  <c r="AL60" i="3"/>
  <c r="AP60" i="3" s="1"/>
  <c r="AL65" i="3"/>
  <c r="AP65" i="3" s="1"/>
  <c r="U94" i="3"/>
  <c r="L94" i="3" s="1"/>
  <c r="AI94" i="3" s="1"/>
  <c r="AM94" i="3" s="1"/>
  <c r="U98" i="3"/>
  <c r="U99" i="3"/>
  <c r="L99" i="3" s="1"/>
  <c r="AI99" i="3" s="1"/>
  <c r="AM99" i="3" s="1"/>
  <c r="AL102" i="3"/>
  <c r="AP102" i="3" s="1"/>
  <c r="U80" i="3"/>
  <c r="L80" i="3" s="1"/>
  <c r="AG80" i="3" s="1"/>
  <c r="AK80" i="3" s="1"/>
  <c r="AO80" i="3" s="1"/>
  <c r="AL80" i="3"/>
  <c r="AP80" i="3" s="1"/>
  <c r="AL82" i="3"/>
  <c r="AP82" i="3" s="1"/>
  <c r="U85" i="3"/>
  <c r="L85" i="3" s="1"/>
  <c r="AL85" i="3"/>
  <c r="AP85" i="3" s="1"/>
  <c r="AL88" i="3"/>
  <c r="AP88" i="3" s="1"/>
  <c r="AL90" i="3"/>
  <c r="AP90" i="3" s="1"/>
  <c r="AL94" i="3"/>
  <c r="AP94" i="3" s="1"/>
  <c r="U95" i="3"/>
  <c r="AL95" i="3"/>
  <c r="AP95" i="3" s="1"/>
  <c r="AL96" i="3"/>
  <c r="AP96" i="3" s="1"/>
  <c r="AL99" i="3"/>
  <c r="AP99" i="3" s="1"/>
  <c r="U104" i="3"/>
  <c r="L104" i="3" s="1"/>
  <c r="U27" i="3"/>
  <c r="L27" i="3" s="1"/>
  <c r="AL28" i="3"/>
  <c r="AP28" i="3" s="1"/>
  <c r="U31" i="3"/>
  <c r="L31" i="3" s="1"/>
  <c r="AG31" i="3" s="1"/>
  <c r="AK31" i="3" s="1"/>
  <c r="AO31" i="3" s="1"/>
  <c r="N111" i="3"/>
  <c r="O20" i="3"/>
  <c r="G111" i="3"/>
  <c r="G14" i="3" s="1"/>
  <c r="K50" i="3"/>
  <c r="J50" i="3"/>
  <c r="U29" i="3"/>
  <c r="L29" i="3" s="1"/>
  <c r="AG29" i="3" s="1"/>
  <c r="AK29" i="3" s="1"/>
  <c r="AO29" i="3" s="1"/>
  <c r="U40" i="3"/>
  <c r="L40" i="3" s="1"/>
  <c r="U41" i="3"/>
  <c r="U20" i="3"/>
  <c r="AL21" i="3"/>
  <c r="AP21" i="3" s="1"/>
  <c r="U35" i="3"/>
  <c r="L35" i="3" s="1"/>
  <c r="U48" i="3"/>
  <c r="L48" i="3" s="1"/>
  <c r="AG48" i="3" s="1"/>
  <c r="AK48" i="3" s="1"/>
  <c r="AO48" i="3" s="1"/>
  <c r="U52" i="3"/>
  <c r="L52" i="3" s="1"/>
  <c r="AB111" i="3"/>
  <c r="AJ111" i="3"/>
  <c r="AN20" i="3"/>
  <c r="U26" i="3"/>
  <c r="L26" i="3" s="1"/>
  <c r="U30" i="3"/>
  <c r="L30" i="3" s="1"/>
  <c r="U36" i="3"/>
  <c r="L36" i="3" s="1"/>
  <c r="U47" i="3"/>
  <c r="L47" i="3" s="1"/>
  <c r="U53" i="3"/>
  <c r="L53" i="3" s="1"/>
  <c r="K57" i="3"/>
  <c r="AL83" i="3"/>
  <c r="AP83" i="3" s="1"/>
  <c r="U90" i="3"/>
  <c r="L90" i="3" s="1"/>
  <c r="AG90" i="3" s="1"/>
  <c r="Q111" i="3"/>
  <c r="U59" i="3"/>
  <c r="AL67" i="3"/>
  <c r="AP67" i="3" s="1"/>
  <c r="AL79" i="3"/>
  <c r="AP79" i="3" s="1"/>
  <c r="U96" i="3"/>
  <c r="L96" i="3" s="1"/>
  <c r="K71" i="3"/>
  <c r="J71" i="3"/>
  <c r="AL20" i="3"/>
  <c r="U62" i="3"/>
  <c r="L62" i="3" s="1"/>
  <c r="AL75" i="3"/>
  <c r="AP75" i="3" s="1"/>
  <c r="U92" i="3"/>
  <c r="L92" i="3" s="1"/>
  <c r="U65" i="3"/>
  <c r="L65" i="3" s="1"/>
  <c r="AG65" i="3" s="1"/>
  <c r="AK65" i="3" s="1"/>
  <c r="AO65" i="3" s="1"/>
  <c r="U69" i="3"/>
  <c r="L69" i="3" s="1"/>
  <c r="K75" i="3"/>
  <c r="K95" i="3"/>
  <c r="U102" i="3"/>
  <c r="L102" i="3" s="1"/>
  <c r="AL103" i="3"/>
  <c r="AP103" i="3" s="1"/>
  <c r="AL104" i="3"/>
  <c r="AP104" i="3" s="1"/>
  <c r="U100" i="3"/>
  <c r="L100" i="3" s="1"/>
  <c r="U105" i="3"/>
  <c r="L105" i="3" s="1"/>
  <c r="AL100" i="3"/>
  <c r="AP100" i="3" s="1"/>
  <c r="H43" i="2"/>
  <c r="F15" i="2" s="1"/>
  <c r="I15" i="2" s="1"/>
  <c r="L43" i="2"/>
  <c r="F18" i="2" s="1"/>
  <c r="I18" i="2" s="1"/>
  <c r="J43" i="2"/>
  <c r="F6" i="2" s="1"/>
  <c r="I6" i="2" s="1"/>
  <c r="I43" i="2"/>
  <c r="F9" i="2" s="1"/>
  <c r="I9" i="2" s="1"/>
  <c r="I23" i="2"/>
  <c r="I8" i="2"/>
  <c r="D20" i="2"/>
  <c r="G20" i="2"/>
  <c r="I17" i="2"/>
  <c r="G43" i="2"/>
  <c r="F12" i="2" s="1"/>
  <c r="I12" i="2" s="1"/>
  <c r="K43" i="2"/>
  <c r="F7" i="2" s="1"/>
  <c r="M35" i="2"/>
  <c r="I24" i="2"/>
  <c r="AG64" i="3" l="1"/>
  <c r="AI64" i="3"/>
  <c r="AM64" i="3" s="1"/>
  <c r="AG63" i="3"/>
  <c r="AI63" i="3"/>
  <c r="AM63" i="3" s="1"/>
  <c r="AG60" i="3"/>
  <c r="AI60" i="3"/>
  <c r="AM60" i="3" s="1"/>
  <c r="AG58" i="3"/>
  <c r="AI58" i="3"/>
  <c r="AM58" i="3" s="1"/>
  <c r="AI57" i="3"/>
  <c r="AM57" i="3" s="1"/>
  <c r="L87" i="3"/>
  <c r="AG87" i="3" s="1"/>
  <c r="AK87" i="3" s="1"/>
  <c r="AO87" i="3" s="1"/>
  <c r="AG47" i="3"/>
  <c r="AI47" i="3"/>
  <c r="AM47" i="3" s="1"/>
  <c r="AG46" i="3"/>
  <c r="AI46" i="3"/>
  <c r="AM46" i="3" s="1"/>
  <c r="AG45" i="3"/>
  <c r="AI45" i="3"/>
  <c r="AM45" i="3" s="1"/>
  <c r="AG44" i="3"/>
  <c r="AI44" i="3"/>
  <c r="AM44" i="3" s="1"/>
  <c r="AG42" i="3"/>
  <c r="AI42" i="3"/>
  <c r="AM42" i="3" s="1"/>
  <c r="L295" i="3"/>
  <c r="AG295" i="3" s="1"/>
  <c r="AK295" i="3" s="1"/>
  <c r="AO295" i="3" s="1"/>
  <c r="AG35" i="3"/>
  <c r="AI35" i="3"/>
  <c r="AM35" i="3" s="1"/>
  <c r="L181" i="3"/>
  <c r="AG181" i="3" s="1"/>
  <c r="AK181" i="3" s="1"/>
  <c r="AO181" i="3" s="1"/>
  <c r="O332" i="3"/>
  <c r="L237" i="3"/>
  <c r="AG237" i="3" s="1"/>
  <c r="AK237" i="3" s="1"/>
  <c r="AO237" i="3" s="1"/>
  <c r="U210" i="3"/>
  <c r="R210" i="3"/>
  <c r="L276" i="3"/>
  <c r="AI276" i="3" s="1"/>
  <c r="AM276" i="3" s="1"/>
  <c r="U332" i="3"/>
  <c r="L270" i="3"/>
  <c r="AI270" i="3" s="1"/>
  <c r="AM270" i="3" s="1"/>
  <c r="L279" i="3"/>
  <c r="AI279" i="3" s="1"/>
  <c r="AM279" i="3" s="1"/>
  <c r="L319" i="3"/>
  <c r="AG319" i="3" s="1"/>
  <c r="L260" i="3"/>
  <c r="AG260" i="3" s="1"/>
  <c r="AK260" i="3" s="1"/>
  <c r="AO260" i="3" s="1"/>
  <c r="O210" i="3"/>
  <c r="H173" i="4"/>
  <c r="H231" i="4"/>
  <c r="I231" i="4"/>
  <c r="D4" i="1"/>
  <c r="D9" i="1" s="1"/>
  <c r="I134" i="4"/>
  <c r="H134" i="4"/>
  <c r="H159" i="4"/>
  <c r="L283" i="3"/>
  <c r="AG283" i="3" s="1"/>
  <c r="AK283" i="3" s="1"/>
  <c r="AO283" i="3" s="1"/>
  <c r="L205" i="3"/>
  <c r="AJ205" i="3" s="1"/>
  <c r="L272" i="3"/>
  <c r="AI272" i="3" s="1"/>
  <c r="AM272" i="3" s="1"/>
  <c r="L241" i="3"/>
  <c r="AG241" i="3" s="1"/>
  <c r="AK241" i="3" s="1"/>
  <c r="AO241" i="3" s="1"/>
  <c r="E9" i="1"/>
  <c r="L299" i="3"/>
  <c r="AG299" i="3" s="1"/>
  <c r="AK299" i="3" s="1"/>
  <c r="AO299" i="3" s="1"/>
  <c r="L185" i="3"/>
  <c r="AI185" i="3" s="1"/>
  <c r="AM185" i="3" s="1"/>
  <c r="L318" i="3"/>
  <c r="AI318" i="3" s="1"/>
  <c r="AM318" i="3" s="1"/>
  <c r="L242" i="3"/>
  <c r="AG242" i="3" s="1"/>
  <c r="AK242" i="3" s="1"/>
  <c r="AO242" i="3" s="1"/>
  <c r="I209" i="4"/>
  <c r="H189" i="4"/>
  <c r="I201" i="4"/>
  <c r="H185" i="4"/>
  <c r="I205" i="4"/>
  <c r="H155" i="4"/>
  <c r="H220" i="4"/>
  <c r="H147" i="4"/>
  <c r="H210" i="4"/>
  <c r="AF23" i="4"/>
  <c r="AE23" i="4"/>
  <c r="H181" i="4"/>
  <c r="H197" i="4"/>
  <c r="H218" i="4"/>
  <c r="H167" i="4"/>
  <c r="H151" i="4"/>
  <c r="AJ60" i="4"/>
  <c r="AJ64" i="4" s="1"/>
  <c r="H124" i="4"/>
  <c r="H219" i="4"/>
  <c r="AH38" i="4"/>
  <c r="Q26" i="4" s="1"/>
  <c r="H128" i="4"/>
  <c r="H171" i="4"/>
  <c r="I193" i="4"/>
  <c r="I178" i="4"/>
  <c r="H178" i="4"/>
  <c r="I192" i="4"/>
  <c r="H192" i="4"/>
  <c r="I206" i="4"/>
  <c r="H206" i="4"/>
  <c r="I180" i="4"/>
  <c r="H180" i="4"/>
  <c r="H191" i="4"/>
  <c r="I191" i="4"/>
  <c r="H217" i="4"/>
  <c r="H202" i="4"/>
  <c r="I202" i="4"/>
  <c r="I186" i="4"/>
  <c r="H186" i="4"/>
  <c r="H199" i="4"/>
  <c r="I199" i="4"/>
  <c r="H187" i="4"/>
  <c r="I187" i="4"/>
  <c r="I200" i="4"/>
  <c r="H200" i="4"/>
  <c r="I188" i="4"/>
  <c r="H188" i="4"/>
  <c r="H194" i="4"/>
  <c r="I194" i="4"/>
  <c r="I196" i="4"/>
  <c r="H196" i="4"/>
  <c r="H203" i="4"/>
  <c r="I203" i="4"/>
  <c r="H179" i="4"/>
  <c r="I179" i="4"/>
  <c r="I208" i="4"/>
  <c r="H208" i="4"/>
  <c r="I184" i="4"/>
  <c r="H184" i="4"/>
  <c r="I190" i="4"/>
  <c r="H190" i="4"/>
  <c r="H135" i="4"/>
  <c r="I198" i="4"/>
  <c r="H198" i="4"/>
  <c r="I182" i="4"/>
  <c r="H182" i="4"/>
  <c r="I204" i="4"/>
  <c r="H204" i="4"/>
  <c r="H207" i="4"/>
  <c r="I207" i="4"/>
  <c r="H195" i="4"/>
  <c r="I195" i="4"/>
  <c r="H183" i="4"/>
  <c r="I183" i="4"/>
  <c r="I146" i="4"/>
  <c r="H146" i="4"/>
  <c r="H160" i="4"/>
  <c r="I160" i="4"/>
  <c r="H144" i="4"/>
  <c r="I144" i="4"/>
  <c r="H161" i="4"/>
  <c r="I161" i="4"/>
  <c r="H145" i="4"/>
  <c r="I145" i="4"/>
  <c r="H164" i="4"/>
  <c r="I164" i="4"/>
  <c r="I170" i="4"/>
  <c r="H170" i="4"/>
  <c r="I154" i="4"/>
  <c r="H154" i="4"/>
  <c r="H130" i="4"/>
  <c r="I172" i="4"/>
  <c r="H172" i="4"/>
  <c r="H156" i="4"/>
  <c r="I156" i="4"/>
  <c r="H140" i="4"/>
  <c r="I140" i="4"/>
  <c r="H157" i="4"/>
  <c r="I157" i="4"/>
  <c r="H141" i="4"/>
  <c r="I141" i="4"/>
  <c r="I166" i="4"/>
  <c r="H166" i="4"/>
  <c r="I158" i="4"/>
  <c r="H158" i="4"/>
  <c r="I150" i="4"/>
  <c r="H150" i="4"/>
  <c r="I142" i="4"/>
  <c r="H142" i="4"/>
  <c r="H148" i="4"/>
  <c r="I148" i="4"/>
  <c r="H165" i="4"/>
  <c r="I165" i="4"/>
  <c r="H149" i="4"/>
  <c r="I149" i="4"/>
  <c r="I162" i="4"/>
  <c r="H162" i="4"/>
  <c r="H227" i="4"/>
  <c r="H168" i="4"/>
  <c r="I168" i="4"/>
  <c r="H152" i="4"/>
  <c r="I152" i="4"/>
  <c r="H169" i="4"/>
  <c r="I169" i="4"/>
  <c r="H153" i="4"/>
  <c r="I153" i="4"/>
  <c r="H221" i="4"/>
  <c r="AH44" i="4"/>
  <c r="W26" i="4" s="1"/>
  <c r="H216" i="4"/>
  <c r="V64" i="4"/>
  <c r="J25" i="4" s="1"/>
  <c r="H131" i="4"/>
  <c r="I131" i="4"/>
  <c r="H132" i="4"/>
  <c r="I132" i="4"/>
  <c r="I133" i="4"/>
  <c r="H133" i="4"/>
  <c r="I129" i="4"/>
  <c r="H129" i="4"/>
  <c r="H122" i="4"/>
  <c r="I122" i="4"/>
  <c r="X59" i="4"/>
  <c r="I125" i="4"/>
  <c r="H125" i="4"/>
  <c r="I127" i="4"/>
  <c r="H127" i="4"/>
  <c r="I123" i="4"/>
  <c r="H123" i="4"/>
  <c r="S70" i="4"/>
  <c r="H126" i="4"/>
  <c r="I126" i="4"/>
  <c r="W64" i="4"/>
  <c r="K25" i="4" s="1"/>
  <c r="AJ68" i="4"/>
  <c r="H226" i="4"/>
  <c r="AG70" i="4"/>
  <c r="H64" i="4"/>
  <c r="M56" i="4"/>
  <c r="T64" i="4"/>
  <c r="H25" i="4" s="1"/>
  <c r="X43" i="4"/>
  <c r="AF41" i="4"/>
  <c r="AF44" i="4" s="1"/>
  <c r="U26" i="4" s="1"/>
  <c r="AG38" i="4"/>
  <c r="P26" i="4" s="1"/>
  <c r="I230" i="4"/>
  <c r="W44" i="4"/>
  <c r="W25" i="4" s="1"/>
  <c r="AI53" i="4"/>
  <c r="AM70" i="4"/>
  <c r="V38" i="4"/>
  <c r="P25" i="4" s="1"/>
  <c r="AI68" i="4"/>
  <c r="W70" i="4"/>
  <c r="X54" i="4"/>
  <c r="V70" i="4"/>
  <c r="X24" i="4"/>
  <c r="X52" i="4"/>
  <c r="AH70" i="4"/>
  <c r="AG43" i="4"/>
  <c r="AI43" i="4" s="1"/>
  <c r="H121" i="4"/>
  <c r="AJ67" i="4"/>
  <c r="Y70" i="4"/>
  <c r="AH64" i="4"/>
  <c r="K26" i="4" s="1"/>
  <c r="U56" i="4"/>
  <c r="E25" i="4" s="1"/>
  <c r="N56" i="4"/>
  <c r="AJ43" i="4"/>
  <c r="W38" i="4"/>
  <c r="Q25" i="4" s="1"/>
  <c r="X42" i="4"/>
  <c r="W56" i="4"/>
  <c r="G25" i="4" s="1"/>
  <c r="AM56" i="4"/>
  <c r="AI51" i="4"/>
  <c r="Y56" i="4"/>
  <c r="R38" i="4"/>
  <c r="Z70" i="4"/>
  <c r="AH56" i="4"/>
  <c r="G26" i="4" s="1"/>
  <c r="N44" i="4"/>
  <c r="AG64" i="4"/>
  <c r="J26" i="4" s="1"/>
  <c r="M64" i="4"/>
  <c r="AF64" i="4"/>
  <c r="I26" i="4" s="1"/>
  <c r="AF35" i="4"/>
  <c r="AF38" i="4" s="1"/>
  <c r="O26" i="4" s="1"/>
  <c r="Z64" i="4"/>
  <c r="L75" i="4"/>
  <c r="X68" i="4"/>
  <c r="AI50" i="4"/>
  <c r="L24" i="4"/>
  <c r="L175" i="3"/>
  <c r="AG175" i="3" s="1"/>
  <c r="AK175" i="3" s="1"/>
  <c r="AO175" i="3" s="1"/>
  <c r="M24" i="4"/>
  <c r="H120" i="4"/>
  <c r="AI59" i="4"/>
  <c r="AE64" i="4"/>
  <c r="H26" i="4" s="1"/>
  <c r="C24" i="4"/>
  <c r="H113" i="4"/>
  <c r="X67" i="4"/>
  <c r="T44" i="4"/>
  <c r="T25" i="4" s="1"/>
  <c r="H112" i="4"/>
  <c r="AF70" i="4"/>
  <c r="AM64" i="4"/>
  <c r="H103" i="4"/>
  <c r="H119" i="4"/>
  <c r="X61" i="4"/>
  <c r="AG56" i="4"/>
  <c r="F26" i="4" s="1"/>
  <c r="U38" i="4"/>
  <c r="AD56" i="4"/>
  <c r="C26" i="4" s="1"/>
  <c r="X35" i="4"/>
  <c r="J38" i="4"/>
  <c r="M35" i="4"/>
  <c r="M38" i="4" s="1"/>
  <c r="S35" i="4"/>
  <c r="S38" i="4" s="1"/>
  <c r="H118" i="4"/>
  <c r="T56" i="4"/>
  <c r="D25" i="4" s="1"/>
  <c r="X49" i="4"/>
  <c r="H115" i="4"/>
  <c r="V56" i="4"/>
  <c r="F25" i="4" s="1"/>
  <c r="I75" i="4"/>
  <c r="N24" i="4"/>
  <c r="H116" i="4"/>
  <c r="H106" i="4"/>
  <c r="H109" i="4"/>
  <c r="H105" i="4"/>
  <c r="T70" i="4"/>
  <c r="X66" i="4"/>
  <c r="AD64" i="4"/>
  <c r="H117" i="4"/>
  <c r="H107" i="4"/>
  <c r="AI60" i="4"/>
  <c r="AD70" i="4"/>
  <c r="U64" i="4"/>
  <c r="I25" i="4" s="1"/>
  <c r="S56" i="4"/>
  <c r="C25" i="4" s="1"/>
  <c r="X50" i="4"/>
  <c r="V44" i="4"/>
  <c r="V25" i="4" s="1"/>
  <c r="X51" i="4"/>
  <c r="AF56" i="4"/>
  <c r="E26" i="4" s="1"/>
  <c r="AI61" i="4"/>
  <c r="AM35" i="4"/>
  <c r="AM38" i="4" s="1"/>
  <c r="AL38" i="4"/>
  <c r="N38" i="4"/>
  <c r="U41" i="4"/>
  <c r="U44" i="4" s="1"/>
  <c r="U25" i="4" s="1"/>
  <c r="R44" i="4"/>
  <c r="Y41" i="4"/>
  <c r="M41" i="4"/>
  <c r="M44" i="4" s="1"/>
  <c r="M66" i="4"/>
  <c r="M70" i="4" s="1"/>
  <c r="U70" i="4"/>
  <c r="H114" i="4"/>
  <c r="H108" i="4"/>
  <c r="AI58" i="4"/>
  <c r="AE56" i="4"/>
  <c r="D26" i="4" s="1"/>
  <c r="AI49" i="4"/>
  <c r="Y42" i="4"/>
  <c r="S42" i="4"/>
  <c r="H229" i="4"/>
  <c r="I229" i="4"/>
  <c r="I232" i="4" s="1"/>
  <c r="H104" i="4"/>
  <c r="H102" i="4"/>
  <c r="AI67" i="4"/>
  <c r="X60" i="4"/>
  <c r="AI54" i="4"/>
  <c r="H110" i="4"/>
  <c r="H111" i="4"/>
  <c r="AE70" i="4"/>
  <c r="AI66" i="4"/>
  <c r="Y64" i="4"/>
  <c r="X53" i="4"/>
  <c r="H44" i="4"/>
  <c r="S24" i="4" s="1"/>
  <c r="S64" i="4"/>
  <c r="AI52" i="4"/>
  <c r="AJ56" i="4"/>
  <c r="AC36" i="4"/>
  <c r="Y36" i="4"/>
  <c r="K75" i="4"/>
  <c r="Z44" i="4"/>
  <c r="AD41" i="4"/>
  <c r="T36" i="4"/>
  <c r="X36" i="4" s="1"/>
  <c r="AD35" i="4"/>
  <c r="Z38" i="4"/>
  <c r="S43" i="4"/>
  <c r="Y43" i="4"/>
  <c r="AD42" i="4"/>
  <c r="AE42" i="4"/>
  <c r="AI42" i="4" s="1"/>
  <c r="AJ42" i="4"/>
  <c r="X58" i="4"/>
  <c r="AL44" i="4"/>
  <c r="AM41" i="4"/>
  <c r="AM44" i="4" s="1"/>
  <c r="Y35" i="4"/>
  <c r="L187" i="3"/>
  <c r="AG187" i="3" s="1"/>
  <c r="AK187" i="3" s="1"/>
  <c r="AO187" i="3" s="1"/>
  <c r="L293" i="3"/>
  <c r="AG293" i="3" s="1"/>
  <c r="AK293" i="3" s="1"/>
  <c r="AO293" i="3" s="1"/>
  <c r="L289" i="3"/>
  <c r="AG289" i="3" s="1"/>
  <c r="AK289" i="3" s="1"/>
  <c r="AO289" i="3" s="1"/>
  <c r="AG321" i="3"/>
  <c r="AI321" i="3"/>
  <c r="AM321" i="3" s="1"/>
  <c r="L282" i="3"/>
  <c r="AG282" i="3" s="1"/>
  <c r="AK282" i="3" s="1"/>
  <c r="AO282" i="3" s="1"/>
  <c r="L218" i="3"/>
  <c r="AG218" i="3" s="1"/>
  <c r="AK218" i="3" s="1"/>
  <c r="AO218" i="3" s="1"/>
  <c r="L216" i="3"/>
  <c r="AI216" i="3" s="1"/>
  <c r="AM216" i="3" s="1"/>
  <c r="AG317" i="3"/>
  <c r="AI317" i="3"/>
  <c r="AM317" i="3" s="1"/>
  <c r="L316" i="3"/>
  <c r="AG315" i="3"/>
  <c r="AI315" i="3"/>
  <c r="AM315" i="3" s="1"/>
  <c r="AG314" i="3"/>
  <c r="AI314" i="3"/>
  <c r="AM314" i="3" s="1"/>
  <c r="AG313" i="3"/>
  <c r="AI313" i="3"/>
  <c r="AM313" i="3" s="1"/>
  <c r="AG312" i="3"/>
  <c r="AK312" i="3" s="1"/>
  <c r="AO312" i="3" s="1"/>
  <c r="L311" i="3"/>
  <c r="AP311" i="3"/>
  <c r="L305" i="3"/>
  <c r="AI305" i="3" s="1"/>
  <c r="AM305" i="3" s="1"/>
  <c r="L303" i="3"/>
  <c r="AJ303" i="3" s="1"/>
  <c r="AN303" i="3" s="1"/>
  <c r="AG303" i="3"/>
  <c r="AK303" i="3" s="1"/>
  <c r="AO303" i="3" s="1"/>
  <c r="AG245" i="3"/>
  <c r="AK245" i="3" s="1"/>
  <c r="AO245" i="3" s="1"/>
  <c r="AG284" i="3"/>
  <c r="AI284" i="3"/>
  <c r="AM284" i="3" s="1"/>
  <c r="AG276" i="3"/>
  <c r="AG258" i="3"/>
  <c r="AI258" i="3"/>
  <c r="AM258" i="3" s="1"/>
  <c r="L261" i="3"/>
  <c r="AG261" i="3" s="1"/>
  <c r="AK261" i="3" s="1"/>
  <c r="AO261" i="3" s="1"/>
  <c r="L290" i="3"/>
  <c r="AG290" i="3" s="1"/>
  <c r="AK290" i="3" s="1"/>
  <c r="AO290" i="3" s="1"/>
  <c r="AG239" i="3"/>
  <c r="AI239" i="3"/>
  <c r="AM239" i="3" s="1"/>
  <c r="AG285" i="3"/>
  <c r="AK285" i="3" s="1"/>
  <c r="AO285" i="3" s="1"/>
  <c r="AI249" i="3"/>
  <c r="AM249" i="3" s="1"/>
  <c r="AI301" i="3"/>
  <c r="AM301" i="3" s="1"/>
  <c r="AI259" i="3"/>
  <c r="AM259" i="3" s="1"/>
  <c r="AI233" i="3"/>
  <c r="AM233" i="3" s="1"/>
  <c r="AG234" i="3"/>
  <c r="AI234" i="3"/>
  <c r="AM234" i="3" s="1"/>
  <c r="AH305" i="3"/>
  <c r="AJ305" i="3"/>
  <c r="AN305" i="3" s="1"/>
  <c r="L267" i="3"/>
  <c r="AI267" i="3" s="1"/>
  <c r="AM267" i="3" s="1"/>
  <c r="AI255" i="3"/>
  <c r="AM255" i="3" s="1"/>
  <c r="L286" i="3"/>
  <c r="AG286" i="3" s="1"/>
  <c r="AK286" i="3" s="1"/>
  <c r="AO286" i="3" s="1"/>
  <c r="AI231" i="3"/>
  <c r="AM231" i="3" s="1"/>
  <c r="AG268" i="3"/>
  <c r="AK268" i="3" s="1"/>
  <c r="AO268" i="3" s="1"/>
  <c r="AI235" i="3"/>
  <c r="AM235" i="3" s="1"/>
  <c r="L281" i="3"/>
  <c r="AG281" i="3" s="1"/>
  <c r="AK281" i="3" s="1"/>
  <c r="AO281" i="3" s="1"/>
  <c r="L224" i="3"/>
  <c r="L263" i="3"/>
  <c r="AG263" i="3" s="1"/>
  <c r="AK263" i="3" s="1"/>
  <c r="AO263" i="3" s="1"/>
  <c r="AI246" i="3"/>
  <c r="AM246" i="3" s="1"/>
  <c r="AG248" i="3"/>
  <c r="AK248" i="3" s="1"/>
  <c r="AO248" i="3" s="1"/>
  <c r="AI230" i="3"/>
  <c r="AM230" i="3" s="1"/>
  <c r="AG288" i="3"/>
  <c r="AI288" i="3"/>
  <c r="AM288" i="3" s="1"/>
  <c r="AI269" i="3"/>
  <c r="AM269" i="3" s="1"/>
  <c r="AG269" i="3"/>
  <c r="AI256" i="3"/>
  <c r="AM256" i="3" s="1"/>
  <c r="AG256" i="3"/>
  <c r="AI257" i="3"/>
  <c r="AM257" i="3" s="1"/>
  <c r="AG257" i="3"/>
  <c r="AG243" i="3"/>
  <c r="AI243" i="3"/>
  <c r="AM243" i="3" s="1"/>
  <c r="AI280" i="3"/>
  <c r="AM280" i="3" s="1"/>
  <c r="AG280" i="3"/>
  <c r="AI253" i="3"/>
  <c r="AM253" i="3" s="1"/>
  <c r="AG253" i="3"/>
  <c r="AI227" i="3"/>
  <c r="AM227" i="3" s="1"/>
  <c r="AG227" i="3"/>
  <c r="AI232" i="3"/>
  <c r="AM232" i="3" s="1"/>
  <c r="AG232" i="3"/>
  <c r="AG304" i="3"/>
  <c r="AI304" i="3"/>
  <c r="AM304" i="3" s="1"/>
  <c r="AI228" i="3"/>
  <c r="AM228" i="3" s="1"/>
  <c r="AG228" i="3"/>
  <c r="AI236" i="3"/>
  <c r="AM236" i="3" s="1"/>
  <c r="AG236" i="3"/>
  <c r="AP215" i="3"/>
  <c r="O306" i="3"/>
  <c r="L215" i="3"/>
  <c r="L247" i="3"/>
  <c r="R306" i="3"/>
  <c r="AI222" i="3"/>
  <c r="AM222" i="3" s="1"/>
  <c r="U306" i="3"/>
  <c r="L278" i="3"/>
  <c r="AG278" i="3" s="1"/>
  <c r="AK278" i="3" s="1"/>
  <c r="AO278" i="3" s="1"/>
  <c r="AG223" i="3"/>
  <c r="AK223" i="3" s="1"/>
  <c r="AO223" i="3" s="1"/>
  <c r="AG302" i="3"/>
  <c r="AK302" i="3" s="1"/>
  <c r="AO302" i="3" s="1"/>
  <c r="AG271" i="3"/>
  <c r="AK271" i="3" s="1"/>
  <c r="AO271" i="3" s="1"/>
  <c r="L195" i="3"/>
  <c r="AG195" i="3" s="1"/>
  <c r="AK195" i="3" s="1"/>
  <c r="AO195" i="3" s="1"/>
  <c r="L203" i="3"/>
  <c r="AG203" i="3" s="1"/>
  <c r="AK203" i="3" s="1"/>
  <c r="AO203" i="3" s="1"/>
  <c r="L162" i="3"/>
  <c r="AG162" i="3" s="1"/>
  <c r="AK162" i="3" s="1"/>
  <c r="AO162" i="3" s="1"/>
  <c r="AG180" i="3"/>
  <c r="AI180" i="3"/>
  <c r="AM180" i="3" s="1"/>
  <c r="AG153" i="3"/>
  <c r="AI153" i="3"/>
  <c r="AM153" i="3" s="1"/>
  <c r="AG143" i="3"/>
  <c r="AI143" i="3"/>
  <c r="AM143" i="3" s="1"/>
  <c r="AG159" i="3"/>
  <c r="AI159" i="3"/>
  <c r="AM159" i="3" s="1"/>
  <c r="AG157" i="3"/>
  <c r="AI157" i="3"/>
  <c r="AM157" i="3" s="1"/>
  <c r="AG156" i="3"/>
  <c r="AI156" i="3"/>
  <c r="AM156" i="3" s="1"/>
  <c r="AG155" i="3"/>
  <c r="AI155" i="3"/>
  <c r="AM155" i="3" s="1"/>
  <c r="AG188" i="3"/>
  <c r="AI188" i="3"/>
  <c r="AM188" i="3" s="1"/>
  <c r="AI132" i="3"/>
  <c r="AM132" i="3" s="1"/>
  <c r="L97" i="3"/>
  <c r="AG97" i="3" s="1"/>
  <c r="AK97" i="3" s="1"/>
  <c r="AO97" i="3" s="1"/>
  <c r="L173" i="3"/>
  <c r="AG173" i="3" s="1"/>
  <c r="AK173" i="3" s="1"/>
  <c r="AO173" i="3" s="1"/>
  <c r="AG39" i="3"/>
  <c r="AI39" i="3"/>
  <c r="AM39" i="3" s="1"/>
  <c r="L124" i="3"/>
  <c r="AI124" i="3" s="1"/>
  <c r="AM124" i="3" s="1"/>
  <c r="L158" i="3"/>
  <c r="AG158" i="3" s="1"/>
  <c r="AK158" i="3" s="1"/>
  <c r="AO158" i="3" s="1"/>
  <c r="AI131" i="3"/>
  <c r="AM131" i="3" s="1"/>
  <c r="L193" i="3"/>
  <c r="AG193" i="3" s="1"/>
  <c r="AK193" i="3" s="1"/>
  <c r="AO193" i="3" s="1"/>
  <c r="L151" i="3"/>
  <c r="AG151" i="3" s="1"/>
  <c r="AK151" i="3" s="1"/>
  <c r="AO151" i="3" s="1"/>
  <c r="L198" i="3"/>
  <c r="AG198" i="3" s="1"/>
  <c r="AK198" i="3" s="1"/>
  <c r="AO198" i="3" s="1"/>
  <c r="L199" i="3"/>
  <c r="AG199" i="3" s="1"/>
  <c r="AK199" i="3" s="1"/>
  <c r="AO199" i="3" s="1"/>
  <c r="L163" i="3"/>
  <c r="AG163" i="3" s="1"/>
  <c r="AK163" i="3" s="1"/>
  <c r="AO163" i="3" s="1"/>
  <c r="L154" i="3"/>
  <c r="AG154" i="3" s="1"/>
  <c r="AK154" i="3" s="1"/>
  <c r="AO154" i="3" s="1"/>
  <c r="L174" i="3"/>
  <c r="AG174" i="3" s="1"/>
  <c r="AK174" i="3" s="1"/>
  <c r="AO174" i="3" s="1"/>
  <c r="L167" i="3"/>
  <c r="AG167" i="3" s="1"/>
  <c r="L142" i="3"/>
  <c r="AG142" i="3" s="1"/>
  <c r="AK142" i="3" s="1"/>
  <c r="AO142" i="3" s="1"/>
  <c r="L133" i="3"/>
  <c r="L182" i="3"/>
  <c r="AG182" i="3" s="1"/>
  <c r="AK182" i="3" s="1"/>
  <c r="AO182" i="3" s="1"/>
  <c r="AG134" i="3"/>
  <c r="AK134" i="3" s="1"/>
  <c r="AO134" i="3" s="1"/>
  <c r="AG171" i="3"/>
  <c r="AI171" i="3"/>
  <c r="AM171" i="3" s="1"/>
  <c r="AG201" i="3"/>
  <c r="AI201" i="3"/>
  <c r="AM201" i="3" s="1"/>
  <c r="L127" i="3"/>
  <c r="AG127" i="3" s="1"/>
  <c r="AK127" i="3" s="1"/>
  <c r="AO127" i="3" s="1"/>
  <c r="AG135" i="3"/>
  <c r="AI135" i="3"/>
  <c r="AM135" i="3" s="1"/>
  <c r="L93" i="3"/>
  <c r="AG93" i="3" s="1"/>
  <c r="AK93" i="3" s="1"/>
  <c r="AO93" i="3" s="1"/>
  <c r="AG30" i="3"/>
  <c r="AI30" i="3"/>
  <c r="AM30" i="3" s="1"/>
  <c r="L123" i="3"/>
  <c r="AG146" i="3"/>
  <c r="AK146" i="3" s="1"/>
  <c r="AO146" i="3" s="1"/>
  <c r="AG136" i="3"/>
  <c r="AK136" i="3" s="1"/>
  <c r="AO136" i="3" s="1"/>
  <c r="AI205" i="3"/>
  <c r="AM205" i="3" s="1"/>
  <c r="AG205" i="3"/>
  <c r="L147" i="3"/>
  <c r="AG170" i="3"/>
  <c r="AK170" i="3" s="1"/>
  <c r="AO170" i="3" s="1"/>
  <c r="AI149" i="3"/>
  <c r="AM149" i="3" s="1"/>
  <c r="AG128" i="3"/>
  <c r="AK128" i="3" s="1"/>
  <c r="AO128" i="3" s="1"/>
  <c r="AI148" i="3"/>
  <c r="AM148" i="3" s="1"/>
  <c r="AG145" i="3"/>
  <c r="AK145" i="3" s="1"/>
  <c r="AO145" i="3" s="1"/>
  <c r="AI204" i="3"/>
  <c r="AM204" i="3" s="1"/>
  <c r="AG204" i="3"/>
  <c r="AG129" i="3"/>
  <c r="AI129" i="3"/>
  <c r="AM129" i="3" s="1"/>
  <c r="AG172" i="3"/>
  <c r="AI172" i="3"/>
  <c r="AM172" i="3" s="1"/>
  <c r="AG179" i="3"/>
  <c r="AI179" i="3"/>
  <c r="AM179" i="3" s="1"/>
  <c r="AG168" i="3"/>
  <c r="AI168" i="3"/>
  <c r="AM168" i="3" s="1"/>
  <c r="AI137" i="3"/>
  <c r="AM137" i="3" s="1"/>
  <c r="AG137" i="3"/>
  <c r="AI117" i="3"/>
  <c r="AM117" i="3" s="1"/>
  <c r="AG117" i="3"/>
  <c r="AK148" i="3"/>
  <c r="AO148" i="3" s="1"/>
  <c r="AI169" i="3"/>
  <c r="AM169" i="3" s="1"/>
  <c r="L116" i="3"/>
  <c r="AG202" i="3"/>
  <c r="AK202" i="3" s="1"/>
  <c r="AO202" i="3" s="1"/>
  <c r="AP116" i="3"/>
  <c r="AG105" i="3"/>
  <c r="AI105" i="3"/>
  <c r="AM105" i="3" s="1"/>
  <c r="AG104" i="3"/>
  <c r="AI104" i="3"/>
  <c r="AM104" i="3" s="1"/>
  <c r="AG102" i="3"/>
  <c r="AI102" i="3"/>
  <c r="AM102" i="3" s="1"/>
  <c r="AG81" i="3"/>
  <c r="AI81" i="3"/>
  <c r="AM81" i="3" s="1"/>
  <c r="AG74" i="3"/>
  <c r="AI74" i="3"/>
  <c r="AM74" i="3" s="1"/>
  <c r="AG72" i="3"/>
  <c r="AI72" i="3"/>
  <c r="AM72" i="3" s="1"/>
  <c r="AG69" i="3"/>
  <c r="AI69" i="3"/>
  <c r="AM69" i="3" s="1"/>
  <c r="L101" i="3"/>
  <c r="AG101" i="3" s="1"/>
  <c r="AI51" i="3"/>
  <c r="AM51" i="3" s="1"/>
  <c r="L83" i="3"/>
  <c r="AG83" i="3" s="1"/>
  <c r="AK83" i="3" s="1"/>
  <c r="AO83" i="3" s="1"/>
  <c r="AG40" i="3"/>
  <c r="AI40" i="3"/>
  <c r="AM40" i="3" s="1"/>
  <c r="L73" i="3"/>
  <c r="AI50" i="3"/>
  <c r="AM50" i="3" s="1"/>
  <c r="AG36" i="3"/>
  <c r="AI36" i="3"/>
  <c r="AM36" i="3" s="1"/>
  <c r="AG91" i="3"/>
  <c r="AK91" i="3" s="1"/>
  <c r="AO91" i="3" s="1"/>
  <c r="L103" i="3"/>
  <c r="L95" i="3"/>
  <c r="AG95" i="3" s="1"/>
  <c r="L49" i="3"/>
  <c r="L75" i="3"/>
  <c r="AG75" i="3" s="1"/>
  <c r="AK75" i="3" s="1"/>
  <c r="AO75" i="3" s="1"/>
  <c r="L59" i="3"/>
  <c r="AG94" i="3"/>
  <c r="AK94" i="3" s="1"/>
  <c r="AO94" i="3" s="1"/>
  <c r="AG54" i="3"/>
  <c r="AK54" i="3" s="1"/>
  <c r="AO54" i="3" s="1"/>
  <c r="AI22" i="3"/>
  <c r="AM22" i="3" s="1"/>
  <c r="L98" i="3"/>
  <c r="AI85" i="3"/>
  <c r="AM85" i="3" s="1"/>
  <c r="AG85" i="3"/>
  <c r="AI92" i="3"/>
  <c r="AM92" i="3" s="1"/>
  <c r="AG92" i="3"/>
  <c r="AI21" i="3"/>
  <c r="AM21" i="3" s="1"/>
  <c r="AG21" i="3"/>
  <c r="AI62" i="3"/>
  <c r="AM62" i="3" s="1"/>
  <c r="AG62" i="3"/>
  <c r="K111" i="3"/>
  <c r="G8" i="3"/>
  <c r="AI100" i="3"/>
  <c r="AM100" i="3" s="1"/>
  <c r="AG100" i="3"/>
  <c r="AG53" i="3"/>
  <c r="AI53" i="3"/>
  <c r="AM53" i="3" s="1"/>
  <c r="AG96" i="3"/>
  <c r="AI96" i="3"/>
  <c r="AM96" i="3" s="1"/>
  <c r="AG26" i="3"/>
  <c r="AI26" i="3"/>
  <c r="AM26" i="3" s="1"/>
  <c r="AI52" i="3"/>
  <c r="AM52" i="3" s="1"/>
  <c r="AG52" i="3"/>
  <c r="AI27" i="3"/>
  <c r="AM27" i="3" s="1"/>
  <c r="AG27" i="3"/>
  <c r="O111" i="3"/>
  <c r="L20" i="3"/>
  <c r="AI90" i="3"/>
  <c r="AM90" i="3" s="1"/>
  <c r="AG56" i="3"/>
  <c r="AK56" i="3" s="1"/>
  <c r="AO56" i="3" s="1"/>
  <c r="AG99" i="3"/>
  <c r="AK99" i="3" s="1"/>
  <c r="AO99" i="3" s="1"/>
  <c r="AP20" i="3"/>
  <c r="AG66" i="3"/>
  <c r="AK66" i="3" s="1"/>
  <c r="AO66" i="3" s="1"/>
  <c r="AN111" i="3"/>
  <c r="U111" i="3"/>
  <c r="AG50" i="3"/>
  <c r="R111" i="3"/>
  <c r="AG61" i="3"/>
  <c r="AK61" i="3" s="1"/>
  <c r="AO61" i="3" s="1"/>
  <c r="AI68" i="3"/>
  <c r="AM68" i="3" s="1"/>
  <c r="L71" i="3"/>
  <c r="AG70" i="3"/>
  <c r="AK70" i="3" s="1"/>
  <c r="AO70" i="3" s="1"/>
  <c r="AG57" i="3"/>
  <c r="AK57" i="3" s="1"/>
  <c r="AO57" i="3" s="1"/>
  <c r="L41" i="3"/>
  <c r="AG28" i="3"/>
  <c r="AK28" i="3" s="1"/>
  <c r="AO28" i="3" s="1"/>
  <c r="I25" i="2"/>
  <c r="I7" i="2"/>
  <c r="F20" i="2"/>
  <c r="I20" i="2" s="1"/>
  <c r="I22" i="2"/>
  <c r="I11" i="2"/>
  <c r="AK64" i="3" l="1"/>
  <c r="AO64" i="3" s="1"/>
  <c r="AK63" i="3"/>
  <c r="AO63" i="3" s="1"/>
  <c r="AK60" i="3"/>
  <c r="AO60" i="3" s="1"/>
  <c r="AG59" i="3"/>
  <c r="AI59" i="3"/>
  <c r="AM59" i="3" s="1"/>
  <c r="AK58" i="3"/>
  <c r="AO58" i="3" s="1"/>
  <c r="AK46" i="3"/>
  <c r="AO46" i="3" s="1"/>
  <c r="AK47" i="3"/>
  <c r="AO47" i="3" s="1"/>
  <c r="AK45" i="3"/>
  <c r="AO45" i="3" s="1"/>
  <c r="AK44" i="3"/>
  <c r="AO44" i="3" s="1"/>
  <c r="AK42" i="3"/>
  <c r="AO42" i="3" s="1"/>
  <c r="AG279" i="3"/>
  <c r="AK279" i="3" s="1"/>
  <c r="AO279" i="3" s="1"/>
  <c r="AK35" i="3"/>
  <c r="AO35" i="3" s="1"/>
  <c r="AG270" i="3"/>
  <c r="AK270" i="3" s="1"/>
  <c r="AO270" i="3" s="1"/>
  <c r="AH205" i="3"/>
  <c r="AL205" i="3" s="1"/>
  <c r="AI319" i="3"/>
  <c r="AM319" i="3" s="1"/>
  <c r="H232" i="4"/>
  <c r="H174" i="4"/>
  <c r="I174" i="4"/>
  <c r="E83" i="4" s="1"/>
  <c r="L210" i="3"/>
  <c r="H11" i="3" s="1"/>
  <c r="AG185" i="3"/>
  <c r="AK185" i="3" s="1"/>
  <c r="AO185" i="3" s="1"/>
  <c r="AG272" i="3"/>
  <c r="AK272" i="3" s="1"/>
  <c r="AO272" i="3" s="1"/>
  <c r="L332" i="3"/>
  <c r="J11" i="3" s="1"/>
  <c r="AG216" i="3"/>
  <c r="AK216" i="3" s="1"/>
  <c r="AO216" i="3" s="1"/>
  <c r="AG318" i="3"/>
  <c r="AK318" i="3" s="1"/>
  <c r="AO318" i="3" s="1"/>
  <c r="I222" i="4"/>
  <c r="E85" i="4" s="1"/>
  <c r="AJ70" i="4"/>
  <c r="H222" i="4"/>
  <c r="D85" i="4" s="1"/>
  <c r="AI41" i="4"/>
  <c r="AI44" i="4" s="1"/>
  <c r="H211" i="4"/>
  <c r="D84" i="4" s="1"/>
  <c r="H74" i="4"/>
  <c r="I211" i="4"/>
  <c r="E84" i="4" s="1"/>
  <c r="I136" i="4"/>
  <c r="E82" i="4" s="1"/>
  <c r="D83" i="4"/>
  <c r="AI35" i="4"/>
  <c r="H136" i="4"/>
  <c r="D82" i="4" s="1"/>
  <c r="AG44" i="4"/>
  <c r="V26" i="4" s="1"/>
  <c r="AH75" i="4"/>
  <c r="Y38" i="4"/>
  <c r="AJ44" i="4"/>
  <c r="S44" i="4"/>
  <c r="S25" i="4" s="1"/>
  <c r="AD44" i="4"/>
  <c r="S26" i="4" s="1"/>
  <c r="L25" i="4"/>
  <c r="V75" i="4"/>
  <c r="AF75" i="4"/>
  <c r="W75" i="4"/>
  <c r="L26" i="4"/>
  <c r="AI64" i="4"/>
  <c r="Y44" i="4"/>
  <c r="X70" i="4"/>
  <c r="U75" i="4"/>
  <c r="O25" i="4"/>
  <c r="AI70" i="4"/>
  <c r="AA25" i="4"/>
  <c r="AD25" i="4" s="1"/>
  <c r="X56" i="4"/>
  <c r="X38" i="4"/>
  <c r="AE44" i="4"/>
  <c r="T26" i="4" s="1"/>
  <c r="AJ36" i="4"/>
  <c r="AJ38" i="4" s="1"/>
  <c r="AC38" i="4"/>
  <c r="AD36" i="4"/>
  <c r="AD38" i="4" s="1"/>
  <c r="AE36" i="4"/>
  <c r="AI56" i="4"/>
  <c r="S74" i="4"/>
  <c r="M25" i="4"/>
  <c r="T38" i="4"/>
  <c r="X41" i="4"/>
  <c r="X44" i="4" s="1"/>
  <c r="J75" i="4"/>
  <c r="O24" i="4"/>
  <c r="R24" i="4" s="1"/>
  <c r="X64" i="4"/>
  <c r="X25" i="4"/>
  <c r="AG75" i="4"/>
  <c r="AK321" i="3"/>
  <c r="AO321" i="3" s="1"/>
  <c r="AK233" i="3"/>
  <c r="AO233" i="3" s="1"/>
  <c r="AK249" i="3"/>
  <c r="AO249" i="3" s="1"/>
  <c r="AK317" i="3"/>
  <c r="AO317" i="3" s="1"/>
  <c r="AG316" i="3"/>
  <c r="AI316" i="3"/>
  <c r="AM316" i="3" s="1"/>
  <c r="AK315" i="3"/>
  <c r="AO315" i="3" s="1"/>
  <c r="AK314" i="3"/>
  <c r="AO314" i="3" s="1"/>
  <c r="AK313" i="3"/>
  <c r="AO313" i="3" s="1"/>
  <c r="AN306" i="3"/>
  <c r="AH303" i="3"/>
  <c r="AL303" i="3" s="1"/>
  <c r="AP303" i="3" s="1"/>
  <c r="AG305" i="3"/>
  <c r="AK305" i="3" s="1"/>
  <c r="AO305" i="3" s="1"/>
  <c r="AK319" i="3"/>
  <c r="AO319" i="3" s="1"/>
  <c r="AG311" i="3"/>
  <c r="AI311" i="3"/>
  <c r="AH332" i="3"/>
  <c r="AN332" i="3"/>
  <c r="AJ332" i="3"/>
  <c r="AK284" i="3"/>
  <c r="AO284" i="3" s="1"/>
  <c r="AK276" i="3"/>
  <c r="AO276" i="3" s="1"/>
  <c r="AJ306" i="3"/>
  <c r="AK258" i="3"/>
  <c r="AO258" i="3" s="1"/>
  <c r="AK259" i="3"/>
  <c r="AO259" i="3" s="1"/>
  <c r="AK231" i="3"/>
  <c r="AO231" i="3" s="1"/>
  <c r="AG267" i="3"/>
  <c r="AK267" i="3" s="1"/>
  <c r="AO267" i="3" s="1"/>
  <c r="AK239" i="3"/>
  <c r="AO239" i="3" s="1"/>
  <c r="AK235" i="3"/>
  <c r="AO235" i="3" s="1"/>
  <c r="AK301" i="3"/>
  <c r="AO301" i="3" s="1"/>
  <c r="AG224" i="3"/>
  <c r="AI224" i="3"/>
  <c r="AM224" i="3" s="1"/>
  <c r="AK246" i="3"/>
  <c r="AO246" i="3" s="1"/>
  <c r="AK234" i="3"/>
  <c r="AO234" i="3" s="1"/>
  <c r="AK255" i="3"/>
  <c r="AO255" i="3" s="1"/>
  <c r="AL305" i="3"/>
  <c r="AK236" i="3"/>
  <c r="AO236" i="3" s="1"/>
  <c r="AK230" i="3"/>
  <c r="AO230" i="3" s="1"/>
  <c r="AK257" i="3"/>
  <c r="AO257" i="3" s="1"/>
  <c r="AK269" i="3"/>
  <c r="AO269" i="3" s="1"/>
  <c r="AK227" i="3"/>
  <c r="AO227" i="3" s="1"/>
  <c r="AK280" i="3"/>
  <c r="AO280" i="3" s="1"/>
  <c r="AK256" i="3"/>
  <c r="AO256" i="3" s="1"/>
  <c r="AK288" i="3"/>
  <c r="AO288" i="3" s="1"/>
  <c r="L306" i="3"/>
  <c r="I11" i="3" s="1"/>
  <c r="AI215" i="3"/>
  <c r="AG215" i="3"/>
  <c r="AK243" i="3"/>
  <c r="AO243" i="3" s="1"/>
  <c r="AK304" i="3"/>
  <c r="AO304" i="3" s="1"/>
  <c r="AG247" i="3"/>
  <c r="AI247" i="3"/>
  <c r="AM247" i="3" s="1"/>
  <c r="AK228" i="3"/>
  <c r="AO228" i="3" s="1"/>
  <c r="AK232" i="3"/>
  <c r="AO232" i="3" s="1"/>
  <c r="AK253" i="3"/>
  <c r="AO253" i="3" s="1"/>
  <c r="AK222" i="3"/>
  <c r="AO222" i="3" s="1"/>
  <c r="AN205" i="3"/>
  <c r="AN210" i="3" s="1"/>
  <c r="AJ210" i="3"/>
  <c r="AK180" i="3"/>
  <c r="AO180" i="3" s="1"/>
  <c r="AK143" i="3"/>
  <c r="AO143" i="3" s="1"/>
  <c r="AK153" i="3"/>
  <c r="AO153" i="3" s="1"/>
  <c r="AK159" i="3"/>
  <c r="AO159" i="3" s="1"/>
  <c r="AK157" i="3"/>
  <c r="AO157" i="3" s="1"/>
  <c r="AK156" i="3"/>
  <c r="AO156" i="3" s="1"/>
  <c r="AG124" i="3"/>
  <c r="AK124" i="3" s="1"/>
  <c r="AO124" i="3" s="1"/>
  <c r="AK132" i="3"/>
  <c r="AO132" i="3" s="1"/>
  <c r="AK155" i="3"/>
  <c r="AO155" i="3" s="1"/>
  <c r="AI167" i="3"/>
  <c r="AM167" i="3" s="1"/>
  <c r="AK188" i="3"/>
  <c r="AO188" i="3" s="1"/>
  <c r="AK39" i="3"/>
  <c r="AO39" i="3" s="1"/>
  <c r="AG133" i="3"/>
  <c r="AI133" i="3"/>
  <c r="AM133" i="3" s="1"/>
  <c r="AK131" i="3"/>
  <c r="AO131" i="3" s="1"/>
  <c r="AK201" i="3"/>
  <c r="AO201" i="3" s="1"/>
  <c r="AK171" i="3"/>
  <c r="AO171" i="3" s="1"/>
  <c r="AK135" i="3"/>
  <c r="AO135" i="3" s="1"/>
  <c r="AK149" i="3"/>
  <c r="AO149" i="3" s="1"/>
  <c r="AK205" i="3"/>
  <c r="AO205" i="3" s="1"/>
  <c r="AK30" i="3"/>
  <c r="AO30" i="3" s="1"/>
  <c r="AG123" i="3"/>
  <c r="AI123" i="3"/>
  <c r="AM123" i="3" s="1"/>
  <c r="AG147" i="3"/>
  <c r="AI147" i="3"/>
  <c r="AM147" i="3" s="1"/>
  <c r="AK204" i="3"/>
  <c r="AO204" i="3" s="1"/>
  <c r="AK168" i="3"/>
  <c r="AO168" i="3" s="1"/>
  <c r="AK137" i="3"/>
  <c r="AO137" i="3" s="1"/>
  <c r="AK169" i="3"/>
  <c r="AO169" i="3" s="1"/>
  <c r="AK179" i="3"/>
  <c r="AO179" i="3" s="1"/>
  <c r="AK129" i="3"/>
  <c r="AO129" i="3" s="1"/>
  <c r="AG116" i="3"/>
  <c r="AI116" i="3"/>
  <c r="AK117" i="3"/>
  <c r="AO117" i="3" s="1"/>
  <c r="AK172" i="3"/>
  <c r="AO172" i="3" s="1"/>
  <c r="AK105" i="3"/>
  <c r="AO105" i="3" s="1"/>
  <c r="AG103" i="3"/>
  <c r="AI103" i="3"/>
  <c r="AM103" i="3" s="1"/>
  <c r="AK104" i="3"/>
  <c r="AO104" i="3" s="1"/>
  <c r="AK102" i="3"/>
  <c r="AO102" i="3" s="1"/>
  <c r="AK81" i="3"/>
  <c r="AO81" i="3" s="1"/>
  <c r="AK74" i="3"/>
  <c r="AO74" i="3" s="1"/>
  <c r="AG73" i="3"/>
  <c r="AI73" i="3"/>
  <c r="AM73" i="3" s="1"/>
  <c r="AK72" i="3"/>
  <c r="AO72" i="3" s="1"/>
  <c r="AG71" i="3"/>
  <c r="AI71" i="3"/>
  <c r="AM71" i="3" s="1"/>
  <c r="AI101" i="3"/>
  <c r="AM101" i="3" s="1"/>
  <c r="AK69" i="3"/>
  <c r="AO69" i="3" s="1"/>
  <c r="AK51" i="3"/>
  <c r="AO51" i="3" s="1"/>
  <c r="AG49" i="3"/>
  <c r="AI49" i="3"/>
  <c r="AM49" i="3" s="1"/>
  <c r="AG41" i="3"/>
  <c r="AI41" i="3"/>
  <c r="AM41" i="3" s="1"/>
  <c r="AK40" i="3"/>
  <c r="AO40" i="3" s="1"/>
  <c r="AK50" i="3"/>
  <c r="AO50" i="3" s="1"/>
  <c r="AK36" i="3"/>
  <c r="AO36" i="3" s="1"/>
  <c r="AI95" i="3"/>
  <c r="AM95" i="3" s="1"/>
  <c r="AK21" i="3"/>
  <c r="AO21" i="3" s="1"/>
  <c r="AK22" i="3"/>
  <c r="AO22" i="3" s="1"/>
  <c r="AK27" i="3"/>
  <c r="AO27" i="3" s="1"/>
  <c r="AI98" i="3"/>
  <c r="AM98" i="3" s="1"/>
  <c r="AG98" i="3"/>
  <c r="AK62" i="3"/>
  <c r="AO62" i="3" s="1"/>
  <c r="AK100" i="3"/>
  <c r="AO100" i="3" s="1"/>
  <c r="AK92" i="3"/>
  <c r="AO92" i="3" s="1"/>
  <c r="AK85" i="3"/>
  <c r="AO85" i="3" s="1"/>
  <c r="AK90" i="3"/>
  <c r="AO90" i="3" s="1"/>
  <c r="L111" i="3"/>
  <c r="AI20" i="3"/>
  <c r="AG20" i="3"/>
  <c r="AH111" i="3"/>
  <c r="AK26" i="3"/>
  <c r="AO26" i="3" s="1"/>
  <c r="AK68" i="3"/>
  <c r="AO68" i="3" s="1"/>
  <c r="AK52" i="3"/>
  <c r="AO52" i="3" s="1"/>
  <c r="AK96" i="3"/>
  <c r="AO96" i="3" s="1"/>
  <c r="AK53" i="3"/>
  <c r="AO53" i="3" s="1"/>
  <c r="AK59" i="3" l="1"/>
  <c r="AO59" i="3" s="1"/>
  <c r="AH210" i="3"/>
  <c r="H248" i="4"/>
  <c r="D86" i="4"/>
  <c r="D87" i="4" s="1"/>
  <c r="I248" i="4"/>
  <c r="E86" i="4"/>
  <c r="E87" i="4" s="1"/>
  <c r="X26" i="4"/>
  <c r="AG77" i="4"/>
  <c r="AF77" i="4"/>
  <c r="AQ70" i="4"/>
  <c r="AQ64" i="4"/>
  <c r="AD74" i="4"/>
  <c r="AO74" i="4" s="1"/>
  <c r="M26" i="4"/>
  <c r="AQ56" i="4"/>
  <c r="T75" i="4"/>
  <c r="N25" i="4"/>
  <c r="R25" i="4" s="1"/>
  <c r="AI36" i="4"/>
  <c r="AI38" i="4" s="1"/>
  <c r="AE38" i="4"/>
  <c r="AK316" i="3"/>
  <c r="AO316" i="3" s="1"/>
  <c r="AH306" i="3"/>
  <c r="AP332" i="3"/>
  <c r="AL332" i="3"/>
  <c r="AI332" i="3"/>
  <c r="AM311" i="3"/>
  <c r="AM332" i="3" s="1"/>
  <c r="AG332" i="3"/>
  <c r="AK311" i="3"/>
  <c r="AK224" i="3"/>
  <c r="AO224" i="3" s="1"/>
  <c r="AP305" i="3"/>
  <c r="AP306" i="3" s="1"/>
  <c r="AL306" i="3"/>
  <c r="AG306" i="3"/>
  <c r="AK215" i="3"/>
  <c r="AK247" i="3"/>
  <c r="AO247" i="3" s="1"/>
  <c r="AI306" i="3"/>
  <c r="AM215" i="3"/>
  <c r="AM306" i="3" s="1"/>
  <c r="AP205" i="3"/>
  <c r="AP210" i="3" s="1"/>
  <c r="AL210" i="3"/>
  <c r="AK167" i="3"/>
  <c r="AO167" i="3" s="1"/>
  <c r="AK133" i="3"/>
  <c r="AO133" i="3" s="1"/>
  <c r="AK123" i="3"/>
  <c r="AO123" i="3" s="1"/>
  <c r="AK147" i="3"/>
  <c r="AO147" i="3" s="1"/>
  <c r="AI210" i="3"/>
  <c r="AM116" i="3"/>
  <c r="AM210" i="3" s="1"/>
  <c r="AG210" i="3"/>
  <c r="AK116" i="3"/>
  <c r="AK103" i="3"/>
  <c r="AO103" i="3" s="1"/>
  <c r="AK73" i="3"/>
  <c r="AO73" i="3" s="1"/>
  <c r="AK101" i="3"/>
  <c r="AO101" i="3" s="1"/>
  <c r="AK71" i="3"/>
  <c r="AO71" i="3" s="1"/>
  <c r="AK49" i="3"/>
  <c r="AO49" i="3" s="1"/>
  <c r="AK41" i="3"/>
  <c r="AO41" i="3" s="1"/>
  <c r="AK95" i="3"/>
  <c r="AO95" i="3" s="1"/>
  <c r="AK98" i="3"/>
  <c r="AO98" i="3" s="1"/>
  <c r="AP111" i="3"/>
  <c r="AL111" i="3"/>
  <c r="AG111" i="3"/>
  <c r="AK20" i="3"/>
  <c r="AI111" i="3"/>
  <c r="AM20" i="3"/>
  <c r="AM111" i="3" s="1"/>
  <c r="AE75" i="4" l="1"/>
  <c r="AO75" i="4" s="1"/>
  <c r="N26" i="4"/>
  <c r="R26" i="4" s="1"/>
  <c r="AK332" i="3"/>
  <c r="AO311" i="3"/>
  <c r="AO332" i="3" s="1"/>
  <c r="AK306" i="3"/>
  <c r="AO215" i="3"/>
  <c r="AO306" i="3" s="1"/>
  <c r="AK210" i="3"/>
  <c r="AO116" i="3"/>
  <c r="AO210" i="3" s="1"/>
  <c r="AK111" i="3"/>
  <c r="AO20" i="3"/>
  <c r="AO111" i="3" s="1"/>
  <c r="AE77" i="4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Jashwanth A</author>
  </authors>
  <commentList>
    <comment ref="G16" authorId="0" shapeId="0" xr:uid="{D5596DE6-EB02-45B4-AE5A-E597AA9928F9}">
      <text>
        <r>
          <rPr>
            <b/>
            <sz val="9"/>
            <color indexed="81"/>
            <rFont val="Tahoma"/>
            <family val="2"/>
          </rPr>
          <t>Jashwanth A: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Dhanya P</author>
    <author>vijayalakshmi.s</author>
    <author>Smitha Prasanth</author>
  </authors>
  <commentList>
    <comment ref="C11" authorId="0" shapeId="0" xr:uid="{2E29B4F7-F131-40DC-9BD3-625A8B2E4646}">
      <text>
        <r>
          <rPr>
            <b/>
            <sz val="9"/>
            <color indexed="81"/>
            <rFont val="Tahoma"/>
            <family val="2"/>
          </rPr>
          <t>Dhanya P:Podium</t>
        </r>
        <r>
          <rPr>
            <sz val="9"/>
            <color indexed="81"/>
            <rFont val="Tahoma"/>
            <family val="2"/>
          </rPr>
          <t xml:space="preserve">
Avg Beam depth in podium and tower</t>
        </r>
      </text>
    </comment>
    <comment ref="E11" authorId="1" shapeId="0" xr:uid="{B8941C1B-4551-42F6-995F-2ACB3BD6C18A}">
      <text>
        <r>
          <rPr>
            <b/>
            <sz val="9"/>
            <color indexed="81"/>
            <rFont val="Tahoma"/>
            <family val="2"/>
          </rPr>
          <t>vijayalakshmi.s:</t>
        </r>
        <r>
          <rPr>
            <sz val="9"/>
            <color indexed="81"/>
            <rFont val="Tahoma"/>
            <family val="2"/>
          </rPr>
          <t xml:space="preserve">
Referred framing plan</t>
        </r>
      </text>
    </comment>
    <comment ref="G11" authorId="2" shapeId="0" xr:uid="{0B0154F2-13B4-4930-BEA3-C6F7E8447659}">
      <text>
        <r>
          <rPr>
            <sz val="9"/>
            <color indexed="81"/>
            <rFont val="Tahoma"/>
            <family val="2"/>
          </rPr>
          <t xml:space="preserve">
Avg Beam depth in podium and tower</t>
        </r>
      </text>
    </comment>
  </commentList>
</comments>
</file>

<file path=xl/sharedStrings.xml><?xml version="1.0" encoding="utf-8"?>
<sst xmlns="http://schemas.openxmlformats.org/spreadsheetml/2006/main" count="1722" uniqueCount="629">
  <si>
    <t>SL NO</t>
  </si>
  <si>
    <t>Description</t>
  </si>
  <si>
    <t>Nos</t>
  </si>
  <si>
    <t>L</t>
  </si>
  <si>
    <t>B</t>
  </si>
  <si>
    <t>D</t>
  </si>
  <si>
    <t>Concrete (cum)</t>
  </si>
  <si>
    <t>Shuttering (Sqm)</t>
  </si>
  <si>
    <t>PCC quantity</t>
  </si>
  <si>
    <t>Excavation quantity ( Cum )</t>
  </si>
  <si>
    <t>Surface trimming (sqm)</t>
  </si>
  <si>
    <t>PCC Side</t>
  </si>
  <si>
    <t>Block-01</t>
  </si>
  <si>
    <t>Isolated Footing</t>
  </si>
  <si>
    <t>Block-02</t>
  </si>
  <si>
    <t>Podium</t>
  </si>
  <si>
    <t>F1</t>
  </si>
  <si>
    <t>F2</t>
  </si>
  <si>
    <t>F3</t>
  </si>
  <si>
    <t>F4</t>
  </si>
  <si>
    <t>F5</t>
  </si>
  <si>
    <t>F6</t>
  </si>
  <si>
    <t>F7</t>
  </si>
  <si>
    <t>F8</t>
  </si>
  <si>
    <t>Project :</t>
  </si>
  <si>
    <t>Location :</t>
  </si>
  <si>
    <t>Kerala</t>
  </si>
  <si>
    <t>Abstract :</t>
  </si>
  <si>
    <t>SI.NO</t>
  </si>
  <si>
    <t>Unit</t>
  </si>
  <si>
    <t>Total</t>
  </si>
  <si>
    <t>Retaing wall footing in tower raft (Retaing wall combining area with tower raft segegrated seperatly)</t>
  </si>
  <si>
    <t>Manual Excavation</t>
  </si>
  <si>
    <t>Cum</t>
  </si>
  <si>
    <t>Surface trimming</t>
  </si>
  <si>
    <t>Sqm</t>
  </si>
  <si>
    <t>PCC - footings-Raft</t>
  </si>
  <si>
    <t>PCC - footings-Isolated</t>
  </si>
  <si>
    <t>PCC - footings-Combined</t>
  </si>
  <si>
    <t>Raft Concrete</t>
  </si>
  <si>
    <t>Isolated- Concrete</t>
  </si>
  <si>
    <t>Combined - Concrete</t>
  </si>
  <si>
    <t>Raft Shuttering</t>
  </si>
  <si>
    <t>Isolated - Shuttering</t>
  </si>
  <si>
    <t>Combined - shuttering</t>
  </si>
  <si>
    <t>PCC side footing raft</t>
  </si>
  <si>
    <t>Rmt</t>
  </si>
  <si>
    <t>PCC side  Isolated Footing</t>
  </si>
  <si>
    <t>PCC side Combined Footing</t>
  </si>
  <si>
    <t>Cover Block</t>
  </si>
  <si>
    <t>Raft Depth</t>
  </si>
  <si>
    <t>m</t>
  </si>
  <si>
    <t>PCC strip footing</t>
  </si>
  <si>
    <t>Strip footing-concrete</t>
  </si>
  <si>
    <t>Strip footing-shuttering</t>
  </si>
  <si>
    <t>PCC side strip footing</t>
  </si>
  <si>
    <t>rmt</t>
  </si>
  <si>
    <t>LEGEND</t>
  </si>
  <si>
    <t>PCC offset (frm RCC face)</t>
  </si>
  <si>
    <t>=</t>
  </si>
  <si>
    <t>PCC thickness</t>
  </si>
  <si>
    <t>Pedestal Depth</t>
  </si>
  <si>
    <t>Manual excavation offset (frm RCC face)</t>
  </si>
  <si>
    <t>Manual excavation depth</t>
  </si>
  <si>
    <t>BASEMENT 01 LEVEL</t>
  </si>
  <si>
    <t>making</t>
  </si>
  <si>
    <t>Villa -01</t>
  </si>
  <si>
    <t xml:space="preserve">Wing </t>
  </si>
  <si>
    <t>Sl No</t>
  </si>
  <si>
    <t>Desc</t>
  </si>
  <si>
    <t>Concrete</t>
  </si>
  <si>
    <t>Bottom Shuttering</t>
  </si>
  <si>
    <t>Side Total</t>
  </si>
  <si>
    <t>Slab tk</t>
  </si>
  <si>
    <t>d(m)</t>
  </si>
  <si>
    <t>qty(m2)</t>
  </si>
  <si>
    <t>Column left</t>
  </si>
  <si>
    <t>Column right</t>
  </si>
  <si>
    <t>Qty</t>
  </si>
  <si>
    <t xml:space="preserve">Beam </t>
  </si>
  <si>
    <t>Beam</t>
  </si>
  <si>
    <t>Area</t>
  </si>
  <si>
    <t>Sunken Depth</t>
  </si>
  <si>
    <t>Sl.No</t>
  </si>
  <si>
    <t xml:space="preserve">GF </t>
  </si>
  <si>
    <t>FF</t>
  </si>
  <si>
    <t>SF</t>
  </si>
  <si>
    <t>TF</t>
  </si>
  <si>
    <t>I</t>
  </si>
  <si>
    <t>Tower</t>
  </si>
  <si>
    <t>Shuttering</t>
  </si>
  <si>
    <t>sqm</t>
  </si>
  <si>
    <t>Side (1+2)</t>
  </si>
  <si>
    <t>Side 1</t>
  </si>
  <si>
    <t>Side 2</t>
  </si>
  <si>
    <t>intersecting</t>
  </si>
  <si>
    <t>Type</t>
  </si>
  <si>
    <t xml:space="preserve">
Beam </t>
  </si>
  <si>
    <t>D&lt;0.60</t>
  </si>
  <si>
    <t>D&gt;0.60</t>
  </si>
  <si>
    <t>P</t>
  </si>
  <si>
    <t>GF</t>
  </si>
  <si>
    <t>1PB2</t>
  </si>
  <si>
    <t>1PB3</t>
  </si>
  <si>
    <t>1PB4</t>
  </si>
  <si>
    <t>1PB5</t>
  </si>
  <si>
    <t>1PB6</t>
  </si>
  <si>
    <t>1PB7</t>
  </si>
  <si>
    <t>1PB8</t>
  </si>
  <si>
    <t>1PB9</t>
  </si>
  <si>
    <t>1PB11</t>
  </si>
  <si>
    <t>1PB12</t>
  </si>
  <si>
    <t>1PB13</t>
  </si>
  <si>
    <t>1PB15</t>
  </si>
  <si>
    <t>1PB16</t>
  </si>
  <si>
    <t>1PB17</t>
  </si>
  <si>
    <t>1PB18</t>
  </si>
  <si>
    <t>1PB19</t>
  </si>
  <si>
    <t>1PB20</t>
  </si>
  <si>
    <t>1PB21</t>
  </si>
  <si>
    <t>1PB22</t>
  </si>
  <si>
    <t>1PB23</t>
  </si>
  <si>
    <t>1PB24</t>
  </si>
  <si>
    <t>1PB25</t>
  </si>
  <si>
    <t>1PB26</t>
  </si>
  <si>
    <t>1PB27</t>
  </si>
  <si>
    <t>1PB28</t>
  </si>
  <si>
    <t>1PB29</t>
  </si>
  <si>
    <t>1PB30</t>
  </si>
  <si>
    <t>1PB31</t>
  </si>
  <si>
    <t>1PB32</t>
  </si>
  <si>
    <t>1PB33</t>
  </si>
  <si>
    <t>1PB34</t>
  </si>
  <si>
    <t>1PB35</t>
  </si>
  <si>
    <t>1PB36</t>
  </si>
  <si>
    <t>1PB37</t>
  </si>
  <si>
    <t>1PB38</t>
  </si>
  <si>
    <t>1PB39</t>
  </si>
  <si>
    <t>1PB40</t>
  </si>
  <si>
    <t>1PB41</t>
  </si>
  <si>
    <t>1PB42</t>
  </si>
  <si>
    <t>1PB43</t>
  </si>
  <si>
    <t>1PB44</t>
  </si>
  <si>
    <t>1PB46</t>
  </si>
  <si>
    <t>1PB47</t>
  </si>
  <si>
    <t>1PB48</t>
  </si>
  <si>
    <t>1PB49</t>
  </si>
  <si>
    <t>1PB50</t>
  </si>
  <si>
    <t>1PB50a</t>
  </si>
  <si>
    <t>1PB51</t>
  </si>
  <si>
    <t>1PB52</t>
  </si>
  <si>
    <t>1PB53</t>
  </si>
  <si>
    <t>1PB54</t>
  </si>
  <si>
    <t>1PB55</t>
  </si>
  <si>
    <t>1PB56</t>
  </si>
  <si>
    <t>1PB57</t>
  </si>
  <si>
    <t>1PB58</t>
  </si>
  <si>
    <t>1PB59</t>
  </si>
  <si>
    <t>1PB60</t>
  </si>
  <si>
    <t>1PB61</t>
  </si>
  <si>
    <t>1PB62</t>
  </si>
  <si>
    <t>1PB63</t>
  </si>
  <si>
    <t>1PB64</t>
  </si>
  <si>
    <t>1PB65</t>
  </si>
  <si>
    <t>1PB66</t>
  </si>
  <si>
    <t>1PB67</t>
  </si>
  <si>
    <t>1PB68</t>
  </si>
  <si>
    <t>1PB69</t>
  </si>
  <si>
    <t>1PB70</t>
  </si>
  <si>
    <t>1PB71</t>
  </si>
  <si>
    <t>1PB72</t>
  </si>
  <si>
    <t>1PB73</t>
  </si>
  <si>
    <t>1PB74</t>
  </si>
  <si>
    <t>1PB75</t>
  </si>
  <si>
    <t>1PB76</t>
  </si>
  <si>
    <t>1PB8a</t>
  </si>
  <si>
    <t>1PB17a</t>
  </si>
  <si>
    <t>1PB59a</t>
  </si>
  <si>
    <t>1PB57a</t>
  </si>
  <si>
    <t>1PB45&amp;46</t>
  </si>
  <si>
    <t>1PB64a</t>
  </si>
  <si>
    <t>1PB67a</t>
  </si>
  <si>
    <t>1FF1</t>
  </si>
  <si>
    <t>1FF2</t>
  </si>
  <si>
    <t>1FF3</t>
  </si>
  <si>
    <t>1FF4</t>
  </si>
  <si>
    <t>1FF5</t>
  </si>
  <si>
    <t>1FF6</t>
  </si>
  <si>
    <t>1FF7</t>
  </si>
  <si>
    <t>1FF8</t>
  </si>
  <si>
    <t>1FF8a</t>
  </si>
  <si>
    <t>1FF9</t>
  </si>
  <si>
    <t>1FF10</t>
  </si>
  <si>
    <t>1FF11</t>
  </si>
  <si>
    <t>1FF12</t>
  </si>
  <si>
    <t>1FF12a</t>
  </si>
  <si>
    <t>1FF13</t>
  </si>
  <si>
    <t>1FF15</t>
  </si>
  <si>
    <t>1FF16</t>
  </si>
  <si>
    <t>1FF16a</t>
  </si>
  <si>
    <t>1FF17</t>
  </si>
  <si>
    <t>1FF17a</t>
  </si>
  <si>
    <t>1FF18</t>
  </si>
  <si>
    <t>1FF19</t>
  </si>
  <si>
    <t>1FF20</t>
  </si>
  <si>
    <t>1FF21</t>
  </si>
  <si>
    <t>1FF22</t>
  </si>
  <si>
    <t>1FF23</t>
  </si>
  <si>
    <t>1FF24</t>
  </si>
  <si>
    <t>1FF25</t>
  </si>
  <si>
    <t>1FF26</t>
  </si>
  <si>
    <t>1FF26a</t>
  </si>
  <si>
    <t>1FF27</t>
  </si>
  <si>
    <t>1FF27a</t>
  </si>
  <si>
    <t>1FF28</t>
  </si>
  <si>
    <t>1FF29</t>
  </si>
  <si>
    <t>1FF30</t>
  </si>
  <si>
    <t>1FF31</t>
  </si>
  <si>
    <t>1FF32</t>
  </si>
  <si>
    <t>1FF33</t>
  </si>
  <si>
    <t>1FF34</t>
  </si>
  <si>
    <t>1FF35</t>
  </si>
  <si>
    <t>1FF36</t>
  </si>
  <si>
    <t>1FF37</t>
  </si>
  <si>
    <t>1FF38</t>
  </si>
  <si>
    <t>1FF38a</t>
  </si>
  <si>
    <t>1FF39</t>
  </si>
  <si>
    <t>1FF40</t>
  </si>
  <si>
    <t>1FF41</t>
  </si>
  <si>
    <t>1FF42</t>
  </si>
  <si>
    <t>1FF43</t>
  </si>
  <si>
    <t>1FF44</t>
  </si>
  <si>
    <t>1FF45&amp;46</t>
  </si>
  <si>
    <t>1FF46</t>
  </si>
  <si>
    <t>1FF47</t>
  </si>
  <si>
    <t>1FF48</t>
  </si>
  <si>
    <t>1FF49</t>
  </si>
  <si>
    <t>1FF50</t>
  </si>
  <si>
    <t>1FF50a</t>
  </si>
  <si>
    <t>1FF51</t>
  </si>
  <si>
    <t>1FF52</t>
  </si>
  <si>
    <t>1FF53</t>
  </si>
  <si>
    <t>1FF54</t>
  </si>
  <si>
    <t>1FF55</t>
  </si>
  <si>
    <t>1FF56</t>
  </si>
  <si>
    <t>1FF57</t>
  </si>
  <si>
    <t>1FF57a</t>
  </si>
  <si>
    <t>1FF58</t>
  </si>
  <si>
    <t>1FF59</t>
  </si>
  <si>
    <t>1FF60</t>
  </si>
  <si>
    <t>1FF61</t>
  </si>
  <si>
    <t>1FF62</t>
  </si>
  <si>
    <t>1FF63</t>
  </si>
  <si>
    <t>1FF64</t>
  </si>
  <si>
    <t>1FF64a</t>
  </si>
  <si>
    <t>1FF65</t>
  </si>
  <si>
    <t>1FF66</t>
  </si>
  <si>
    <t>1FF67</t>
  </si>
  <si>
    <t>1FF67a</t>
  </si>
  <si>
    <t>1FF68</t>
  </si>
  <si>
    <t>1FF69</t>
  </si>
  <si>
    <t>1FF70</t>
  </si>
  <si>
    <t>1FF71</t>
  </si>
  <si>
    <t>1FF72</t>
  </si>
  <si>
    <t>1FF73</t>
  </si>
  <si>
    <t>1FF74</t>
  </si>
  <si>
    <t>1FF75</t>
  </si>
  <si>
    <t>1FF76</t>
  </si>
  <si>
    <t>1FF14A</t>
  </si>
  <si>
    <t>1FF55a</t>
  </si>
  <si>
    <t>1FF59a</t>
  </si>
  <si>
    <t>1FF14a</t>
  </si>
  <si>
    <t>1FF14</t>
  </si>
  <si>
    <t>1FF61a</t>
  </si>
  <si>
    <t>1TF1</t>
  </si>
  <si>
    <t>1TF2</t>
  </si>
  <si>
    <t>1TF3</t>
  </si>
  <si>
    <t>1TF4</t>
  </si>
  <si>
    <t>1TF5</t>
  </si>
  <si>
    <t>1TF6</t>
  </si>
  <si>
    <t>1TF7</t>
  </si>
  <si>
    <t>1TF8</t>
  </si>
  <si>
    <t>1TF8a</t>
  </si>
  <si>
    <t>1TF9</t>
  </si>
  <si>
    <t>1TF10</t>
  </si>
  <si>
    <t>1TF11</t>
  </si>
  <si>
    <t>1TF12</t>
  </si>
  <si>
    <t>1TF12a</t>
  </si>
  <si>
    <t>1TF13</t>
  </si>
  <si>
    <t>1TF14</t>
  </si>
  <si>
    <t>1TF14a</t>
  </si>
  <si>
    <t>1TF15</t>
  </si>
  <si>
    <t>1TF16</t>
  </si>
  <si>
    <t>1TF16a</t>
  </si>
  <si>
    <t>1TF17</t>
  </si>
  <si>
    <t>1TF17a</t>
  </si>
  <si>
    <t>1TF18</t>
  </si>
  <si>
    <t>1TF19</t>
  </si>
  <si>
    <t>1TF20</t>
  </si>
  <si>
    <t>1TF21</t>
  </si>
  <si>
    <t>1TF22</t>
  </si>
  <si>
    <t>1TF23</t>
  </si>
  <si>
    <t>1TF24</t>
  </si>
  <si>
    <t>1TF25</t>
  </si>
  <si>
    <t>1TF26</t>
  </si>
  <si>
    <t>1TF26a</t>
  </si>
  <si>
    <t>1TF27</t>
  </si>
  <si>
    <t>1TF27a</t>
  </si>
  <si>
    <t>1TF28</t>
  </si>
  <si>
    <t>1TF29</t>
  </si>
  <si>
    <t>1TF30</t>
  </si>
  <si>
    <t>1TF31</t>
  </si>
  <si>
    <t>1TF32</t>
  </si>
  <si>
    <t>1TF33</t>
  </si>
  <si>
    <t>1TF34</t>
  </si>
  <si>
    <t>1TF35</t>
  </si>
  <si>
    <t>1TF36</t>
  </si>
  <si>
    <t>1TF37</t>
  </si>
  <si>
    <t>1TF38</t>
  </si>
  <si>
    <t>1TF38a</t>
  </si>
  <si>
    <t>1TF39</t>
  </si>
  <si>
    <t>1TF40</t>
  </si>
  <si>
    <t>1TF41</t>
  </si>
  <si>
    <t>1TF42</t>
  </si>
  <si>
    <t>1TF43</t>
  </si>
  <si>
    <t>1TF44</t>
  </si>
  <si>
    <t>1TF45&amp;46</t>
  </si>
  <si>
    <t>1TF46</t>
  </si>
  <si>
    <t>1TF47</t>
  </si>
  <si>
    <t>1TF48</t>
  </si>
  <si>
    <t>1TF49</t>
  </si>
  <si>
    <t>1TF50</t>
  </si>
  <si>
    <t>1TF50a</t>
  </si>
  <si>
    <t>1TF51</t>
  </si>
  <si>
    <t>1TF52</t>
  </si>
  <si>
    <t>1TF53</t>
  </si>
  <si>
    <t>1TF54</t>
  </si>
  <si>
    <t>1TF55</t>
  </si>
  <si>
    <t>1TF56</t>
  </si>
  <si>
    <t>1TF57</t>
  </si>
  <si>
    <t>1TF57a</t>
  </si>
  <si>
    <t>1TF58</t>
  </si>
  <si>
    <t>1TF59</t>
  </si>
  <si>
    <t>1TF59a</t>
  </si>
  <si>
    <t>1TF60</t>
  </si>
  <si>
    <t>1TF61</t>
  </si>
  <si>
    <t>1TF61a</t>
  </si>
  <si>
    <t>1TF62</t>
  </si>
  <si>
    <t>1TF63</t>
  </si>
  <si>
    <t>1TF64</t>
  </si>
  <si>
    <t>1TF64a</t>
  </si>
  <si>
    <t>1TF65</t>
  </si>
  <si>
    <t>1TF66</t>
  </si>
  <si>
    <t>1TF67</t>
  </si>
  <si>
    <t>1TF67a</t>
  </si>
  <si>
    <t>1TF68</t>
  </si>
  <si>
    <t>1TF69</t>
  </si>
  <si>
    <t>1TF70</t>
  </si>
  <si>
    <t>1TF71</t>
  </si>
  <si>
    <t>1TF72</t>
  </si>
  <si>
    <t>1TF73</t>
  </si>
  <si>
    <t>1TF74</t>
  </si>
  <si>
    <t>1TF75</t>
  </si>
  <si>
    <t>1TF76</t>
  </si>
  <si>
    <t>1TF55a</t>
  </si>
  <si>
    <t>1TF22a</t>
  </si>
  <si>
    <t>1HRB1</t>
  </si>
  <si>
    <t>HR</t>
  </si>
  <si>
    <t>1HRB2</t>
  </si>
  <si>
    <t>1HRB3</t>
  </si>
  <si>
    <t>1HRB4</t>
  </si>
  <si>
    <t>1HRB5</t>
  </si>
  <si>
    <t>1HRB6</t>
  </si>
  <si>
    <t>1HRB7</t>
  </si>
  <si>
    <t>1HRB8</t>
  </si>
  <si>
    <t>1HRB9</t>
  </si>
  <si>
    <t>1HRB10</t>
  </si>
  <si>
    <t>1HRB11</t>
  </si>
  <si>
    <t>Above terrace</t>
  </si>
  <si>
    <t>PROJECT NAME :</t>
  </si>
  <si>
    <t>SOBHA Alathara</t>
  </si>
  <si>
    <t>Activity</t>
  </si>
  <si>
    <t>Column Quantification</t>
  </si>
  <si>
    <t>Drawing ref :</t>
  </si>
  <si>
    <t>Bsaement-01 Ht-NoN Tower</t>
  </si>
  <si>
    <t>Bsaement-01 Ht Tower</t>
  </si>
  <si>
    <t>Below basement ht-Tower</t>
  </si>
  <si>
    <t>Below basement ht-Podium</t>
  </si>
  <si>
    <t>Below basement ht-Peripheral</t>
  </si>
  <si>
    <t>Floor Lvl</t>
  </si>
  <si>
    <t>Footing depth</t>
  </si>
  <si>
    <t>Lower Ground Floor Lvl</t>
  </si>
  <si>
    <t>Podium Footing depth</t>
  </si>
  <si>
    <t>Tower &amp; Podium-GF</t>
  </si>
  <si>
    <t>Tower &amp; Podium -Basement</t>
  </si>
  <si>
    <t>Legend</t>
  </si>
  <si>
    <t>Assumed</t>
  </si>
  <si>
    <t>Basement Lvl</t>
  </si>
  <si>
    <t>Average beam depth</t>
  </si>
  <si>
    <t>Under Raft Portion</t>
  </si>
  <si>
    <t>Ground Floor Lvl</t>
  </si>
  <si>
    <t>Podium Ground Floor Lvl</t>
  </si>
  <si>
    <t>Basement - 01 ht - Tower</t>
  </si>
  <si>
    <t>Under Lift Portion</t>
  </si>
  <si>
    <t>Podium Ground loor Lvl</t>
  </si>
  <si>
    <t>Top Of Raft Footing</t>
  </si>
  <si>
    <t>Basement - 02 ht</t>
  </si>
  <si>
    <t>Under UG sump Portion</t>
  </si>
  <si>
    <t>Basement-01  Lvl</t>
  </si>
  <si>
    <t>1st Floor Lvl</t>
  </si>
  <si>
    <t>Floor to floor ht</t>
  </si>
  <si>
    <t>Under Balancing Tank portion</t>
  </si>
  <si>
    <t>Botttom of Footing Non Tower area</t>
  </si>
  <si>
    <t xml:space="preserve">Top Of Isolated Footing </t>
  </si>
  <si>
    <t>Parapet wall ht</t>
  </si>
  <si>
    <t>Under Rain water sump</t>
  </si>
  <si>
    <t>Ground floor  - ht</t>
  </si>
  <si>
    <t>Beam Depth</t>
  </si>
  <si>
    <t>Top Of Peripheral Footing</t>
  </si>
  <si>
    <t>Basement to Podium level ht</t>
  </si>
  <si>
    <t>Slab Thk</t>
  </si>
  <si>
    <t xml:space="preserve">Bottom Of  Footing </t>
  </si>
  <si>
    <t>podium lower Ground Floor Lvl - ground floor</t>
  </si>
  <si>
    <t>Abstract</t>
  </si>
  <si>
    <t>S.No</t>
  </si>
  <si>
    <t>Pheripheral</t>
  </si>
  <si>
    <t>column pedestal</t>
  </si>
  <si>
    <t>RMC</t>
  </si>
  <si>
    <t>Making</t>
  </si>
  <si>
    <t>Column - L &gt;0.3 &amp; &lt;0.75, B &gt;0.3</t>
  </si>
  <si>
    <t>Column - L &gt;0.3 &amp; &lt;0.75, B&lt;=0.3</t>
  </si>
  <si>
    <t>Column - L &gt;0.75 &amp; &lt;=1.2, B&lt;=0.3</t>
  </si>
  <si>
    <t>Column - L &gt;1.2, B&lt;=0.3</t>
  </si>
  <si>
    <t>Fotting Top-Basement -01 Floor Level</t>
  </si>
  <si>
    <t>Basement-01-  Lower Ground floor</t>
  </si>
  <si>
    <t>Lowerr Ground Floor-Ground floor</t>
  </si>
  <si>
    <t>Footing Type</t>
  </si>
  <si>
    <t>Footing top-BFL</t>
  </si>
  <si>
    <t>Basement - 01 toLower Ground Floor</t>
  </si>
  <si>
    <t>Lower Ground Floor to Ground Floor with reduced colmns as per ridge drawing</t>
  </si>
  <si>
    <t>No</t>
  </si>
  <si>
    <t>Concrete (Cum)</t>
  </si>
  <si>
    <t>Shuttering (sqm)</t>
  </si>
  <si>
    <t>M40</t>
  </si>
  <si>
    <t>Gauge piece</t>
  </si>
  <si>
    <t>Sets</t>
  </si>
  <si>
    <t>PC1</t>
  </si>
  <si>
    <t>PC2</t>
  </si>
  <si>
    <t>Total Tower</t>
  </si>
  <si>
    <t xml:space="preserve">Pheripheral </t>
  </si>
  <si>
    <t>RWC1</t>
  </si>
  <si>
    <t>RWC2</t>
  </si>
  <si>
    <t>RWC3</t>
  </si>
  <si>
    <t>C1</t>
  </si>
  <si>
    <t>C2</t>
  </si>
  <si>
    <t>C3</t>
  </si>
  <si>
    <t xml:space="preserve">Total </t>
  </si>
  <si>
    <t>C1 - ug sump columns excluded</t>
  </si>
  <si>
    <t>UG-Sump</t>
  </si>
  <si>
    <t>C1 - ug sump columns</t>
  </si>
  <si>
    <t xml:space="preserve">Offset </t>
  </si>
  <si>
    <t xml:space="preserve">RL </t>
  </si>
  <si>
    <t>COLUMN PEDESTALS</t>
  </si>
  <si>
    <t>Footing top to GF</t>
  </si>
  <si>
    <t>GF-FF</t>
  </si>
  <si>
    <t>FF-2F</t>
  </si>
  <si>
    <t>2F-3F</t>
  </si>
  <si>
    <t>3F-4F</t>
  </si>
  <si>
    <t>parapet</t>
  </si>
  <si>
    <t xml:space="preserve">Length </t>
  </si>
  <si>
    <t>Breadth</t>
  </si>
  <si>
    <t>Depth</t>
  </si>
  <si>
    <t xml:space="preserve">NGL </t>
  </si>
  <si>
    <t>Concrete Qty</t>
  </si>
  <si>
    <t>Shuttering Qty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</si>
  <si>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</si>
  <si>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</si>
  <si>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</si>
  <si>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</si>
  <si>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</si>
  <si>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</si>
  <si>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</si>
  <si>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</si>
  <si>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</si>
  <si>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C13</t>
  </si>
  <si>
    <t>C14</t>
  </si>
  <si>
    <t>C15</t>
  </si>
  <si>
    <t>C16</t>
  </si>
  <si>
    <t>C17</t>
  </si>
  <si>
    <t>C18</t>
  </si>
  <si>
    <t>C19</t>
  </si>
  <si>
    <t>C20</t>
  </si>
  <si>
    <t>C21</t>
  </si>
  <si>
    <t>Terrace to parapet</t>
  </si>
  <si>
    <t>Total Length</t>
  </si>
  <si>
    <t>Periphery</t>
  </si>
  <si>
    <t>Internal</t>
  </si>
  <si>
    <t>Beam length</t>
  </si>
  <si>
    <t>Shuttering Quantity</t>
  </si>
  <si>
    <t>Columns Quantity</t>
  </si>
  <si>
    <t>C22</t>
  </si>
  <si>
    <t>C23</t>
  </si>
  <si>
    <t>C24</t>
  </si>
  <si>
    <t>C25</t>
  </si>
  <si>
    <t>C26</t>
  </si>
  <si>
    <t>C27</t>
  </si>
  <si>
    <t>C28</t>
  </si>
  <si>
    <t>C29</t>
  </si>
  <si>
    <t>C30</t>
  </si>
  <si>
    <t>C31</t>
  </si>
  <si>
    <t>C32</t>
  </si>
  <si>
    <t>C33</t>
  </si>
  <si>
    <t>Footing top to Ground Floor</t>
  </si>
  <si>
    <t xml:space="preserve"> Ground Floor - First Floor</t>
  </si>
  <si>
    <t xml:space="preserve"> First Floor -Terrace Floor</t>
  </si>
  <si>
    <t>FC1</t>
  </si>
  <si>
    <t>Footing - Ground Floor</t>
  </si>
  <si>
    <t>Ground Floor - First floor</t>
  </si>
  <si>
    <t>First floor - Terrace Floor</t>
  </si>
  <si>
    <t>Terrace floor - Parapet wall</t>
  </si>
  <si>
    <t>Headrooms</t>
  </si>
  <si>
    <t>S1</t>
  </si>
  <si>
    <t>S2</t>
  </si>
  <si>
    <t>S3</t>
  </si>
  <si>
    <t>S4</t>
  </si>
  <si>
    <t>S5</t>
  </si>
  <si>
    <t>S6</t>
  </si>
  <si>
    <t>S7</t>
  </si>
  <si>
    <t>S8</t>
  </si>
  <si>
    <t>S9</t>
  </si>
  <si>
    <t>S10</t>
  </si>
  <si>
    <t>S11</t>
  </si>
  <si>
    <t>S12</t>
  </si>
  <si>
    <t>S13</t>
  </si>
  <si>
    <t>S14</t>
  </si>
  <si>
    <t>S15</t>
  </si>
  <si>
    <t>S16</t>
  </si>
  <si>
    <t>S17</t>
  </si>
  <si>
    <t>S18</t>
  </si>
  <si>
    <t>S19</t>
  </si>
  <si>
    <t>S20</t>
  </si>
  <si>
    <t>S21</t>
  </si>
  <si>
    <t>S22</t>
  </si>
  <si>
    <t>S23</t>
  </si>
  <si>
    <t>S24</t>
  </si>
  <si>
    <t>S25</t>
  </si>
  <si>
    <t>S26</t>
  </si>
  <si>
    <t>S27</t>
  </si>
  <si>
    <t>S28</t>
  </si>
  <si>
    <t>S29</t>
  </si>
  <si>
    <t>S30</t>
  </si>
  <si>
    <t>S31</t>
  </si>
  <si>
    <t>S32</t>
  </si>
  <si>
    <t>S33</t>
  </si>
  <si>
    <t>S34</t>
  </si>
  <si>
    <t>S35</t>
  </si>
  <si>
    <t>S36</t>
  </si>
  <si>
    <t>S37</t>
  </si>
  <si>
    <t>S38</t>
  </si>
  <si>
    <t>S39</t>
  </si>
  <si>
    <t>S40</t>
  </si>
  <si>
    <t>First Floor Slab</t>
  </si>
  <si>
    <t>Terrace Floor Slab</t>
  </si>
  <si>
    <t>Grade Slab</t>
  </si>
  <si>
    <t>Terrace floor Slab</t>
  </si>
  <si>
    <t>Head room Slab</t>
  </si>
  <si>
    <t>PCC below plinth beam</t>
  </si>
  <si>
    <t>Cu.m</t>
  </si>
  <si>
    <t>staricase landing thickness</t>
  </si>
  <si>
    <t>Basement-Ground Floor</t>
  </si>
  <si>
    <t>Staircase- 02</t>
  </si>
  <si>
    <t>Flight 01</t>
  </si>
  <si>
    <t>Waist slab 01</t>
  </si>
  <si>
    <t>Steps</t>
  </si>
  <si>
    <t>Landing 01</t>
  </si>
  <si>
    <t>Flight 02</t>
  </si>
  <si>
    <t>TOTAL FOR STAIRCASES</t>
  </si>
  <si>
    <t>Project : Manahor Homes</t>
  </si>
  <si>
    <t>VILLA</t>
  </si>
  <si>
    <t>FF-terrace</t>
  </si>
  <si>
    <t>1HRB12</t>
  </si>
  <si>
    <t>1HRB13</t>
  </si>
  <si>
    <t>1HRB14</t>
  </si>
  <si>
    <t>1HRB15</t>
  </si>
  <si>
    <t>1HRB16</t>
  </si>
  <si>
    <t>1HRB17</t>
  </si>
  <si>
    <t>1HRB18</t>
  </si>
  <si>
    <t>1HRB19</t>
  </si>
  <si>
    <t>1HRB20</t>
  </si>
  <si>
    <t>1HRB21</t>
  </si>
  <si>
    <t>Slabs Quantity</t>
  </si>
  <si>
    <t>garage</t>
  </si>
  <si>
    <t>Garage</t>
  </si>
  <si>
    <t>Tower &amp; Garage</t>
  </si>
  <si>
    <t>Incl. garage columns</t>
  </si>
  <si>
    <t>garage Slab</t>
  </si>
  <si>
    <t>Incl. garage slab</t>
  </si>
  <si>
    <t>Length</t>
  </si>
  <si>
    <t>Conc. Qty</t>
  </si>
  <si>
    <t>Shut. Qty</t>
  </si>
  <si>
    <t>RW1 - Left</t>
  </si>
  <si>
    <t>PCC depth</t>
  </si>
  <si>
    <t>Above Gf</t>
  </si>
  <si>
    <t xml:space="preserve">Retaining Wall </t>
  </si>
  <si>
    <t>RW1 - Rear</t>
  </si>
  <si>
    <t>RW1 - Right</t>
  </si>
  <si>
    <t>PCC Qty</t>
  </si>
  <si>
    <t>PROJECT : Manohar Residency</t>
  </si>
  <si>
    <t>Retaining Wall Footing</t>
  </si>
  <si>
    <t>Below Ground</t>
  </si>
  <si>
    <t>FC3</t>
  </si>
  <si>
    <t>FC2</t>
  </si>
  <si>
    <t>FC4</t>
  </si>
  <si>
    <t>HR &amp; OHT columns</t>
  </si>
  <si>
    <t>1PB1b</t>
  </si>
  <si>
    <t>1PB3b</t>
  </si>
  <si>
    <t>1PB3d</t>
  </si>
  <si>
    <t>1PB3f</t>
  </si>
  <si>
    <t>1PB3e</t>
  </si>
  <si>
    <t>1PB10b</t>
  </si>
  <si>
    <t>1PB10a</t>
  </si>
  <si>
    <t>1PB10c</t>
  </si>
  <si>
    <t>1PB13a</t>
  </si>
  <si>
    <t>1PB30a</t>
  </si>
  <si>
    <t>1PB33a</t>
  </si>
  <si>
    <t>1PB39a</t>
  </si>
  <si>
    <t>Excavation Area</t>
  </si>
  <si>
    <t>RW1 - Front</t>
  </si>
  <si>
    <t>RW1 -Front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</si>
</sst>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.000_);_(* \(#,##0.000\);_(* &quot;-&quot;??_);_(@_)"/>
  </numFmts>
  <fonts count="2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Tahoma"/>
      <family val="2"/>
    </font>
    <font>
      <sz val="10"/>
      <color theme="1"/>
      <name val="Tahoma"/>
      <family val="2"/>
    </font>
    <font>
      <b/>
      <sz val="10"/>
      <color rgb="FFFF0000"/>
      <name val="Tahoma"/>
      <family val="2"/>
    </font>
    <font>
      <b/>
      <sz val="10"/>
      <color theme="1"/>
      <name val="Tahoma"/>
      <family val="2"/>
    </font>
    <font>
      <b/>
      <sz val="11"/>
      <color theme="1"/>
      <name val="Tahoma"/>
      <family val="2"/>
    </font>
    <font>
      <sz val="10"/>
      <color rgb="FFFF0000"/>
      <name val="Tahoma"/>
      <family val="2"/>
    </font>
    <font>
      <b/>
      <sz val="11"/>
      <color rgb="FFFF0000"/>
      <name val="Tahoma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10"/>
      <color rgb="FF0000FF"/>
      <name val="Tahoma"/>
      <family val="2"/>
    </font>
    <font>
      <sz val="10"/>
      <name val="Tahoma"/>
      <family val="2"/>
    </font>
    <font>
      <b/>
      <sz val="10"/>
      <name val="Tahoma"/>
      <family val="2"/>
    </font>
    <font>
      <sz val="11"/>
      <color indexed="8"/>
      <name val="Calibri"/>
      <family val="2"/>
    </font>
    <font>
      <b/>
      <i/>
      <sz val="10"/>
      <name val="Tahoma"/>
      <family val="2"/>
    </font>
    <font>
      <sz val="10"/>
      <name val="Arial"/>
      <family val="2"/>
    </font>
    <font>
      <i/>
      <sz val="10"/>
      <color theme="5" tint="-0.249977111117893"/>
      <name val="Tahoma"/>
      <family val="2"/>
    </font>
    <font>
      <sz val="8"/>
      <color theme="1"/>
      <name val="Tahoma"/>
      <family val="2"/>
    </font>
    <font>
      <sz val="9"/>
      <color theme="1"/>
      <name val="Tahoma"/>
      <family val="2"/>
    </font>
    <font>
      <b/>
      <sz val="10"/>
      <color rgb="FF00B0F0"/>
      <name val="Tahoma"/>
      <family val="2"/>
    </font>
    <font>
      <b/>
      <sz val="10"/>
      <color theme="4" tint="-0.499984740745262"/>
      <name val="Tahoma"/>
      <family val="2"/>
    </font>
    <font>
      <sz val="10"/>
      <color theme="4" tint="-0.499984740745262"/>
      <name val="Tahoma"/>
      <family val="2"/>
    </font>
    <font>
      <sz val="8"/>
      <name val="Aptos Narrow"/>
      <family val="2"/>
      <scheme val="minor"/>
    </font>
    <font>
      <i/>
      <sz val="10"/>
      <color rgb="FFFF0000"/>
      <name val="Tahoma"/>
      <family val="2"/>
    </font>
    <font>
      <b/>
      <i/>
      <sz val="10"/>
      <color rgb="FFFF0000"/>
      <name val="Tahoma"/>
      <family val="2"/>
    </font>
  </fonts>
  <fills count="12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CFEE6"/>
        <bgColor indexed="64"/>
      </patternFill>
    </fill>
    <fill>
      <patternFill patternType="solid">
        <fgColor rgb="FFFFFFEB"/>
        <bgColor indexed="64"/>
      </patternFill>
    </fill>
    <fill>
      <patternFill patternType="solid">
        <fgColor theme="9" tint="0.79998168889431442"/>
        <bgColor indexed="64"/>
      </patternFill>
    </fill>
  </fills>
  <borders count="63">
    <border>
      <left/>
      <right/>
      <top/>
      <bottom/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medium">
        <color auto="1"/>
      </left>
      <right style="hair">
        <color auto="1"/>
      </right>
      <top style="medium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medium">
        <color auto="1"/>
      </top>
      <bottom style="hair">
        <color auto="1"/>
      </bottom>
      <diagonal/>
    </border>
    <border>
      <left style="hair">
        <color auto="1"/>
      </left>
      <right style="medium">
        <color auto="1"/>
      </right>
      <top style="medium">
        <color auto="1"/>
      </top>
      <bottom style="hair">
        <color auto="1"/>
      </bottom>
      <diagonal/>
    </border>
    <border>
      <left style="medium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hair">
        <color auto="1"/>
      </right>
      <top style="hair">
        <color auto="1"/>
      </top>
      <bottom style="medium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medium">
        <color auto="1"/>
      </bottom>
      <diagonal/>
    </border>
    <border>
      <left style="hair">
        <color auto="1"/>
      </left>
      <right style="medium">
        <color auto="1"/>
      </right>
      <top style="hair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/>
      <right/>
      <top style="hair">
        <color auto="1"/>
      </top>
      <bottom style="thin">
        <color auto="1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auto="1"/>
      </left>
      <right style="medium">
        <color auto="1"/>
      </right>
      <top style="hair">
        <color indexed="64"/>
      </top>
      <bottom style="thin">
        <color indexed="64"/>
      </bottom>
      <diagonal/>
    </border>
    <border>
      <left/>
      <right style="medium">
        <color auto="1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theme="0" tint="-0.24994659260841701"/>
      </right>
      <top style="thin">
        <color auto="1"/>
      </top>
      <bottom style="thin">
        <color auto="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auto="1"/>
      </top>
      <bottom style="thin">
        <color auto="1"/>
      </bottom>
      <diagonal/>
    </border>
    <border>
      <left style="thin">
        <color theme="0" tint="-0.2499465926084170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theme="0" tint="-0.24994659260841701"/>
      </right>
      <top style="thin">
        <color auto="1"/>
      </top>
      <bottom style="thin">
        <color auto="1"/>
      </bottom>
      <diagonal/>
    </border>
    <border>
      <left/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 style="thin">
        <color theme="0" tint="-0.24994659260841701"/>
      </left>
      <right style="thin">
        <color auto="1"/>
      </right>
      <top style="thin">
        <color theme="0" tint="-0.24994659260841701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auto="1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/>
      <right style="medium">
        <color auto="1"/>
      </right>
      <top style="thin">
        <color indexed="64"/>
      </top>
      <bottom/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/>
      <bottom/>
      <diagonal/>
    </border>
    <border>
      <left style="hair">
        <color auto="1"/>
      </left>
      <right style="hair">
        <color auto="1"/>
      </right>
      <top/>
      <bottom/>
      <diagonal/>
    </border>
    <border>
      <left style="hair">
        <color indexed="64"/>
      </left>
      <right/>
      <top/>
      <bottom/>
      <diagonal/>
    </border>
  </borders>
  <cellStyleXfs count="6">
    <xf numFmtId="0" fontId="0" fillId="0" borderId="0"/>
    <xf numFmtId="43" fontId="1" fillId="0" borderId="0" applyFont="0" applyFill="0" applyBorder="0" applyAlignment="0" applyProtection="0"/>
    <xf numFmtId="0" fontId="14" fillId="0" borderId="0"/>
    <xf numFmtId="0" fontId="16" fillId="0" borderId="0"/>
    <xf numFmtId="43" fontId="16" fillId="0" borderId="0" applyFont="0" applyFill="0" applyBorder="0" applyAlignment="0" applyProtection="0"/>
    <xf numFmtId="43" fontId="12" fillId="0" borderId="0" applyFont="0" applyFill="0" applyBorder="0" applyAlignment="0" applyProtection="0"/>
  </cellStyleXfs>
  <cellXfs count="359">
    <xf numFmtId="0" fontId="0" fillId="0" borderId="0" xfId="0"/>
    <xf numFmtId="0" fontId="3" fillId="0" borderId="0" xfId="0" applyFont="1" applyAlignment="1">
      <alignment vertical="center"/>
    </xf>
    <xf numFmtId="43" fontId="4" fillId="2" borderId="1" xfId="1" applyFont="1" applyFill="1" applyBorder="1" applyAlignment="1">
      <alignment horizontal="center" vertical="center"/>
    </xf>
    <xf numFmtId="43" fontId="4" fillId="2" borderId="2" xfId="1" applyFont="1" applyFill="1" applyBorder="1" applyAlignment="1">
      <alignment horizontal="center" vertical="center"/>
    </xf>
    <xf numFmtId="43" fontId="4" fillId="2" borderId="2" xfId="1" applyFont="1" applyFill="1" applyBorder="1" applyAlignment="1">
      <alignment horizontal="center" vertical="center" wrapText="1"/>
    </xf>
    <xf numFmtId="43" fontId="4" fillId="2" borderId="3" xfId="1" applyFont="1" applyFill="1" applyBorder="1" applyAlignment="1">
      <alignment horizontal="center" vertical="center" wrapText="1"/>
    </xf>
    <xf numFmtId="43" fontId="3" fillId="0" borderId="5" xfId="1" applyFont="1" applyFill="1" applyBorder="1" applyAlignment="1">
      <alignment vertical="center"/>
    </xf>
    <xf numFmtId="43" fontId="5" fillId="0" borderId="5" xfId="1" applyFont="1" applyBorder="1" applyAlignment="1">
      <alignment horizontal="center" vertical="center"/>
    </xf>
    <xf numFmtId="43" fontId="5" fillId="0" borderId="5" xfId="1" applyFont="1" applyBorder="1" applyAlignment="1">
      <alignment horizontal="center" vertical="center" wrapText="1"/>
    </xf>
    <xf numFmtId="43" fontId="6" fillId="3" borderId="4" xfId="1" applyFont="1" applyFill="1" applyBorder="1" applyAlignment="1">
      <alignment horizontal="left" vertical="center"/>
    </xf>
    <xf numFmtId="43" fontId="3" fillId="0" borderId="5" xfId="1" applyFont="1" applyFill="1" applyBorder="1" applyAlignment="1">
      <alignment horizontal="center" vertical="center"/>
    </xf>
    <xf numFmtId="43" fontId="3" fillId="0" borderId="5" xfId="1" applyFont="1" applyBorder="1" applyAlignment="1">
      <alignment vertical="center"/>
    </xf>
    <xf numFmtId="43" fontId="3" fillId="0" borderId="6" xfId="1" applyFont="1" applyFill="1" applyBorder="1" applyAlignment="1">
      <alignment vertical="center"/>
    </xf>
    <xf numFmtId="43" fontId="3" fillId="0" borderId="4" xfId="1" applyFont="1" applyBorder="1" applyAlignment="1">
      <alignment horizontal="center" vertical="center"/>
    </xf>
    <xf numFmtId="43" fontId="3" fillId="0" borderId="5" xfId="1" applyFont="1" applyBorder="1" applyAlignment="1">
      <alignment horizontal="center" vertical="center"/>
    </xf>
    <xf numFmtId="43" fontId="5" fillId="0" borderId="5" xfId="1" applyFont="1" applyBorder="1" applyAlignment="1">
      <alignment vertical="center"/>
    </xf>
    <xf numFmtId="43" fontId="5" fillId="3" borderId="5" xfId="1" applyFont="1" applyFill="1" applyBorder="1" applyAlignment="1">
      <alignment vertical="center"/>
    </xf>
    <xf numFmtId="43" fontId="5" fillId="4" borderId="5" xfId="1" applyFont="1" applyFill="1" applyBorder="1" applyAlignment="1">
      <alignment vertical="center"/>
    </xf>
    <xf numFmtId="43" fontId="5" fillId="0" borderId="6" xfId="1" applyFont="1" applyBorder="1" applyAlignment="1">
      <alignment vertical="center"/>
    </xf>
    <xf numFmtId="43" fontId="5" fillId="0" borderId="4" xfId="1" applyFont="1" applyBorder="1" applyAlignment="1">
      <alignment horizontal="center" vertical="center"/>
    </xf>
    <xf numFmtId="43" fontId="8" fillId="3" borderId="5" xfId="1" applyFont="1" applyFill="1" applyBorder="1" applyAlignment="1">
      <alignment horizontal="left" vertical="center"/>
    </xf>
    <xf numFmtId="43" fontId="6" fillId="0" borderId="5" xfId="1" applyFont="1" applyBorder="1" applyAlignment="1">
      <alignment horizontal="left" vertical="center"/>
    </xf>
    <xf numFmtId="43" fontId="5" fillId="0" borderId="7" xfId="1" applyFont="1" applyFill="1" applyBorder="1" applyAlignment="1">
      <alignment vertical="center" wrapText="1"/>
    </xf>
    <xf numFmtId="43" fontId="5" fillId="0" borderId="8" xfId="1" applyFont="1" applyBorder="1" applyAlignment="1">
      <alignment vertical="center" wrapText="1"/>
    </xf>
    <xf numFmtId="43" fontId="3" fillId="0" borderId="0" xfId="1" applyFont="1" applyAlignment="1">
      <alignment vertical="center" wrapText="1"/>
    </xf>
    <xf numFmtId="43" fontId="3" fillId="0" borderId="0" xfId="1" applyFont="1" applyFill="1" applyAlignment="1">
      <alignment vertical="center" wrapText="1"/>
    </xf>
    <xf numFmtId="43" fontId="5" fillId="0" borderId="9" xfId="1" applyFont="1" applyFill="1" applyBorder="1" applyAlignment="1">
      <alignment vertical="center" wrapText="1"/>
    </xf>
    <xf numFmtId="43" fontId="5" fillId="0" borderId="10" xfId="1" applyFont="1" applyBorder="1" applyAlignment="1">
      <alignment vertical="center" wrapText="1"/>
    </xf>
    <xf numFmtId="43" fontId="5" fillId="0" borderId="0" xfId="1" applyFont="1" applyFill="1" applyAlignment="1">
      <alignment vertical="center" wrapText="1"/>
    </xf>
    <xf numFmtId="43" fontId="5" fillId="0" borderId="0" xfId="1" applyFont="1" applyAlignment="1">
      <alignment vertical="center" wrapText="1"/>
    </xf>
    <xf numFmtId="43" fontId="3" fillId="0" borderId="0" xfId="1" applyFont="1" applyBorder="1" applyAlignment="1">
      <alignment vertical="center" wrapText="1"/>
    </xf>
    <xf numFmtId="43" fontId="5" fillId="0" borderId="0" xfId="1" applyFont="1" applyFill="1" applyBorder="1" applyAlignment="1">
      <alignment vertical="center" wrapText="1"/>
    </xf>
    <xf numFmtId="43" fontId="3" fillId="0" borderId="0" xfId="1" applyFont="1" applyFill="1" applyBorder="1" applyAlignment="1">
      <alignment vertical="center" wrapText="1"/>
    </xf>
    <xf numFmtId="43" fontId="4" fillId="5" borderId="1" xfId="1" applyFont="1" applyFill="1" applyBorder="1" applyAlignment="1">
      <alignment horizontal="center" vertical="center" wrapText="1"/>
    </xf>
    <xf numFmtId="43" fontId="4" fillId="5" borderId="2" xfId="1" applyFont="1" applyFill="1" applyBorder="1" applyAlignment="1">
      <alignment horizontal="center" vertical="center" wrapText="1"/>
    </xf>
    <xf numFmtId="43" fontId="4" fillId="5" borderId="2" xfId="1" applyFont="1" applyFill="1" applyBorder="1" applyAlignment="1">
      <alignment vertical="center" wrapText="1"/>
    </xf>
    <xf numFmtId="43" fontId="4" fillId="5" borderId="3" xfId="1" applyFont="1" applyFill="1" applyBorder="1" applyAlignment="1">
      <alignment vertical="center" wrapText="1"/>
    </xf>
    <xf numFmtId="43" fontId="5" fillId="0" borderId="4" xfId="1" applyFont="1" applyBorder="1" applyAlignment="1">
      <alignment horizontal="center" vertical="center" wrapText="1"/>
    </xf>
    <xf numFmtId="43" fontId="5" fillId="0" borderId="5" xfId="1" applyFont="1" applyBorder="1" applyAlignment="1">
      <alignment horizontal="left" vertical="center" wrapText="1"/>
    </xf>
    <xf numFmtId="43" fontId="5" fillId="6" borderId="5" xfId="1" applyFont="1" applyFill="1" applyBorder="1" applyAlignment="1">
      <alignment vertical="center" wrapText="1"/>
    </xf>
    <xf numFmtId="43" fontId="5" fillId="6" borderId="6" xfId="1" applyFont="1" applyFill="1" applyBorder="1" applyAlignment="1">
      <alignment vertical="center" wrapText="1"/>
    </xf>
    <xf numFmtId="43" fontId="5" fillId="0" borderId="5" xfId="1" applyFont="1" applyBorder="1" applyAlignment="1">
      <alignment vertical="center" wrapText="1"/>
    </xf>
    <xf numFmtId="43" fontId="5" fillId="0" borderId="6" xfId="1" applyFont="1" applyBorder="1" applyAlignment="1">
      <alignment vertical="center" wrapText="1"/>
    </xf>
    <xf numFmtId="43" fontId="5" fillId="0" borderId="11" xfId="1" applyFont="1" applyBorder="1" applyAlignment="1">
      <alignment horizontal="center" vertical="center" wrapText="1"/>
    </xf>
    <xf numFmtId="43" fontId="5" fillId="0" borderId="12" xfId="1" applyFont="1" applyBorder="1" applyAlignment="1">
      <alignment horizontal="left" vertical="center" wrapText="1"/>
    </xf>
    <xf numFmtId="43" fontId="5" fillId="0" borderId="12" xfId="1" applyFont="1" applyBorder="1" applyAlignment="1">
      <alignment horizontal="center" vertical="center" wrapText="1"/>
    </xf>
    <xf numFmtId="43" fontId="5" fillId="0" borderId="12" xfId="1" applyFont="1" applyBorder="1" applyAlignment="1">
      <alignment vertical="center" wrapText="1"/>
    </xf>
    <xf numFmtId="43" fontId="5" fillId="0" borderId="13" xfId="1" applyFont="1" applyBorder="1" applyAlignment="1">
      <alignment horizontal="left" vertical="center" wrapText="1"/>
    </xf>
    <xf numFmtId="43" fontId="5" fillId="0" borderId="13" xfId="1" applyFont="1" applyBorder="1" applyAlignment="1">
      <alignment horizontal="center" vertical="center" wrapText="1"/>
    </xf>
    <xf numFmtId="43" fontId="5" fillId="0" borderId="13" xfId="1" applyFont="1" applyBorder="1" applyAlignment="1">
      <alignment vertical="center" wrapText="1"/>
    </xf>
    <xf numFmtId="43" fontId="5" fillId="0" borderId="14" xfId="1" applyFont="1" applyBorder="1" applyAlignment="1">
      <alignment vertical="center" wrapText="1"/>
    </xf>
    <xf numFmtId="43" fontId="3" fillId="0" borderId="0" xfId="1" applyFont="1" applyFill="1" applyAlignment="1">
      <alignment vertical="center"/>
    </xf>
    <xf numFmtId="43" fontId="3" fillId="0" borderId="0" xfId="1" applyFont="1" applyAlignment="1">
      <alignment vertical="center"/>
    </xf>
    <xf numFmtId="43" fontId="11" fillId="0" borderId="0" xfId="1" applyFont="1" applyBorder="1" applyAlignment="1">
      <alignment horizontal="left" vertical="center"/>
    </xf>
    <xf numFmtId="43" fontId="3" fillId="0" borderId="0" xfId="1" applyFont="1" applyBorder="1" applyAlignment="1">
      <alignment vertical="center"/>
    </xf>
    <xf numFmtId="43" fontId="5" fillId="0" borderId="15" xfId="1" applyFont="1" applyBorder="1" applyAlignment="1">
      <alignment horizontal="center" vertical="center"/>
    </xf>
    <xf numFmtId="43" fontId="5" fillId="0" borderId="16" xfId="1" applyFont="1" applyBorder="1" applyAlignment="1">
      <alignment vertical="center"/>
    </xf>
    <xf numFmtId="43" fontId="5" fillId="0" borderId="16" xfId="1" applyFont="1" applyBorder="1" applyAlignment="1">
      <alignment horizontal="center" vertical="center"/>
    </xf>
    <xf numFmtId="43" fontId="5" fillId="0" borderId="17" xfId="1" applyFont="1" applyBorder="1" applyAlignment="1">
      <alignment horizontal="center" vertical="center"/>
    </xf>
    <xf numFmtId="43" fontId="5" fillId="0" borderId="18" xfId="1" applyFont="1" applyBorder="1" applyAlignment="1">
      <alignment horizontal="center" vertical="center"/>
    </xf>
    <xf numFmtId="43" fontId="5" fillId="0" borderId="19" xfId="1" applyFont="1" applyBorder="1" applyAlignment="1">
      <alignment horizontal="center" vertical="center"/>
    </xf>
    <xf numFmtId="43" fontId="5" fillId="0" borderId="0" xfId="1" applyFont="1" applyBorder="1" applyAlignment="1">
      <alignment vertical="center" wrapText="1"/>
    </xf>
    <xf numFmtId="43" fontId="5" fillId="0" borderId="0" xfId="1" applyFont="1" applyBorder="1" applyAlignment="1">
      <alignment vertical="center"/>
    </xf>
    <xf numFmtId="43" fontId="5" fillId="0" borderId="5" xfId="1" applyFont="1" applyBorder="1" applyAlignment="1">
      <alignment horizontal="justify" vertical="center" wrapText="1"/>
    </xf>
    <xf numFmtId="43" fontId="5" fillId="0" borderId="20" xfId="1" applyFont="1" applyBorder="1" applyAlignment="1">
      <alignment horizontal="center" vertical="center"/>
    </xf>
    <xf numFmtId="43" fontId="5" fillId="0" borderId="21" xfId="1" applyFont="1" applyBorder="1" applyAlignment="1">
      <alignment horizontal="justify" vertical="center" wrapText="1"/>
    </xf>
    <xf numFmtId="43" fontId="5" fillId="0" borderId="21" xfId="1" applyFont="1" applyBorder="1" applyAlignment="1">
      <alignment horizontal="center" vertical="center"/>
    </xf>
    <xf numFmtId="43" fontId="5" fillId="6" borderId="21" xfId="1" applyFont="1" applyFill="1" applyBorder="1" applyAlignment="1">
      <alignment vertical="center"/>
    </xf>
    <xf numFmtId="43" fontId="5" fillId="0" borderId="22" xfId="1" applyFont="1" applyBorder="1" applyAlignment="1">
      <alignment horizontal="center" vertical="center"/>
    </xf>
    <xf numFmtId="43" fontId="5" fillId="3" borderId="0" xfId="1" applyFont="1" applyFill="1" applyBorder="1" applyAlignment="1">
      <alignment horizontal="left" vertical="center"/>
    </xf>
    <xf numFmtId="43" fontId="5" fillId="3" borderId="0" xfId="1" applyFont="1" applyFill="1" applyBorder="1" applyAlignment="1">
      <alignment horizontal="center" vertical="center"/>
    </xf>
    <xf numFmtId="43" fontId="5" fillId="3" borderId="0" xfId="1" applyFont="1" applyFill="1" applyBorder="1" applyAlignment="1">
      <alignment vertical="center"/>
    </xf>
    <xf numFmtId="43" fontId="3" fillId="3" borderId="0" xfId="1" applyFont="1" applyFill="1" applyBorder="1" applyAlignment="1">
      <alignment vertical="center"/>
    </xf>
    <xf numFmtId="43" fontId="2" fillId="0" borderId="0" xfId="1" applyFont="1"/>
    <xf numFmtId="43" fontId="12" fillId="0" borderId="0" xfId="0" applyNumberFormat="1" applyFont="1" applyAlignment="1">
      <alignment vertical="center"/>
    </xf>
    <xf numFmtId="43" fontId="13" fillId="0" borderId="2" xfId="1" applyFont="1" applyFill="1" applyBorder="1" applyAlignment="1">
      <alignment vertical="center" wrapText="1"/>
    </xf>
    <xf numFmtId="43" fontId="13" fillId="0" borderId="5" xfId="1" applyFont="1" applyFill="1" applyBorder="1" applyAlignment="1">
      <alignment vertical="center" wrapText="1"/>
    </xf>
    <xf numFmtId="43" fontId="13" fillId="0" borderId="12" xfId="1" applyFont="1" applyFill="1" applyBorder="1" applyAlignment="1">
      <alignment vertical="center" wrapText="1"/>
    </xf>
    <xf numFmtId="43" fontId="13" fillId="0" borderId="13" xfId="1" applyFont="1" applyFill="1" applyBorder="1" applyAlignment="1">
      <alignment vertical="center" wrapText="1"/>
    </xf>
    <xf numFmtId="43" fontId="13" fillId="0" borderId="3" xfId="1" applyFont="1" applyFill="1" applyBorder="1" applyAlignment="1">
      <alignment vertical="center" wrapText="1"/>
    </xf>
    <xf numFmtId="43" fontId="12" fillId="0" borderId="0" xfId="1" applyFont="1" applyFill="1" applyBorder="1" applyAlignment="1">
      <alignment vertical="center" wrapText="1"/>
    </xf>
    <xf numFmtId="43" fontId="13" fillId="0" borderId="0" xfId="1" applyFont="1" applyFill="1" applyBorder="1" applyAlignment="1">
      <alignment vertical="center" wrapText="1"/>
    </xf>
    <xf numFmtId="43" fontId="13" fillId="0" borderId="11" xfId="1" applyFont="1" applyFill="1" applyBorder="1" applyAlignment="1">
      <alignment horizontal="center" vertical="center" wrapText="1"/>
    </xf>
    <xf numFmtId="0" fontId="5" fillId="7" borderId="27" xfId="0" applyFont="1" applyFill="1" applyBorder="1" applyAlignment="1">
      <alignment horizontal="center" vertical="center"/>
    </xf>
    <xf numFmtId="0" fontId="5" fillId="0" borderId="0" xfId="0" applyFont="1" applyAlignment="1">
      <alignment horizontal="center" vertical="center" wrapText="1"/>
    </xf>
    <xf numFmtId="0" fontId="5" fillId="7" borderId="28" xfId="0" applyFont="1" applyFill="1" applyBorder="1" applyAlignment="1">
      <alignment horizontal="center" vertical="center"/>
    </xf>
    <xf numFmtId="43" fontId="5" fillId="7" borderId="27" xfId="1" applyFont="1" applyFill="1" applyBorder="1" applyAlignment="1">
      <alignment horizontal="center" vertical="center"/>
    </xf>
    <xf numFmtId="43" fontId="5" fillId="7" borderId="27" xfId="1" applyFont="1" applyFill="1" applyBorder="1" applyAlignment="1">
      <alignment horizontal="center" vertical="center" wrapText="1"/>
    </xf>
    <xf numFmtId="43" fontId="5" fillId="7" borderId="29" xfId="1" applyFont="1" applyFill="1" applyBorder="1" applyAlignment="1">
      <alignment horizontal="center" vertical="center" wrapText="1"/>
    </xf>
    <xf numFmtId="164" fontId="5" fillId="7" borderId="27" xfId="1" applyNumberFormat="1" applyFont="1" applyFill="1" applyBorder="1" applyAlignment="1">
      <alignment horizontal="center" vertical="center" wrapText="1"/>
    </xf>
    <xf numFmtId="0" fontId="5" fillId="7" borderId="30" xfId="0" applyFont="1" applyFill="1" applyBorder="1" applyAlignment="1">
      <alignment horizontal="center" vertical="center" wrapText="1"/>
    </xf>
    <xf numFmtId="0" fontId="5" fillId="7" borderId="27" xfId="0" applyFont="1" applyFill="1" applyBorder="1" applyAlignment="1">
      <alignment horizontal="center" vertical="center" wrapText="1"/>
    </xf>
    <xf numFmtId="0" fontId="5" fillId="7" borderId="31" xfId="0" applyFont="1" applyFill="1" applyBorder="1" applyAlignment="1">
      <alignment horizontal="center" vertical="center" wrapText="1"/>
    </xf>
    <xf numFmtId="43" fontId="5" fillId="0" borderId="0" xfId="1" applyFont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5" fillId="0" borderId="0" xfId="0" applyFont="1" applyAlignment="1">
      <alignment vertical="center"/>
    </xf>
    <xf numFmtId="164" fontId="3" fillId="0" borderId="0" xfId="1" applyNumberFormat="1" applyFont="1" applyAlignment="1">
      <alignment vertical="center"/>
    </xf>
    <xf numFmtId="0" fontId="15" fillId="0" borderId="0" xfId="2" applyFont="1" applyAlignment="1">
      <alignment horizontal="center" vertical="center"/>
    </xf>
    <xf numFmtId="43" fontId="13" fillId="0" borderId="32" xfId="0" applyNumberFormat="1" applyFont="1" applyBorder="1" applyAlignment="1">
      <alignment vertical="center"/>
    </xf>
    <xf numFmtId="43" fontId="13" fillId="0" borderId="33" xfId="0" applyNumberFormat="1" applyFont="1" applyBorder="1" applyAlignment="1">
      <alignment vertical="center"/>
    </xf>
    <xf numFmtId="43" fontId="5" fillId="0" borderId="23" xfId="1" applyFont="1" applyBorder="1" applyAlignment="1">
      <alignment horizontal="center" vertical="center"/>
    </xf>
    <xf numFmtId="43" fontId="13" fillId="0" borderId="23" xfId="2" applyNumberFormat="1" applyFont="1" applyBorder="1" applyAlignment="1">
      <alignment horizontal="center" vertical="center" wrapText="1"/>
    </xf>
    <xf numFmtId="164" fontId="13" fillId="0" borderId="35" xfId="2" applyNumberFormat="1" applyFont="1" applyBorder="1" applyAlignment="1">
      <alignment horizontal="center" vertical="center" wrapText="1"/>
    </xf>
    <xf numFmtId="43" fontId="13" fillId="0" borderId="36" xfId="2" applyNumberFormat="1" applyFont="1" applyBorder="1" applyAlignment="1">
      <alignment horizontal="center" vertical="center" wrapText="1"/>
    </xf>
    <xf numFmtId="164" fontId="13" fillId="0" borderId="37" xfId="2" applyNumberFormat="1" applyFont="1" applyBorder="1" applyAlignment="1">
      <alignment horizontal="center" vertical="center" wrapText="1"/>
    </xf>
    <xf numFmtId="43" fontId="13" fillId="0" borderId="38" xfId="2" applyNumberFormat="1" applyFont="1" applyBorder="1" applyAlignment="1">
      <alignment horizontal="center" vertical="center" wrapText="1"/>
    </xf>
    <xf numFmtId="43" fontId="13" fillId="0" borderId="37" xfId="2" applyNumberFormat="1" applyFont="1" applyBorder="1" applyAlignment="1">
      <alignment horizontal="center" vertical="center" wrapText="1"/>
    </xf>
    <xf numFmtId="43" fontId="13" fillId="0" borderId="36" xfId="1" applyFont="1" applyFill="1" applyBorder="1" applyAlignment="1">
      <alignment horizontal="center" vertical="center" wrapText="1"/>
    </xf>
    <xf numFmtId="43" fontId="13" fillId="0" borderId="23" xfId="3" applyNumberFormat="1" applyFont="1" applyBorder="1" applyAlignment="1">
      <alignment horizontal="center" vertical="center"/>
    </xf>
    <xf numFmtId="164" fontId="13" fillId="0" borderId="35" xfId="3" applyNumberFormat="1" applyFont="1" applyBorder="1" applyAlignment="1">
      <alignment horizontal="center" vertical="center"/>
    </xf>
    <xf numFmtId="43" fontId="13" fillId="0" borderId="36" xfId="3" applyNumberFormat="1" applyFont="1" applyBorder="1" applyAlignment="1">
      <alignment horizontal="center" vertical="center"/>
    </xf>
    <xf numFmtId="43" fontId="13" fillId="0" borderId="38" xfId="3" applyNumberFormat="1" applyFont="1" applyBorder="1" applyAlignment="1">
      <alignment horizontal="center" vertical="center"/>
    </xf>
    <xf numFmtId="164" fontId="13" fillId="0" borderId="37" xfId="3" applyNumberFormat="1" applyFont="1" applyBorder="1" applyAlignment="1">
      <alignment horizontal="center" vertical="center"/>
    </xf>
    <xf numFmtId="43" fontId="13" fillId="0" borderId="37" xfId="3" applyNumberFormat="1" applyFont="1" applyBorder="1" applyAlignment="1">
      <alignment horizontal="center" vertical="center"/>
    </xf>
    <xf numFmtId="43" fontId="13" fillId="0" borderId="36" xfId="1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24" xfId="0" applyFont="1" applyBorder="1" applyAlignment="1">
      <alignment horizontal="center" vertical="center"/>
    </xf>
    <xf numFmtId="0" fontId="4" fillId="0" borderId="25" xfId="0" applyFont="1" applyBorder="1" applyAlignment="1">
      <alignment horizontal="left" vertical="center"/>
    </xf>
    <xf numFmtId="43" fontId="5" fillId="0" borderId="25" xfId="1" applyFont="1" applyBorder="1" applyAlignment="1">
      <alignment horizontal="center" vertical="center"/>
    </xf>
    <xf numFmtId="43" fontId="3" fillId="0" borderId="25" xfId="1" applyFont="1" applyBorder="1" applyAlignment="1">
      <alignment vertical="center"/>
    </xf>
    <xf numFmtId="43" fontId="5" fillId="0" borderId="25" xfId="0" applyNumberFormat="1" applyFont="1" applyBorder="1" applyAlignment="1">
      <alignment horizontal="center" vertical="center"/>
    </xf>
    <xf numFmtId="43" fontId="12" fillId="0" borderId="26" xfId="1" applyFont="1" applyFill="1" applyBorder="1" applyAlignment="1">
      <alignment horizontal="center" vertical="center"/>
    </xf>
    <xf numFmtId="164" fontId="5" fillId="0" borderId="39" xfId="0" applyNumberFormat="1" applyFont="1" applyBorder="1" applyAlignment="1">
      <alignment horizontal="center" vertical="center"/>
    </xf>
    <xf numFmtId="43" fontId="5" fillId="0" borderId="40" xfId="0" applyNumberFormat="1" applyFont="1" applyBorder="1" applyAlignment="1">
      <alignment horizontal="center" vertical="center"/>
    </xf>
    <xf numFmtId="43" fontId="5" fillId="0" borderId="41" xfId="0" applyNumberFormat="1" applyFont="1" applyBorder="1" applyAlignment="1">
      <alignment horizontal="center" vertical="center"/>
    </xf>
    <xf numFmtId="164" fontId="13" fillId="0" borderId="42" xfId="1" applyNumberFormat="1" applyFont="1" applyFill="1" applyBorder="1" applyAlignment="1">
      <alignment horizontal="center" vertical="center"/>
    </xf>
    <xf numFmtId="43" fontId="13" fillId="0" borderId="42" xfId="1" applyFont="1" applyFill="1" applyBorder="1" applyAlignment="1">
      <alignment horizontal="center" vertical="center"/>
    </xf>
    <xf numFmtId="43" fontId="5" fillId="0" borderId="40" xfId="1" applyFont="1" applyFill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5" xfId="0" applyFont="1" applyBorder="1" applyAlignment="1">
      <alignment horizontal="left" vertical="center"/>
    </xf>
    <xf numFmtId="43" fontId="3" fillId="0" borderId="5" xfId="0" applyNumberFormat="1" applyFont="1" applyBorder="1" applyAlignment="1">
      <alignment horizontal="center" vertical="center"/>
    </xf>
    <xf numFmtId="43" fontId="12" fillId="0" borderId="6" xfId="1" applyFont="1" applyFill="1" applyBorder="1" applyAlignment="1">
      <alignment horizontal="center" vertical="center"/>
    </xf>
    <xf numFmtId="164" fontId="3" fillId="0" borderId="39" xfId="0" applyNumberFormat="1" applyFont="1" applyBorder="1" applyAlignment="1">
      <alignment horizontal="center" vertical="center"/>
    </xf>
    <xf numFmtId="43" fontId="3" fillId="0" borderId="40" xfId="0" applyNumberFormat="1" applyFont="1" applyBorder="1" applyAlignment="1">
      <alignment horizontal="center" vertical="center"/>
    </xf>
    <xf numFmtId="43" fontId="3" fillId="0" borderId="41" xfId="0" applyNumberFormat="1" applyFont="1" applyBorder="1" applyAlignment="1">
      <alignment horizontal="center" vertical="center"/>
    </xf>
    <xf numFmtId="164" fontId="12" fillId="0" borderId="42" xfId="1" applyNumberFormat="1" applyFont="1" applyFill="1" applyBorder="1" applyAlignment="1">
      <alignment horizontal="center" vertical="center"/>
    </xf>
    <xf numFmtId="43" fontId="12" fillId="0" borderId="42" xfId="1" applyFont="1" applyFill="1" applyBorder="1" applyAlignment="1">
      <alignment horizontal="center" vertical="center"/>
    </xf>
    <xf numFmtId="43" fontId="12" fillId="0" borderId="43" xfId="1" applyFont="1" applyFill="1" applyBorder="1" applyAlignment="1">
      <alignment horizontal="center" vertical="center"/>
    </xf>
    <xf numFmtId="43" fontId="3" fillId="0" borderId="40" xfId="1" applyFont="1" applyFill="1" applyBorder="1" applyAlignment="1">
      <alignment horizontal="center" vertical="center"/>
    </xf>
    <xf numFmtId="43" fontId="12" fillId="0" borderId="44" xfId="1" applyFont="1" applyFill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5" xfId="0" applyFont="1" applyBorder="1" applyAlignment="1">
      <alignment horizontal="left" vertical="center"/>
    </xf>
    <xf numFmtId="43" fontId="5" fillId="0" borderId="5" xfId="0" applyNumberFormat="1" applyFont="1" applyBorder="1" applyAlignment="1">
      <alignment horizontal="center" vertical="center"/>
    </xf>
    <xf numFmtId="43" fontId="13" fillId="0" borderId="6" xfId="1" applyFont="1" applyFill="1" applyBorder="1" applyAlignment="1">
      <alignment horizontal="center" vertical="center"/>
    </xf>
    <xf numFmtId="43" fontId="3" fillId="0" borderId="5" xfId="0" applyNumberFormat="1" applyFont="1" applyBorder="1" applyAlignment="1">
      <alignment vertical="center"/>
    </xf>
    <xf numFmtId="43" fontId="3" fillId="0" borderId="6" xfId="0" applyNumberFormat="1" applyFont="1" applyBorder="1" applyAlignment="1">
      <alignment vertical="center"/>
    </xf>
    <xf numFmtId="164" fontId="3" fillId="0" borderId="13" xfId="0" applyNumberFormat="1" applyFont="1" applyBorder="1" applyAlignment="1">
      <alignment vertical="center"/>
    </xf>
    <xf numFmtId="43" fontId="3" fillId="0" borderId="13" xfId="0" applyNumberFormat="1" applyFont="1" applyBorder="1" applyAlignment="1">
      <alignment vertical="center"/>
    </xf>
    <xf numFmtId="43" fontId="3" fillId="0" borderId="45" xfId="0" applyNumberFormat="1" applyFont="1" applyBorder="1" applyAlignment="1">
      <alignment vertical="center"/>
    </xf>
    <xf numFmtId="164" fontId="12" fillId="0" borderId="43" xfId="1" applyNumberFormat="1" applyFont="1" applyFill="1" applyBorder="1" applyAlignment="1">
      <alignment horizontal="center" vertical="center"/>
    </xf>
    <xf numFmtId="43" fontId="3" fillId="0" borderId="46" xfId="0" applyNumberFormat="1" applyFont="1" applyBorder="1" applyAlignment="1">
      <alignment horizontal="center" vertical="center"/>
    </xf>
    <xf numFmtId="43" fontId="3" fillId="0" borderId="13" xfId="1" applyFont="1" applyFill="1" applyBorder="1" applyAlignment="1">
      <alignment vertical="center"/>
    </xf>
    <xf numFmtId="0" fontId="3" fillId="0" borderId="11" xfId="0" applyFont="1" applyBorder="1" applyAlignment="1">
      <alignment horizontal="center" vertical="center"/>
    </xf>
    <xf numFmtId="0" fontId="3" fillId="0" borderId="12" xfId="0" applyFont="1" applyBorder="1" applyAlignment="1">
      <alignment horizontal="left" vertical="center"/>
    </xf>
    <xf numFmtId="43" fontId="3" fillId="0" borderId="12" xfId="1" applyFont="1" applyBorder="1" applyAlignment="1">
      <alignment horizontal="center" vertical="center"/>
    </xf>
    <xf numFmtId="43" fontId="3" fillId="0" borderId="12" xfId="1" applyFont="1" applyBorder="1" applyAlignment="1">
      <alignment vertical="center"/>
    </xf>
    <xf numFmtId="43" fontId="3" fillId="0" borderId="12" xfId="0" applyNumberFormat="1" applyFont="1" applyBorder="1" applyAlignment="1">
      <alignment vertical="center"/>
    </xf>
    <xf numFmtId="43" fontId="3" fillId="0" borderId="14" xfId="0" applyNumberFormat="1" applyFont="1" applyBorder="1" applyAlignment="1">
      <alignment vertical="center"/>
    </xf>
    <xf numFmtId="164" fontId="3" fillId="0" borderId="0" xfId="0" applyNumberFormat="1" applyFont="1" applyAlignment="1">
      <alignment vertical="center"/>
    </xf>
    <xf numFmtId="43" fontId="3" fillId="0" borderId="0" xfId="0" applyNumberFormat="1" applyFont="1" applyAlignment="1">
      <alignment vertical="center"/>
    </xf>
    <xf numFmtId="164" fontId="12" fillId="0" borderId="0" xfId="1" applyNumberFormat="1" applyFont="1" applyFill="1" applyBorder="1" applyAlignment="1">
      <alignment horizontal="center" vertical="center"/>
    </xf>
    <xf numFmtId="43" fontId="12" fillId="0" borderId="0" xfId="1" applyFont="1" applyFill="1" applyBorder="1" applyAlignment="1">
      <alignment horizontal="center" vertical="center"/>
    </xf>
    <xf numFmtId="43" fontId="3" fillId="0" borderId="0" xfId="0" applyNumberFormat="1" applyFont="1" applyAlignment="1">
      <alignment horizontal="center" vertical="center"/>
    </xf>
    <xf numFmtId="43" fontId="3" fillId="0" borderId="0" xfId="1" applyFont="1" applyFill="1" applyBorder="1" applyAlignment="1">
      <alignment vertical="center"/>
    </xf>
    <xf numFmtId="43" fontId="5" fillId="0" borderId="0" xfId="1" applyFont="1" applyAlignment="1">
      <alignment horizontal="center" vertical="center"/>
    </xf>
    <xf numFmtId="43" fontId="5" fillId="0" borderId="0" xfId="1" applyFont="1" applyAlignment="1">
      <alignment horizontal="left" vertical="center"/>
    </xf>
    <xf numFmtId="43" fontId="3" fillId="0" borderId="0" xfId="1" applyFont="1" applyAlignment="1">
      <alignment horizontal="center" vertical="center"/>
    </xf>
    <xf numFmtId="0" fontId="5" fillId="7" borderId="47" xfId="0" applyFont="1" applyFill="1" applyBorder="1" applyAlignment="1">
      <alignment horizontal="center" vertical="center"/>
    </xf>
    <xf numFmtId="0" fontId="3" fillId="7" borderId="48" xfId="0" applyFont="1" applyFill="1" applyBorder="1" applyAlignment="1">
      <alignment vertical="center"/>
    </xf>
    <xf numFmtId="0" fontId="3" fillId="7" borderId="47" xfId="0" applyFont="1" applyFill="1" applyBorder="1" applyAlignment="1">
      <alignment horizontal="center" vertical="center"/>
    </xf>
    <xf numFmtId="0" fontId="3" fillId="7" borderId="47" xfId="0" applyFont="1" applyFill="1" applyBorder="1" applyAlignment="1">
      <alignment vertical="center"/>
    </xf>
    <xf numFmtId="43" fontId="3" fillId="7" borderId="47" xfId="1" applyFont="1" applyFill="1" applyBorder="1" applyAlignment="1">
      <alignment vertical="center"/>
    </xf>
    <xf numFmtId="43" fontId="5" fillId="7" borderId="47" xfId="1" applyFont="1" applyFill="1" applyBorder="1" applyAlignment="1">
      <alignment horizontal="center" vertical="center"/>
    </xf>
    <xf numFmtId="43" fontId="17" fillId="7" borderId="49" xfId="1" applyFont="1" applyFill="1" applyBorder="1" applyAlignment="1">
      <alignment horizontal="center" vertical="center"/>
    </xf>
    <xf numFmtId="164" fontId="17" fillId="7" borderId="47" xfId="1" applyNumberFormat="1" applyFont="1" applyFill="1" applyBorder="1" applyAlignment="1">
      <alignment horizontal="center" vertical="center"/>
    </xf>
    <xf numFmtId="43" fontId="17" fillId="7" borderId="47" xfId="1" applyFont="1" applyFill="1" applyBorder="1" applyAlignment="1">
      <alignment horizontal="center" vertical="center"/>
    </xf>
    <xf numFmtId="43" fontId="17" fillId="7" borderId="50" xfId="1" applyFont="1" applyFill="1" applyBorder="1" applyAlignment="1">
      <alignment horizontal="center" vertical="center"/>
    </xf>
    <xf numFmtId="164" fontId="17" fillId="7" borderId="47" xfId="0" applyNumberFormat="1" applyFont="1" applyFill="1" applyBorder="1" applyAlignment="1">
      <alignment horizontal="center" vertical="center"/>
    </xf>
    <xf numFmtId="0" fontId="17" fillId="7" borderId="47" xfId="0" applyFont="1" applyFill="1" applyBorder="1" applyAlignment="1">
      <alignment horizontal="center" vertical="center"/>
    </xf>
    <xf numFmtId="43" fontId="3" fillId="7" borderId="52" xfId="1" applyFont="1" applyFill="1" applyBorder="1" applyAlignment="1">
      <alignment vertical="center"/>
    </xf>
    <xf numFmtId="0" fontId="3" fillId="0" borderId="1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43" fontId="5" fillId="0" borderId="2" xfId="1" applyFont="1" applyBorder="1" applyAlignment="1">
      <alignment horizontal="center" vertical="center"/>
    </xf>
    <xf numFmtId="164" fontId="5" fillId="0" borderId="2" xfId="1" applyNumberFormat="1" applyFont="1" applyBorder="1" applyAlignment="1">
      <alignment horizontal="center" vertical="center"/>
    </xf>
    <xf numFmtId="0" fontId="5" fillId="0" borderId="53" xfId="0" applyFont="1" applyBorder="1" applyAlignment="1">
      <alignment horizontal="center" vertical="center"/>
    </xf>
    <xf numFmtId="0" fontId="5" fillId="0" borderId="23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5" xfId="0" applyFont="1" applyBorder="1" applyAlignment="1">
      <alignment vertical="center"/>
    </xf>
    <xf numFmtId="164" fontId="3" fillId="0" borderId="5" xfId="1" applyNumberFormat="1" applyFont="1" applyBorder="1" applyAlignment="1">
      <alignment horizontal="center" vertical="center"/>
    </xf>
    <xf numFmtId="43" fontId="18" fillId="0" borderId="5" xfId="1" applyFont="1" applyBorder="1" applyAlignment="1">
      <alignment horizontal="center" vertical="center"/>
    </xf>
    <xf numFmtId="0" fontId="3" fillId="0" borderId="6" xfId="0" applyFont="1" applyBorder="1" applyAlignment="1">
      <alignment vertical="center"/>
    </xf>
    <xf numFmtId="43" fontId="19" fillId="0" borderId="54" xfId="0" applyNumberFormat="1" applyFont="1" applyBorder="1" applyAlignment="1">
      <alignment vertical="center"/>
    </xf>
    <xf numFmtId="43" fontId="19" fillId="0" borderId="55" xfId="1" applyFont="1" applyBorder="1" applyAlignment="1">
      <alignment vertical="center"/>
    </xf>
    <xf numFmtId="43" fontId="3" fillId="0" borderId="54" xfId="0" applyNumberFormat="1" applyFont="1" applyBorder="1" applyAlignment="1">
      <alignment vertical="center"/>
    </xf>
    <xf numFmtId="43" fontId="3" fillId="0" borderId="55" xfId="0" applyNumberFormat="1" applyFont="1" applyBorder="1" applyAlignment="1">
      <alignment vertical="center"/>
    </xf>
    <xf numFmtId="2" fontId="3" fillId="9" borderId="4" xfId="0" applyNumberFormat="1" applyFont="1" applyFill="1" applyBorder="1" applyAlignment="1">
      <alignment horizontal="center" vertical="center"/>
    </xf>
    <xf numFmtId="0" fontId="5" fillId="9" borderId="5" xfId="0" applyFont="1" applyFill="1" applyBorder="1" applyAlignment="1">
      <alignment horizontal="center" vertical="center"/>
    </xf>
    <xf numFmtId="43" fontId="5" fillId="9" borderId="5" xfId="1" applyFont="1" applyFill="1" applyBorder="1" applyAlignment="1">
      <alignment vertical="center"/>
    </xf>
    <xf numFmtId="164" fontId="20" fillId="9" borderId="5" xfId="1" applyNumberFormat="1" applyFont="1" applyFill="1" applyBorder="1" applyAlignment="1">
      <alignment vertical="center"/>
    </xf>
    <xf numFmtId="43" fontId="5" fillId="10" borderId="5" xfId="1" applyFont="1" applyFill="1" applyBorder="1" applyAlignment="1">
      <alignment horizontal="center" vertical="center"/>
    </xf>
    <xf numFmtId="0" fontId="5" fillId="9" borderId="5" xfId="0" applyFont="1" applyFill="1" applyBorder="1" applyAlignment="1">
      <alignment vertical="center"/>
    </xf>
    <xf numFmtId="0" fontId="5" fillId="9" borderId="6" xfId="0" applyFont="1" applyFill="1" applyBorder="1" applyAlignment="1">
      <alignment vertical="center"/>
    </xf>
    <xf numFmtId="43" fontId="5" fillId="9" borderId="56" xfId="1" applyFont="1" applyFill="1" applyBorder="1" applyAlignment="1">
      <alignment vertical="center"/>
    </xf>
    <xf numFmtId="43" fontId="5" fillId="9" borderId="11" xfId="1" applyFont="1" applyFill="1" applyBorder="1" applyAlignment="1">
      <alignment vertical="center"/>
    </xf>
    <xf numFmtId="43" fontId="5" fillId="9" borderId="14" xfId="1" applyFont="1" applyFill="1" applyBorder="1" applyAlignment="1">
      <alignment vertical="center"/>
    </xf>
    <xf numFmtId="0" fontId="5" fillId="9" borderId="0" xfId="0" applyFont="1" applyFill="1" applyAlignment="1">
      <alignment vertical="center"/>
    </xf>
    <xf numFmtId="2" fontId="3" fillId="0" borderId="4" xfId="0" applyNumberFormat="1" applyFont="1" applyBorder="1" applyAlignment="1">
      <alignment horizontal="center" vertical="center"/>
    </xf>
    <xf numFmtId="2" fontId="3" fillId="0" borderId="5" xfId="0" applyNumberFormat="1" applyFont="1" applyBorder="1" applyAlignment="1">
      <alignment horizontal="center" vertical="center"/>
    </xf>
    <xf numFmtId="164" fontId="3" fillId="0" borderId="5" xfId="1" applyNumberFormat="1" applyFont="1" applyBorder="1" applyAlignment="1">
      <alignment vertical="center"/>
    </xf>
    <xf numFmtId="0" fontId="5" fillId="0" borderId="25" xfId="0" applyFont="1" applyBorder="1" applyAlignment="1">
      <alignment horizontal="center" vertical="center"/>
    </xf>
    <xf numFmtId="43" fontId="5" fillId="9" borderId="0" xfId="1" applyFont="1" applyFill="1" applyBorder="1" applyAlignment="1">
      <alignment vertical="center"/>
    </xf>
    <xf numFmtId="0" fontId="13" fillId="0" borderId="7" xfId="4" applyNumberFormat="1" applyFont="1" applyFill="1" applyBorder="1" applyAlignment="1">
      <alignment horizontal="left" vertical="center" wrapText="1"/>
    </xf>
    <xf numFmtId="43" fontId="13" fillId="0" borderId="8" xfId="4" applyFont="1" applyFill="1" applyBorder="1" applyAlignment="1">
      <alignment vertical="center"/>
    </xf>
    <xf numFmtId="43" fontId="12" fillId="0" borderId="0" xfId="4" applyFont="1" applyFill="1" applyAlignment="1">
      <alignment vertical="center"/>
    </xf>
    <xf numFmtId="43" fontId="13" fillId="0" borderId="0" xfId="4" applyFont="1" applyFill="1" applyBorder="1" applyAlignment="1">
      <alignment vertical="center" wrapText="1"/>
    </xf>
    <xf numFmtId="43" fontId="12" fillId="0" borderId="0" xfId="4" applyFont="1" applyFill="1" applyBorder="1" applyAlignment="1">
      <alignment vertical="center"/>
    </xf>
    <xf numFmtId="43" fontId="13" fillId="0" borderId="0" xfId="4" applyFont="1" applyFill="1" applyBorder="1" applyAlignment="1">
      <alignment vertical="center"/>
    </xf>
    <xf numFmtId="0" fontId="13" fillId="0" borderId="57" xfId="4" applyNumberFormat="1" applyFont="1" applyFill="1" applyBorder="1" applyAlignment="1">
      <alignment horizontal="left" vertical="center" wrapText="1"/>
    </xf>
    <xf numFmtId="43" fontId="13" fillId="0" borderId="58" xfId="4" applyFont="1" applyFill="1" applyBorder="1" applyAlignment="1">
      <alignment vertical="center"/>
    </xf>
    <xf numFmtId="0" fontId="13" fillId="0" borderId="9" xfId="4" applyNumberFormat="1" applyFont="1" applyFill="1" applyBorder="1" applyAlignment="1">
      <alignment horizontal="left" vertical="center" wrapText="1"/>
    </xf>
    <xf numFmtId="43" fontId="13" fillId="0" borderId="10" xfId="4" applyFont="1" applyFill="1" applyBorder="1" applyAlignment="1">
      <alignment vertical="center"/>
    </xf>
    <xf numFmtId="43" fontId="7" fillId="0" borderId="0" xfId="4" applyFont="1" applyFill="1" applyAlignment="1">
      <alignment vertical="center"/>
    </xf>
    <xf numFmtId="0" fontId="13" fillId="0" borderId="0" xfId="4" applyNumberFormat="1" applyFont="1" applyFill="1" applyBorder="1" applyAlignment="1">
      <alignment horizontal="left" vertical="center" wrapText="1"/>
    </xf>
    <xf numFmtId="0" fontId="13" fillId="0" borderId="0" xfId="4" applyNumberFormat="1" applyFont="1" applyFill="1" applyAlignment="1">
      <alignment vertical="center"/>
    </xf>
    <xf numFmtId="43" fontId="12" fillId="0" borderId="0" xfId="4" applyFont="1" applyFill="1" applyAlignment="1">
      <alignment vertical="center" wrapText="1"/>
    </xf>
    <xf numFmtId="0" fontId="12" fillId="0" borderId="1" xfId="4" applyNumberFormat="1" applyFont="1" applyFill="1" applyBorder="1" applyAlignment="1">
      <alignment horizontal="center" vertical="center"/>
    </xf>
    <xf numFmtId="43" fontId="12" fillId="0" borderId="2" xfId="4" applyFont="1" applyFill="1" applyBorder="1" applyAlignment="1">
      <alignment vertical="center"/>
    </xf>
    <xf numFmtId="43" fontId="7" fillId="0" borderId="2" xfId="4" applyFont="1" applyFill="1" applyBorder="1" applyAlignment="1">
      <alignment horizontal="center" vertical="center"/>
    </xf>
    <xf numFmtId="43" fontId="12" fillId="0" borderId="3" xfId="4" applyFont="1" applyFill="1" applyBorder="1" applyAlignment="1">
      <alignment horizontal="center" vertical="center"/>
    </xf>
    <xf numFmtId="0" fontId="12" fillId="0" borderId="4" xfId="4" applyNumberFormat="1" applyFont="1" applyFill="1" applyBorder="1" applyAlignment="1">
      <alignment horizontal="center" vertical="center"/>
    </xf>
    <xf numFmtId="43" fontId="12" fillId="0" borderId="5" xfId="4" applyFont="1" applyFill="1" applyBorder="1" applyAlignment="1">
      <alignment vertical="center"/>
    </xf>
    <xf numFmtId="43" fontId="7" fillId="0" borderId="5" xfId="4" applyFont="1" applyFill="1" applyBorder="1" applyAlignment="1">
      <alignment horizontal="center" vertical="center"/>
    </xf>
    <xf numFmtId="43" fontId="12" fillId="0" borderId="6" xfId="4" applyFont="1" applyFill="1" applyBorder="1" applyAlignment="1">
      <alignment horizontal="center" vertical="center"/>
    </xf>
    <xf numFmtId="43" fontId="3" fillId="0" borderId="23" xfId="1" applyFont="1" applyBorder="1" applyAlignment="1">
      <alignment vertical="center"/>
    </xf>
    <xf numFmtId="2" fontId="3" fillId="0" borderId="0" xfId="1" applyNumberFormat="1" applyFont="1" applyAlignment="1">
      <alignment vertical="center"/>
    </xf>
    <xf numFmtId="2" fontId="12" fillId="0" borderId="0" xfId="4" applyNumberFormat="1" applyFont="1" applyFill="1" applyAlignment="1">
      <alignment vertical="center"/>
    </xf>
    <xf numFmtId="43" fontId="12" fillId="0" borderId="5" xfId="4" applyFont="1" applyFill="1" applyBorder="1" applyAlignment="1">
      <alignment horizontal="center" vertical="center"/>
    </xf>
    <xf numFmtId="43" fontId="12" fillId="6" borderId="0" xfId="4" applyFont="1" applyFill="1" applyAlignment="1">
      <alignment vertical="center" wrapText="1"/>
    </xf>
    <xf numFmtId="43" fontId="12" fillId="6" borderId="5" xfId="4" applyFont="1" applyFill="1" applyBorder="1" applyAlignment="1">
      <alignment horizontal="center" vertical="center"/>
    </xf>
    <xf numFmtId="43" fontId="12" fillId="0" borderId="0" xfId="4" applyFont="1" applyFill="1" applyBorder="1" applyAlignment="1">
      <alignment horizontal="center" vertical="center"/>
    </xf>
    <xf numFmtId="43" fontId="12" fillId="6" borderId="0" xfId="4" applyFont="1" applyFill="1" applyAlignment="1">
      <alignment vertical="center"/>
    </xf>
    <xf numFmtId="43" fontId="12" fillId="0" borderId="12" xfId="4" applyFont="1" applyFill="1" applyBorder="1" applyAlignment="1">
      <alignment vertical="center"/>
    </xf>
    <xf numFmtId="43" fontId="7" fillId="0" borderId="12" xfId="4" applyFont="1" applyFill="1" applyBorder="1" applyAlignment="1">
      <alignment horizontal="center" vertical="center"/>
    </xf>
    <xf numFmtId="43" fontId="12" fillId="0" borderId="14" xfId="4" applyFont="1" applyFill="1" applyBorder="1" applyAlignment="1">
      <alignment horizontal="center" vertical="center"/>
    </xf>
    <xf numFmtId="43" fontId="3" fillId="0" borderId="0" xfId="4" applyFont="1" applyFill="1" applyBorder="1" applyAlignment="1">
      <alignment vertical="center"/>
    </xf>
    <xf numFmtId="0" fontId="12" fillId="0" borderId="0" xfId="4" applyNumberFormat="1" applyFont="1" applyFill="1" applyBorder="1" applyAlignment="1">
      <alignment horizontal="center" vertical="center"/>
    </xf>
    <xf numFmtId="43" fontId="4" fillId="5" borderId="1" xfId="4" applyFont="1" applyFill="1" applyBorder="1" applyAlignment="1">
      <alignment vertical="center"/>
    </xf>
    <xf numFmtId="43" fontId="4" fillId="5" borderId="2" xfId="4" applyFont="1" applyFill="1" applyBorder="1" applyAlignment="1">
      <alignment vertical="center"/>
    </xf>
    <xf numFmtId="43" fontId="4" fillId="6" borderId="2" xfId="4" applyFont="1" applyFill="1" applyBorder="1" applyAlignment="1">
      <alignment vertical="center"/>
    </xf>
    <xf numFmtId="43" fontId="4" fillId="5" borderId="3" xfId="4" applyFont="1" applyFill="1" applyBorder="1" applyAlignment="1">
      <alignment vertical="center"/>
    </xf>
    <xf numFmtId="43" fontId="4" fillId="5" borderId="4" xfId="4" applyFont="1" applyFill="1" applyBorder="1" applyAlignment="1">
      <alignment vertical="center"/>
    </xf>
    <xf numFmtId="43" fontId="4" fillId="5" borderId="5" xfId="4" applyFont="1" applyFill="1" applyBorder="1" applyAlignment="1">
      <alignment vertical="center"/>
    </xf>
    <xf numFmtId="43" fontId="4" fillId="6" borderId="5" xfId="4" applyFont="1" applyFill="1" applyBorder="1" applyAlignment="1">
      <alignment vertical="center"/>
    </xf>
    <xf numFmtId="43" fontId="4" fillId="5" borderId="6" xfId="4" applyFont="1" applyFill="1" applyBorder="1" applyAlignment="1">
      <alignment vertical="center"/>
    </xf>
    <xf numFmtId="43" fontId="13" fillId="0" borderId="5" xfId="4" applyFont="1" applyFill="1" applyBorder="1" applyAlignment="1">
      <alignment vertical="center"/>
    </xf>
    <xf numFmtId="0" fontId="0" fillId="0" borderId="5" xfId="0" applyBorder="1" applyAlignment="1">
      <alignment horizontal="center" wrapText="1"/>
    </xf>
    <xf numFmtId="43" fontId="13" fillId="0" borderId="6" xfId="4" applyFont="1" applyFill="1" applyBorder="1" applyAlignment="1">
      <alignment vertical="center"/>
    </xf>
    <xf numFmtId="43" fontId="13" fillId="0" borderId="4" xfId="4" applyFont="1" applyFill="1" applyBorder="1" applyAlignment="1">
      <alignment vertical="center"/>
    </xf>
    <xf numFmtId="43" fontId="13" fillId="0" borderId="5" xfId="1" applyFont="1" applyBorder="1" applyAlignment="1">
      <alignment horizontal="center" vertical="center" wrapText="1"/>
    </xf>
    <xf numFmtId="43" fontId="13" fillId="6" borderId="5" xfId="4" applyFont="1" applyFill="1" applyBorder="1" applyAlignment="1">
      <alignment vertical="center"/>
    </xf>
    <xf numFmtId="43" fontId="13" fillId="6" borderId="5" xfId="1" applyFont="1" applyFill="1" applyBorder="1" applyAlignment="1">
      <alignment horizontal="center" vertical="center" wrapText="1"/>
    </xf>
    <xf numFmtId="43" fontId="13" fillId="0" borderId="55" xfId="4" applyFont="1" applyFill="1" applyBorder="1" applyAlignment="1">
      <alignment vertical="center"/>
    </xf>
    <xf numFmtId="43" fontId="12" fillId="0" borderId="4" xfId="4" applyFont="1" applyFill="1" applyBorder="1" applyAlignment="1">
      <alignment vertical="center"/>
    </xf>
    <xf numFmtId="43" fontId="12" fillId="6" borderId="5" xfId="4" applyFont="1" applyFill="1" applyBorder="1" applyAlignment="1">
      <alignment vertical="center"/>
    </xf>
    <xf numFmtId="43" fontId="12" fillId="0" borderId="6" xfId="4" applyFont="1" applyFill="1" applyBorder="1" applyAlignment="1">
      <alignment vertical="center"/>
    </xf>
    <xf numFmtId="43" fontId="12" fillId="0" borderId="11" xfId="4" applyFont="1" applyFill="1" applyBorder="1" applyAlignment="1">
      <alignment vertical="center"/>
    </xf>
    <xf numFmtId="43" fontId="12" fillId="6" borderId="12" xfId="4" applyFont="1" applyFill="1" applyBorder="1" applyAlignment="1">
      <alignment vertical="center"/>
    </xf>
    <xf numFmtId="43" fontId="12" fillId="0" borderId="14" xfId="4" applyFont="1" applyFill="1" applyBorder="1" applyAlignment="1">
      <alignment vertical="center"/>
    </xf>
    <xf numFmtId="43" fontId="12" fillId="0" borderId="13" xfId="4" applyFont="1" applyFill="1" applyBorder="1" applyAlignment="1">
      <alignment vertical="center"/>
    </xf>
    <xf numFmtId="43" fontId="4" fillId="0" borderId="0" xfId="4" applyFont="1" applyFill="1" applyAlignment="1">
      <alignment vertical="center"/>
    </xf>
    <xf numFmtId="43" fontId="12" fillId="0" borderId="0" xfId="4" applyFont="1" applyFill="1" applyAlignment="1">
      <alignment horizontal="center" vertical="center"/>
    </xf>
    <xf numFmtId="43" fontId="13" fillId="0" borderId="0" xfId="4" applyFont="1" applyFill="1" applyAlignment="1">
      <alignment vertical="center"/>
    </xf>
    <xf numFmtId="43" fontId="13" fillId="0" borderId="2" xfId="4" applyFont="1" applyFill="1" applyBorder="1" applyAlignment="1">
      <alignment vertical="center"/>
    </xf>
    <xf numFmtId="43" fontId="12" fillId="0" borderId="3" xfId="4" applyFont="1" applyFill="1" applyBorder="1" applyAlignment="1">
      <alignment vertical="center"/>
    </xf>
    <xf numFmtId="43" fontId="13" fillId="0" borderId="51" xfId="4" applyFont="1" applyFill="1" applyBorder="1" applyAlignment="1">
      <alignment horizontal="center" vertical="center"/>
    </xf>
    <xf numFmtId="43" fontId="12" fillId="0" borderId="23" xfId="4" applyFont="1" applyFill="1" applyBorder="1" applyAlignment="1">
      <alignment horizontal="center" vertical="center"/>
    </xf>
    <xf numFmtId="43" fontId="13" fillId="11" borderId="5" xfId="4" applyFont="1" applyFill="1" applyBorder="1" applyAlignment="1">
      <alignment horizontal="center" vertical="center" wrapText="1"/>
    </xf>
    <xf numFmtId="43" fontId="13" fillId="11" borderId="5" xfId="5" applyFont="1" applyFill="1" applyBorder="1" applyAlignment="1">
      <alignment horizontal="center" vertical="center" wrapText="1"/>
    </xf>
    <xf numFmtId="43" fontId="13" fillId="11" borderId="5" xfId="4" applyFont="1" applyFill="1" applyBorder="1" applyAlignment="1">
      <alignment horizontal="center" wrapText="1"/>
    </xf>
    <xf numFmtId="43" fontId="13" fillId="0" borderId="59" xfId="4" applyFont="1" applyFill="1" applyBorder="1" applyAlignment="1">
      <alignment horizontal="center" vertical="center" wrapText="1"/>
    </xf>
    <xf numFmtId="43" fontId="12" fillId="0" borderId="23" xfId="4" applyFont="1" applyFill="1" applyBorder="1" applyAlignment="1">
      <alignment vertical="center"/>
    </xf>
    <xf numFmtId="0" fontId="13" fillId="3" borderId="4" xfId="1" applyNumberFormat="1" applyFont="1" applyFill="1" applyBorder="1" applyAlignment="1">
      <alignment horizontal="center" vertical="center" wrapText="1"/>
    </xf>
    <xf numFmtId="43" fontId="21" fillId="3" borderId="5" xfId="4" applyFont="1" applyFill="1" applyBorder="1" applyAlignment="1">
      <alignment horizontal="center" vertical="center" wrapText="1"/>
    </xf>
    <xf numFmtId="43" fontId="21" fillId="3" borderId="5" xfId="5" applyFont="1" applyFill="1" applyBorder="1" applyAlignment="1">
      <alignment horizontal="center" vertical="center" wrapText="1"/>
    </xf>
    <xf numFmtId="43" fontId="5" fillId="0" borderId="5" xfId="4" applyFont="1" applyFill="1" applyBorder="1" applyAlignment="1">
      <alignment horizontal="center" vertical="center" wrapText="1"/>
    </xf>
    <xf numFmtId="43" fontId="21" fillId="0" borderId="5" xfId="4" applyFont="1" applyFill="1" applyBorder="1" applyAlignment="1">
      <alignment horizontal="center" vertical="center" wrapText="1"/>
    </xf>
    <xf numFmtId="43" fontId="22" fillId="0" borderId="25" xfId="4" applyFont="1" applyFill="1" applyBorder="1" applyAlignment="1">
      <alignment vertical="center"/>
    </xf>
    <xf numFmtId="0" fontId="12" fillId="0" borderId="4" xfId="1" applyNumberFormat="1" applyFont="1" applyFill="1" applyBorder="1" applyAlignment="1">
      <alignment horizontal="center" vertical="center" wrapText="1"/>
    </xf>
    <xf numFmtId="43" fontId="12" fillId="0" borderId="5" xfId="1" applyFont="1" applyFill="1" applyBorder="1" applyAlignment="1">
      <alignment vertical="center" wrapText="1"/>
    </xf>
    <xf numFmtId="43" fontId="12" fillId="0" borderId="5" xfId="1" applyFont="1" applyFill="1" applyBorder="1" applyAlignment="1">
      <alignment horizontal="center" vertical="center" wrapText="1"/>
    </xf>
    <xf numFmtId="43" fontId="12" fillId="4" borderId="5" xfId="1" applyFont="1" applyFill="1" applyBorder="1" applyAlignment="1">
      <alignment horizontal="center" vertical="center" wrapText="1"/>
    </xf>
    <xf numFmtId="43" fontId="12" fillId="0" borderId="6" xfId="0" applyNumberFormat="1" applyFont="1" applyBorder="1" applyAlignment="1">
      <alignment vertical="center"/>
    </xf>
    <xf numFmtId="0" fontId="13" fillId="0" borderId="4" xfId="1" applyNumberFormat="1" applyFont="1" applyFill="1" applyBorder="1" applyAlignment="1">
      <alignment horizontal="center" vertical="center" wrapText="1"/>
    </xf>
    <xf numFmtId="43" fontId="13" fillId="0" borderId="5" xfId="1" applyFont="1" applyFill="1" applyBorder="1" applyAlignment="1">
      <alignment horizontal="center" vertical="center" wrapText="1"/>
    </xf>
    <xf numFmtId="43" fontId="13" fillId="0" borderId="6" xfId="1" applyFont="1" applyFill="1" applyBorder="1" applyAlignment="1">
      <alignment horizontal="center" vertical="center" wrapText="1"/>
    </xf>
    <xf numFmtId="43" fontId="13" fillId="0" borderId="0" xfId="1" applyFont="1" applyFill="1" applyBorder="1" applyAlignment="1">
      <alignment horizontal="center" vertical="center" wrapText="1"/>
    </xf>
    <xf numFmtId="0" fontId="12" fillId="3" borderId="4" xfId="1" applyNumberFormat="1" applyFont="1" applyFill="1" applyBorder="1" applyAlignment="1">
      <alignment horizontal="center" vertical="center" wrapText="1"/>
    </xf>
    <xf numFmtId="43" fontId="12" fillId="3" borderId="5" xfId="1" applyFont="1" applyFill="1" applyBorder="1" applyAlignment="1">
      <alignment vertical="center" wrapText="1"/>
    </xf>
    <xf numFmtId="43" fontId="3" fillId="3" borderId="5" xfId="1" applyFont="1" applyFill="1" applyBorder="1" applyAlignment="1">
      <alignment horizontal="center" vertical="center"/>
    </xf>
    <xf numFmtId="43" fontId="12" fillId="3" borderId="5" xfId="1" applyFont="1" applyFill="1" applyBorder="1" applyAlignment="1">
      <alignment horizontal="center" vertical="center" wrapText="1"/>
    </xf>
    <xf numFmtId="43" fontId="12" fillId="3" borderId="5" xfId="4" applyFont="1" applyFill="1" applyBorder="1" applyAlignment="1">
      <alignment vertical="center"/>
    </xf>
    <xf numFmtId="43" fontId="12" fillId="3" borderId="6" xfId="0" applyNumberFormat="1" applyFont="1" applyFill="1" applyBorder="1" applyAlignment="1">
      <alignment vertical="center"/>
    </xf>
    <xf numFmtId="0" fontId="13" fillId="0" borderId="11" xfId="1" applyNumberFormat="1" applyFont="1" applyFill="1" applyBorder="1" applyAlignment="1">
      <alignment horizontal="center" vertical="center" wrapText="1"/>
    </xf>
    <xf numFmtId="43" fontId="13" fillId="0" borderId="12" xfId="1" applyFont="1" applyFill="1" applyBorder="1" applyAlignment="1">
      <alignment horizontal="center" vertical="center" wrapText="1"/>
    </xf>
    <xf numFmtId="0" fontId="13" fillId="0" borderId="0" xfId="1" applyNumberFormat="1" applyFont="1" applyFill="1" applyBorder="1" applyAlignment="1">
      <alignment horizontal="center" vertical="center" wrapText="1"/>
    </xf>
    <xf numFmtId="43" fontId="13" fillId="0" borderId="57" xfId="1" applyFont="1" applyFill="1" applyBorder="1" applyAlignment="1">
      <alignment horizontal="center" vertical="center" wrapText="1"/>
    </xf>
    <xf numFmtId="43" fontId="13" fillId="0" borderId="60" xfId="1" applyFont="1" applyFill="1" applyBorder="1" applyAlignment="1">
      <alignment horizontal="center" vertical="center" wrapText="1"/>
    </xf>
    <xf numFmtId="43" fontId="13" fillId="0" borderId="61" xfId="1" applyFont="1" applyFill="1" applyBorder="1" applyAlignment="1">
      <alignment horizontal="center" vertical="center" wrapText="1"/>
    </xf>
    <xf numFmtId="43" fontId="13" fillId="0" borderId="62" xfId="1" applyFont="1" applyFill="1" applyBorder="1" applyAlignment="1">
      <alignment horizontal="center" vertical="center" wrapText="1"/>
    </xf>
    <xf numFmtId="43" fontId="13" fillId="0" borderId="25" xfId="4" applyFont="1" applyFill="1" applyBorder="1" applyAlignment="1">
      <alignment vertical="center"/>
    </xf>
    <xf numFmtId="0" fontId="12" fillId="0" borderId="25" xfId="1" applyNumberFormat="1" applyFont="1" applyFill="1" applyBorder="1" applyAlignment="1">
      <alignment horizontal="center" vertical="center" wrapText="1"/>
    </xf>
    <xf numFmtId="43" fontId="13" fillId="0" borderId="25" xfId="1" applyFont="1" applyFill="1" applyBorder="1" applyAlignment="1">
      <alignment horizontal="center" vertical="center" wrapText="1"/>
    </xf>
    <xf numFmtId="43" fontId="12" fillId="0" borderId="25" xfId="1" applyFont="1" applyFill="1" applyBorder="1" applyAlignment="1">
      <alignment horizontal="center" vertical="center" wrapText="1"/>
    </xf>
    <xf numFmtId="0" fontId="12" fillId="0" borderId="0" xfId="4" applyNumberFormat="1" applyFont="1" applyFill="1" applyAlignment="1">
      <alignment horizontal="center" vertical="center"/>
    </xf>
    <xf numFmtId="43" fontId="13" fillId="0" borderId="0" xfId="4" applyFont="1" applyFill="1" applyAlignment="1">
      <alignment horizontal="center" vertical="center"/>
    </xf>
    <xf numFmtId="43" fontId="13" fillId="0" borderId="0" xfId="4" applyFont="1" applyFill="1" applyAlignment="1">
      <alignment horizontal="left" vertical="center"/>
    </xf>
    <xf numFmtId="0" fontId="13" fillId="0" borderId="0" xfId="4" applyNumberFormat="1" applyFont="1" applyFill="1" applyAlignment="1">
      <alignment horizontal="center" vertical="center"/>
    </xf>
    <xf numFmtId="43" fontId="13" fillId="0" borderId="0" xfId="4" applyFont="1" applyFill="1" applyAlignment="1">
      <alignment horizontal="center" vertical="center" wrapText="1"/>
    </xf>
    <xf numFmtId="43" fontId="12" fillId="0" borderId="0" xfId="4" applyFont="1" applyFill="1" applyAlignment="1">
      <alignment horizontal="left" vertical="center"/>
    </xf>
    <xf numFmtId="0" fontId="12" fillId="0" borderId="0" xfId="4" applyNumberFormat="1" applyFont="1" applyFill="1" applyAlignment="1">
      <alignment vertical="center"/>
    </xf>
    <xf numFmtId="0" fontId="13" fillId="0" borderId="0" xfId="4" applyNumberFormat="1" applyFont="1" applyFill="1" applyAlignment="1">
      <alignment horizontal="left" vertical="center"/>
    </xf>
    <xf numFmtId="43" fontId="5" fillId="0" borderId="0" xfId="0" applyNumberFormat="1" applyFont="1" applyAlignment="1">
      <alignment vertical="center"/>
    </xf>
    <xf numFmtId="43" fontId="5" fillId="0" borderId="0" xfId="1" applyFont="1" applyAlignment="1">
      <alignment vertical="center"/>
    </xf>
    <xf numFmtId="43" fontId="4" fillId="2" borderId="5" xfId="1" applyFont="1" applyFill="1" applyBorder="1" applyAlignment="1">
      <alignment vertical="center"/>
    </xf>
    <xf numFmtId="43" fontId="3" fillId="0" borderId="4" xfId="1" applyFont="1" applyBorder="1" applyAlignment="1">
      <alignment vertical="center"/>
    </xf>
    <xf numFmtId="43" fontId="24" fillId="0" borderId="0" xfId="1" applyFont="1" applyBorder="1" applyAlignment="1">
      <alignment vertical="center"/>
    </xf>
    <xf numFmtId="43" fontId="25" fillId="0" borderId="0" xfId="1" applyFont="1" applyBorder="1" applyAlignment="1">
      <alignment vertical="center"/>
    </xf>
    <xf numFmtId="43" fontId="0" fillId="0" borderId="5" xfId="1" applyFont="1" applyBorder="1" applyAlignment="1">
      <alignment vertical="center"/>
    </xf>
    <xf numFmtId="43" fontId="5" fillId="0" borderId="5" xfId="1" applyFont="1" applyBorder="1" applyAlignment="1">
      <alignment horizontal="right" vertical="center"/>
    </xf>
    <xf numFmtId="0" fontId="3" fillId="0" borderId="0" xfId="1" applyNumberFormat="1" applyFont="1" applyAlignment="1">
      <alignment horizontal="left" vertical="center" wrapText="1"/>
    </xf>
    <xf numFmtId="0" fontId="3" fillId="0" borderId="0" xfId="0" applyFont="1" applyAlignment="1">
      <alignment horizontal="right" vertical="center"/>
    </xf>
    <xf numFmtId="0" fontId="5" fillId="0" borderId="0" xfId="0" applyFont="1" applyAlignment="1">
      <alignment horizontal="left" vertical="center"/>
    </xf>
    <xf numFmtId="0" fontId="3" fillId="6" borderId="0" xfId="0" applyFont="1" applyFill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5" fillId="0" borderId="5" xfId="0" applyFont="1" applyBorder="1" applyAlignment="1">
      <alignment vertical="center"/>
    </xf>
    <xf numFmtId="0" fontId="13" fillId="0" borderId="23" xfId="2" applyFont="1" applyBorder="1" applyAlignment="1">
      <alignment horizontal="center" vertical="center"/>
    </xf>
    <xf numFmtId="0" fontId="15" fillId="0" borderId="23" xfId="2" applyFont="1" applyBorder="1" applyAlignment="1">
      <alignment horizontal="center" vertical="center"/>
    </xf>
    <xf numFmtId="43" fontId="13" fillId="0" borderId="23" xfId="1" applyFont="1" applyBorder="1" applyAlignment="1">
      <alignment horizontal="center" vertical="center"/>
    </xf>
    <xf numFmtId="43" fontId="13" fillId="8" borderId="23" xfId="0" applyNumberFormat="1" applyFont="1" applyFill="1" applyBorder="1" applyAlignment="1">
      <alignment horizontal="center" vertical="center"/>
    </xf>
    <xf numFmtId="43" fontId="13" fillId="0" borderId="34" xfId="0" applyNumberFormat="1" applyFont="1" applyBorder="1" applyAlignment="1">
      <alignment horizontal="center" vertical="center"/>
    </xf>
    <xf numFmtId="43" fontId="13" fillId="0" borderId="32" xfId="0" applyNumberFormat="1" applyFont="1" applyBorder="1" applyAlignment="1">
      <alignment horizontal="center" vertical="center"/>
    </xf>
    <xf numFmtId="43" fontId="13" fillId="0" borderId="33" xfId="0" applyNumberFormat="1" applyFont="1" applyBorder="1" applyAlignment="1">
      <alignment horizontal="center" vertical="center"/>
    </xf>
    <xf numFmtId="43" fontId="5" fillId="0" borderId="0" xfId="1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17" fillId="7" borderId="51" xfId="0" applyFont="1" applyFill="1" applyBorder="1" applyAlignment="1">
      <alignment horizontal="center" vertical="center"/>
    </xf>
    <xf numFmtId="0" fontId="5" fillId="0" borderId="54" xfId="0" applyFont="1" applyBorder="1" applyAlignment="1">
      <alignment horizontal="center" vertical="center"/>
    </xf>
    <xf numFmtId="43" fontId="4" fillId="2" borderId="1" xfId="1" applyFont="1" applyFill="1" applyBorder="1" applyAlignment="1">
      <alignment horizontal="center" vertical="center"/>
    </xf>
    <xf numFmtId="43" fontId="4" fillId="2" borderId="4" xfId="1" applyFont="1" applyFill="1" applyBorder="1" applyAlignment="1">
      <alignment horizontal="center" vertical="center"/>
    </xf>
    <xf numFmtId="43" fontId="4" fillId="2" borderId="2" xfId="1" applyFont="1" applyFill="1" applyBorder="1" applyAlignment="1">
      <alignment horizontal="center" vertical="center"/>
    </xf>
    <xf numFmtId="43" fontId="4" fillId="2" borderId="5" xfId="1" applyFont="1" applyFill="1" applyBorder="1" applyAlignment="1">
      <alignment horizontal="center" vertical="center"/>
    </xf>
    <xf numFmtId="43" fontId="13" fillId="11" borderId="2" xfId="4" applyFont="1" applyFill="1" applyBorder="1" applyAlignment="1">
      <alignment horizontal="center" vertical="center"/>
    </xf>
    <xf numFmtId="43" fontId="13" fillId="11" borderId="5" xfId="4" applyFont="1" applyFill="1" applyBorder="1" applyAlignment="1">
      <alignment horizontal="center" vertical="center" wrapText="1"/>
    </xf>
    <xf numFmtId="43" fontId="21" fillId="3" borderId="5" xfId="4" applyFont="1" applyFill="1" applyBorder="1" applyAlignment="1">
      <alignment horizontal="center" vertical="center" wrapText="1"/>
    </xf>
    <xf numFmtId="43" fontId="13" fillId="0" borderId="12" xfId="1" applyFont="1" applyFill="1" applyBorder="1" applyAlignment="1">
      <alignment horizontal="center" vertical="center" wrapText="1"/>
    </xf>
    <xf numFmtId="0" fontId="13" fillId="11" borderId="1" xfId="4" applyNumberFormat="1" applyFont="1" applyFill="1" applyBorder="1" applyAlignment="1">
      <alignment horizontal="center" vertical="center" wrapText="1"/>
    </xf>
    <xf numFmtId="0" fontId="13" fillId="11" borderId="4" xfId="4" applyNumberFormat="1" applyFont="1" applyFill="1" applyBorder="1" applyAlignment="1">
      <alignment horizontal="center" vertical="center" wrapText="1"/>
    </xf>
    <xf numFmtId="43" fontId="13" fillId="11" borderId="2" xfId="4" applyFont="1" applyFill="1" applyBorder="1" applyAlignment="1">
      <alignment horizontal="center" vertical="center" wrapText="1"/>
    </xf>
  </cellXfs>
  <cellStyles count="6">
    <cellStyle name="Comma" xfId="1" builtinId="3"/>
    <cellStyle name="Comma 10" xfId="4" xr:uid="{48C1AE89-9B8D-40C4-B573-C32D5902443F}"/>
    <cellStyle name="Comma 5 2" xfId="5" xr:uid="{8D949B0E-B7CC-4959-ADB7-8540D18B5FA4}"/>
    <cellStyle name="Normal" xfId="0" builtinId="0"/>
    <cellStyle name="Normal 4" xfId="3" xr:uid="{2C949C2C-35A7-4F09-905D-CE6E5183034C}"/>
    <cellStyle name="Normal_finishes_1" xfId="2" xr:uid="{77F154FD-242F-40D5-91F4-3E106E71730A}"/>
  </cellStyles>
  <dxfs count="19">
    <dxf>
      <font>
        <strike val="0"/>
        <color rgb="FF00B050"/>
      </font>
    </dxf>
    <dxf>
      <font>
        <strike val="0"/>
        <color rgb="FF00B050"/>
      </font>
    </dxf>
    <dxf>
      <font>
        <strike val="0"/>
        <color rgb="FF00B050"/>
      </font>
    </dxf>
    <dxf>
      <font>
        <strike val="0"/>
        <color rgb="FF00B050"/>
      </font>
    </dxf>
    <dxf>
      <font>
        <strike val="0"/>
        <color rgb="FF00B050"/>
      </font>
    </dxf>
    <dxf>
      <font>
        <strike val="0"/>
        <color rgb="FF00B050"/>
      </font>
    </dxf>
    <dxf>
      <font>
        <strike val="0"/>
        <color rgb="FF00B050"/>
      </font>
    </dxf>
    <dxf>
      <font>
        <strike val="0"/>
        <color rgb="FF00B050"/>
      </font>
    </dxf>
    <dxf>
      <font>
        <strike val="0"/>
        <color rgb="FF00B050"/>
      </font>
    </dxf>
    <dxf>
      <font>
        <strike val="0"/>
        <color rgb="FF00B050"/>
      </font>
    </dxf>
    <dxf>
      <font>
        <strike val="0"/>
        <color rgb="FF00B050"/>
      </font>
    </dxf>
    <dxf>
      <font>
        <strike val="0"/>
        <color rgb="FF00B050"/>
      </font>
    </dxf>
    <dxf>
      <font>
        <strike val="0"/>
        <color rgb="FF00B050"/>
      </font>
    </dxf>
    <dxf>
      <font>
        <strike val="0"/>
        <color rgb="FF00B050"/>
      </font>
    </dxf>
    <dxf>
      <font>
        <strike val="0"/>
        <color rgb="FF00B050"/>
      </font>
    </dxf>
    <dxf>
      <font>
        <strike val="0"/>
        <color rgb="FF00B050"/>
      </font>
    </dxf>
    <dxf>
      <font>
        <strike val="0"/>
        <color rgb="FF00B050"/>
      </font>
    </dxf>
    <dxf>
      <font>
        <strike val="0"/>
        <color rgb="FF00B050"/>
      </font>
    </dxf>
    <dxf>
      <font>
        <strike val="0"/>
        <color rgb="FF00B05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datasvm01.sobha.com\Data_003\Common\04_Est_Ref\CSR-%20Sobha%20Community%20Housing\Manohar%20Residence\Manohar%20Residence%20-%2028-04-2025\01.%20Estimate\Estimate%20-Manohar%20Residence.xlsx" TargetMode="External"/><Relationship Id="rId1" Type="http://schemas.openxmlformats.org/officeDocument/2006/relationships/externalLinkPath" Target="Estimate%20-Manohar%20Residenc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omp"/>
      <sheetName val="ABSTRACT"/>
      <sheetName val="tiling-breakups"/>
      <sheetName val="steel"/>
      <sheetName val="Excavation"/>
      <sheetName val="Services"/>
      <sheetName val="P &amp; M "/>
      <sheetName val="Tile"/>
      <sheetName val="Approved tile list"/>
      <sheetName val="bore packing"/>
      <sheetName val="cover blocks"/>
      <sheetName val="Technician wages "/>
      <sheetName val="rungs"/>
      <sheetName val="guage piece cal"/>
      <sheetName val="Granite Labour"/>
      <sheetName val="const jts"/>
    </sheetNames>
    <sheetDataSet>
      <sheetData sheetId="0"/>
      <sheetData sheetId="1">
        <row r="1">
          <cell r="A1" t="str">
            <v>MR. MANOHAR'S RESIDENCE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64BE40-44E1-4EED-81B2-406C5CDD5542}">
  <sheetPr>
    <tabColor theme="9" tint="-0.249977111117893"/>
  </sheetPr>
  <dimension ref="A1:AF49"/>
  <sheetViews>
    <sheetView topLeftCell="A4" zoomScale="90" zoomScaleNormal="90" zoomScaleSheetLayoutView="85" workbookViewId="0">
      <selection activeCell="B13" sqref="B13"/>
    </sheetView>
  </sheetViews>
  <sheetFormatPr defaultRowHeight="30" customHeight="1" x14ac:dyDescent="0.2"/>
  <cols>
    <col min="1" max="1" width="16.140625" style="73" customWidth="1"/>
    <col min="2" max="2" width="27.140625" style="52" customWidth="1"/>
    <col min="3" max="3" width="10.7109375" style="52" customWidth="1"/>
    <col min="4" max="4" width="13.140625" style="52" customWidth="1"/>
    <col min="5" max="5" width="13.42578125" style="52" customWidth="1"/>
    <col min="6" max="6" width="16.5703125" style="52" customWidth="1"/>
    <col min="7" max="9" width="12.7109375" style="52" customWidth="1"/>
    <col min="10" max="10" width="14.85546875" style="52" customWidth="1"/>
    <col min="11" max="11" width="11.42578125" style="51" customWidth="1"/>
    <col min="12" max="12" width="19" style="51" customWidth="1"/>
    <col min="13" max="13" width="13.28515625" style="52" customWidth="1"/>
    <col min="14" max="23" width="11.42578125" style="52" customWidth="1"/>
    <col min="24" max="27" width="11.7109375" style="52" customWidth="1"/>
    <col min="28" max="28" width="15.140625" style="52" customWidth="1"/>
    <col min="29" max="51" width="11.7109375" style="52" customWidth="1"/>
    <col min="52" max="16384" width="9.140625" style="52"/>
  </cols>
  <sheetData>
    <row r="1" spans="1:29" s="24" customFormat="1" ht="30" customHeight="1" x14ac:dyDescent="0.25">
      <c r="A1" s="22" t="s">
        <v>24</v>
      </c>
      <c r="B1" s="23" t="str">
        <f>[1]ABSTRACT!$A$1</f>
        <v>MR. MANOHAR'S RESIDENCE</v>
      </c>
      <c r="K1" s="25"/>
      <c r="L1" s="25"/>
    </row>
    <row r="2" spans="1:29" s="24" customFormat="1" ht="30" customHeight="1" thickBot="1" x14ac:dyDescent="0.3">
      <c r="A2" s="26" t="s">
        <v>25</v>
      </c>
      <c r="B2" s="27" t="s">
        <v>26</v>
      </c>
      <c r="K2" s="25"/>
      <c r="L2" s="25"/>
    </row>
    <row r="3" spans="1:29" s="24" customFormat="1" ht="30" customHeight="1" x14ac:dyDescent="0.25">
      <c r="A3" s="28"/>
      <c r="B3" s="29"/>
      <c r="K3" s="25"/>
      <c r="L3" s="25"/>
    </row>
    <row r="4" spans="1:29" s="24" customFormat="1" ht="30" customHeight="1" x14ac:dyDescent="0.25">
      <c r="A4" s="29" t="s">
        <v>27</v>
      </c>
      <c r="D4" s="30"/>
      <c r="E4" s="30"/>
      <c r="F4" s="30"/>
      <c r="G4" s="30"/>
      <c r="H4" s="30"/>
      <c r="I4" s="30"/>
      <c r="J4" s="30"/>
      <c r="K4" s="30"/>
      <c r="L4" s="30"/>
      <c r="M4" s="30"/>
      <c r="N4" s="30"/>
      <c r="O4" s="30"/>
      <c r="P4" s="30"/>
      <c r="Q4" s="30"/>
      <c r="R4" s="30"/>
      <c r="S4" s="30"/>
      <c r="T4" s="30"/>
      <c r="U4" s="30"/>
      <c r="V4" s="30"/>
      <c r="W4" s="30"/>
      <c r="X4" s="30"/>
      <c r="Y4" s="30"/>
      <c r="Z4" s="30"/>
      <c r="AA4" s="30"/>
      <c r="AB4" s="31"/>
      <c r="AC4" s="32"/>
    </row>
    <row r="5" spans="1:29" s="24" customFormat="1" ht="41.25" customHeight="1" x14ac:dyDescent="0.25">
      <c r="A5" s="33" t="s">
        <v>28</v>
      </c>
      <c r="B5" s="34" t="s">
        <v>1</v>
      </c>
      <c r="C5" s="34" t="s">
        <v>29</v>
      </c>
      <c r="D5" s="35"/>
      <c r="E5" s="35"/>
      <c r="F5" s="35" t="s">
        <v>66</v>
      </c>
      <c r="G5" s="34" t="s">
        <v>592</v>
      </c>
      <c r="H5" s="75"/>
      <c r="I5" s="36" t="s">
        <v>30</v>
      </c>
      <c r="J5" s="79" t="s">
        <v>31</v>
      </c>
      <c r="K5" s="30"/>
      <c r="L5" s="30"/>
      <c r="M5" s="30"/>
      <c r="N5" s="30"/>
      <c r="O5" s="30"/>
      <c r="P5" s="30"/>
      <c r="Q5" s="30"/>
      <c r="R5" s="30"/>
      <c r="S5" s="30"/>
      <c r="T5" s="30"/>
      <c r="U5" s="30"/>
      <c r="V5" s="30"/>
      <c r="W5" s="30"/>
      <c r="X5" s="30"/>
      <c r="Y5" s="30"/>
      <c r="Z5" s="30"/>
      <c r="AA5" s="30"/>
      <c r="AB5" s="31"/>
      <c r="AC5" s="32"/>
    </row>
    <row r="6" spans="1:29" s="24" customFormat="1" ht="30" hidden="1" customHeight="1" x14ac:dyDescent="0.25">
      <c r="A6" s="37">
        <v>1</v>
      </c>
      <c r="B6" s="38" t="s">
        <v>32</v>
      </c>
      <c r="C6" s="8" t="s">
        <v>33</v>
      </c>
      <c r="D6" s="39"/>
      <c r="E6" s="39"/>
      <c r="F6" s="39">
        <f>J43</f>
        <v>36.841999999999999</v>
      </c>
      <c r="G6" s="39"/>
      <c r="H6" s="76"/>
      <c r="I6" s="40">
        <f>SUM(D6:H6)</f>
        <v>36.841999999999999</v>
      </c>
      <c r="J6" s="80"/>
      <c r="K6" s="30"/>
      <c r="L6" s="30"/>
      <c r="M6" s="30"/>
      <c r="N6" s="30"/>
      <c r="O6" s="30"/>
      <c r="P6" s="30"/>
      <c r="Q6" s="30"/>
      <c r="R6" s="30"/>
      <c r="S6" s="30"/>
      <c r="T6" s="30"/>
      <c r="U6" s="30"/>
      <c r="V6" s="30"/>
      <c r="W6" s="30"/>
      <c r="X6" s="30"/>
      <c r="Y6" s="30"/>
      <c r="Z6" s="30"/>
      <c r="AA6" s="30"/>
      <c r="AB6" s="31"/>
      <c r="AC6" s="32"/>
    </row>
    <row r="7" spans="1:29" s="24" customFormat="1" ht="30" hidden="1" customHeight="1" x14ac:dyDescent="0.25">
      <c r="A7" s="37">
        <f>A6+1</f>
        <v>2</v>
      </c>
      <c r="B7" s="38" t="s">
        <v>34</v>
      </c>
      <c r="C7" s="8" t="s">
        <v>35</v>
      </c>
      <c r="D7" s="39"/>
      <c r="E7" s="39"/>
      <c r="F7" s="39">
        <f>K43</f>
        <v>184.21</v>
      </c>
      <c r="G7" s="39"/>
      <c r="H7" s="76"/>
      <c r="I7" s="40">
        <f t="shared" ref="I7:I19" si="0">SUM(D7:H7)</f>
        <v>184.21</v>
      </c>
      <c r="J7" s="80"/>
      <c r="K7" s="30"/>
      <c r="L7" s="30"/>
      <c r="M7" s="30"/>
      <c r="N7" s="30"/>
      <c r="O7" s="30"/>
      <c r="P7" s="30"/>
      <c r="Q7" s="30"/>
      <c r="R7" s="30"/>
      <c r="S7" s="30"/>
      <c r="T7" s="30"/>
      <c r="U7" s="30"/>
      <c r="V7" s="30"/>
      <c r="W7" s="30"/>
      <c r="X7" s="30"/>
      <c r="Y7" s="30"/>
      <c r="Z7" s="30"/>
      <c r="AA7" s="30"/>
      <c r="AB7" s="31"/>
      <c r="AC7" s="32"/>
    </row>
    <row r="8" spans="1:29" s="24" customFormat="1" ht="30" customHeight="1" x14ac:dyDescent="0.25">
      <c r="A8" s="37">
        <f t="shared" ref="A8:A19" si="1">A7+1</f>
        <v>3</v>
      </c>
      <c r="B8" s="38" t="s">
        <v>36</v>
      </c>
      <c r="C8" s="8" t="s">
        <v>33</v>
      </c>
      <c r="D8" s="41"/>
      <c r="E8" s="41"/>
      <c r="F8" s="41">
        <v>0</v>
      </c>
      <c r="G8" s="41"/>
      <c r="H8" s="76"/>
      <c r="I8" s="42">
        <f>SUM(D8:H8)</f>
        <v>0</v>
      </c>
      <c r="J8" s="80"/>
      <c r="K8" s="30"/>
      <c r="L8" s="30"/>
      <c r="M8" s="30"/>
      <c r="N8" s="30"/>
      <c r="O8" s="30"/>
      <c r="P8" s="30"/>
      <c r="Q8" s="30"/>
      <c r="R8" s="30"/>
      <c r="S8" s="30"/>
      <c r="T8" s="30"/>
      <c r="U8" s="30"/>
      <c r="V8" s="30"/>
      <c r="W8" s="30"/>
      <c r="X8" s="30"/>
      <c r="Y8" s="30"/>
      <c r="Z8" s="30"/>
      <c r="AA8" s="30"/>
      <c r="AB8" s="31"/>
      <c r="AC8" s="32"/>
    </row>
    <row r="9" spans="1:29" s="24" customFormat="1" ht="30" customHeight="1" x14ac:dyDescent="0.25">
      <c r="A9" s="37">
        <f t="shared" si="1"/>
        <v>4</v>
      </c>
      <c r="B9" s="38" t="s">
        <v>37</v>
      </c>
      <c r="C9" s="8" t="s">
        <v>33</v>
      </c>
      <c r="D9" s="41"/>
      <c r="E9" s="41"/>
      <c r="F9" s="41">
        <f>I43</f>
        <v>12.844999999999999</v>
      </c>
      <c r="G9" s="41">
        <f>I49</f>
        <v>1.5679999999999998</v>
      </c>
      <c r="H9" s="76"/>
      <c r="I9" s="42">
        <f>SUM(D9:H9)</f>
        <v>14.412999999999998</v>
      </c>
      <c r="J9" s="80"/>
      <c r="K9" s="30"/>
      <c r="L9" s="30"/>
      <c r="M9" s="30"/>
      <c r="N9" s="30"/>
      <c r="O9" s="30"/>
      <c r="P9" s="30"/>
      <c r="Q9" s="30"/>
      <c r="R9" s="30"/>
      <c r="S9" s="30"/>
      <c r="T9" s="30"/>
      <c r="U9" s="30"/>
      <c r="V9" s="30"/>
      <c r="W9" s="30"/>
      <c r="X9" s="30"/>
      <c r="Y9" s="30"/>
      <c r="Z9" s="30"/>
      <c r="AA9" s="30"/>
      <c r="AB9" s="31"/>
      <c r="AC9" s="32"/>
    </row>
    <row r="10" spans="1:29" s="24" customFormat="1" ht="30" customHeight="1" x14ac:dyDescent="0.25">
      <c r="A10" s="37">
        <f>A9+1</f>
        <v>5</v>
      </c>
      <c r="B10" s="38" t="s">
        <v>38</v>
      </c>
      <c r="C10" s="8" t="s">
        <v>33</v>
      </c>
      <c r="D10" s="41"/>
      <c r="E10" s="41"/>
      <c r="F10" s="41"/>
      <c r="G10" s="41">
        <v>0</v>
      </c>
      <c r="H10" s="76"/>
      <c r="I10" s="42">
        <f t="shared" si="0"/>
        <v>0</v>
      </c>
      <c r="J10" s="80"/>
      <c r="K10" s="30"/>
      <c r="L10" s="30"/>
      <c r="M10" s="30"/>
      <c r="N10" s="30"/>
      <c r="O10" s="30"/>
      <c r="P10" s="30"/>
      <c r="Q10" s="30"/>
      <c r="R10" s="30"/>
      <c r="S10" s="30"/>
      <c r="T10" s="30"/>
      <c r="U10" s="30"/>
      <c r="V10" s="30"/>
      <c r="W10" s="30"/>
      <c r="X10" s="30"/>
      <c r="Y10" s="30"/>
      <c r="Z10" s="30"/>
      <c r="AA10" s="30"/>
      <c r="AB10" s="31"/>
      <c r="AC10" s="32"/>
    </row>
    <row r="11" spans="1:29" s="24" customFormat="1" ht="30" customHeight="1" x14ac:dyDescent="0.25">
      <c r="A11" s="37">
        <f>A10+1</f>
        <v>6</v>
      </c>
      <c r="B11" s="38" t="s">
        <v>39</v>
      </c>
      <c r="C11" s="8" t="s">
        <v>33</v>
      </c>
      <c r="D11" s="41"/>
      <c r="E11" s="41"/>
      <c r="F11" s="41">
        <v>0</v>
      </c>
      <c r="G11" s="41"/>
      <c r="H11" s="76"/>
      <c r="I11" s="42">
        <f t="shared" si="0"/>
        <v>0</v>
      </c>
      <c r="J11" s="81"/>
      <c r="K11" s="30"/>
      <c r="L11" s="30"/>
      <c r="M11" s="30"/>
      <c r="N11" s="30"/>
      <c r="O11" s="30"/>
      <c r="P11" s="30"/>
      <c r="Q11" s="30"/>
      <c r="R11" s="30"/>
      <c r="S11" s="30"/>
      <c r="T11" s="30"/>
      <c r="U11" s="30"/>
      <c r="V11" s="30"/>
      <c r="W11" s="30"/>
      <c r="X11" s="30"/>
      <c r="Y11" s="30"/>
      <c r="Z11" s="30"/>
      <c r="AA11" s="30"/>
      <c r="AB11" s="31"/>
      <c r="AC11" s="32"/>
    </row>
    <row r="12" spans="1:29" s="24" customFormat="1" ht="30" customHeight="1" x14ac:dyDescent="0.25">
      <c r="A12" s="37">
        <f t="shared" si="1"/>
        <v>7</v>
      </c>
      <c r="B12" s="38" t="s">
        <v>40</v>
      </c>
      <c r="C12" s="8" t="s">
        <v>33</v>
      </c>
      <c r="D12" s="41"/>
      <c r="E12" s="41"/>
      <c r="F12" s="41">
        <f>G43</f>
        <v>49.92949999999999</v>
      </c>
      <c r="G12" s="41">
        <f>G49</f>
        <v>5.1840000000000002</v>
      </c>
      <c r="H12" s="76"/>
      <c r="I12" s="42">
        <f t="shared" si="0"/>
        <v>55.113499999999988</v>
      </c>
      <c r="J12" s="80"/>
      <c r="K12" s="30"/>
      <c r="L12" s="30"/>
      <c r="M12" s="30"/>
      <c r="N12" s="30"/>
      <c r="O12" s="30"/>
      <c r="P12" s="30"/>
      <c r="Q12" s="30"/>
      <c r="R12" s="30"/>
      <c r="S12" s="30"/>
      <c r="T12" s="30"/>
      <c r="U12" s="30"/>
      <c r="V12" s="30"/>
      <c r="W12" s="30"/>
      <c r="X12" s="30"/>
      <c r="Y12" s="30"/>
      <c r="Z12" s="30"/>
      <c r="AA12" s="30"/>
      <c r="AB12" s="31"/>
      <c r="AC12" s="32"/>
    </row>
    <row r="13" spans="1:29" s="24" customFormat="1" ht="30" customHeight="1" x14ac:dyDescent="0.25">
      <c r="A13" s="37">
        <f t="shared" si="1"/>
        <v>8</v>
      </c>
      <c r="B13" s="38" t="s">
        <v>41</v>
      </c>
      <c r="C13" s="8" t="s">
        <v>33</v>
      </c>
      <c r="D13" s="41"/>
      <c r="E13" s="41"/>
      <c r="F13" s="41"/>
      <c r="G13" s="41">
        <v>0</v>
      </c>
      <c r="H13" s="76"/>
      <c r="I13" s="42">
        <f t="shared" si="0"/>
        <v>0</v>
      </c>
      <c r="J13" s="80"/>
      <c r="K13" s="30"/>
      <c r="L13" s="30"/>
      <c r="M13" s="30"/>
      <c r="N13" s="30"/>
      <c r="O13" s="30"/>
      <c r="P13" s="30"/>
      <c r="Q13" s="30"/>
      <c r="R13" s="30"/>
      <c r="S13" s="30"/>
      <c r="T13" s="30"/>
      <c r="U13" s="30"/>
      <c r="V13" s="30"/>
      <c r="W13" s="30"/>
      <c r="X13" s="30"/>
      <c r="Y13" s="30"/>
      <c r="Z13" s="30"/>
      <c r="AA13" s="30"/>
      <c r="AB13" s="31"/>
      <c r="AC13" s="32"/>
    </row>
    <row r="14" spans="1:29" s="24" customFormat="1" ht="30" customHeight="1" x14ac:dyDescent="0.25">
      <c r="A14" s="37">
        <f t="shared" si="1"/>
        <v>9</v>
      </c>
      <c r="B14" s="38" t="s">
        <v>42</v>
      </c>
      <c r="C14" s="8" t="s">
        <v>35</v>
      </c>
      <c r="D14" s="41"/>
      <c r="E14" s="41"/>
      <c r="F14" s="41">
        <v>0</v>
      </c>
      <c r="G14" s="41"/>
      <c r="H14" s="76"/>
      <c r="I14" s="42">
        <f t="shared" si="0"/>
        <v>0</v>
      </c>
      <c r="J14" s="80"/>
      <c r="K14" s="30"/>
      <c r="L14" s="30"/>
      <c r="M14" s="30"/>
      <c r="N14" s="30"/>
      <c r="O14" s="30"/>
      <c r="P14" s="30"/>
      <c r="Q14" s="30"/>
      <c r="R14" s="30"/>
      <c r="S14" s="30"/>
      <c r="T14" s="30"/>
      <c r="U14" s="30"/>
      <c r="V14" s="30"/>
      <c r="W14" s="30"/>
      <c r="X14" s="30"/>
      <c r="Y14" s="30"/>
      <c r="Z14" s="30"/>
      <c r="AA14" s="30"/>
      <c r="AB14" s="31"/>
      <c r="AC14" s="32"/>
    </row>
    <row r="15" spans="1:29" s="24" customFormat="1" ht="30" customHeight="1" x14ac:dyDescent="0.25">
      <c r="A15" s="37">
        <f t="shared" si="1"/>
        <v>10</v>
      </c>
      <c r="B15" s="38" t="s">
        <v>43</v>
      </c>
      <c r="C15" s="8" t="s">
        <v>35</v>
      </c>
      <c r="D15" s="41"/>
      <c r="E15" s="41"/>
      <c r="F15" s="41">
        <f>H43</f>
        <v>105.34</v>
      </c>
      <c r="G15" s="41">
        <f>H49</f>
        <v>17.28</v>
      </c>
      <c r="H15" s="76"/>
      <c r="I15" s="42">
        <f t="shared" si="0"/>
        <v>122.62</v>
      </c>
      <c r="J15" s="80"/>
      <c r="K15" s="30"/>
      <c r="L15" s="30"/>
      <c r="M15" s="30"/>
      <c r="N15" s="30"/>
      <c r="O15" s="30"/>
      <c r="P15" s="30"/>
      <c r="Q15" s="30"/>
      <c r="R15" s="30"/>
      <c r="S15" s="30"/>
      <c r="T15" s="30"/>
      <c r="U15" s="30"/>
      <c r="V15" s="30"/>
      <c r="W15" s="30"/>
      <c r="X15" s="30"/>
      <c r="Y15" s="30"/>
      <c r="Z15" s="30"/>
      <c r="AA15" s="30"/>
      <c r="AB15" s="31"/>
      <c r="AC15" s="32"/>
    </row>
    <row r="16" spans="1:29" s="24" customFormat="1" ht="30" customHeight="1" x14ac:dyDescent="0.25">
      <c r="A16" s="37">
        <f t="shared" si="1"/>
        <v>11</v>
      </c>
      <c r="B16" s="38" t="s">
        <v>44</v>
      </c>
      <c r="C16" s="8" t="s">
        <v>35</v>
      </c>
      <c r="D16" s="41"/>
      <c r="E16" s="41"/>
      <c r="F16" s="41"/>
      <c r="G16" s="41">
        <v>0</v>
      </c>
      <c r="H16" s="76"/>
      <c r="I16" s="42">
        <f t="shared" si="0"/>
        <v>0</v>
      </c>
      <c r="J16" s="80"/>
      <c r="K16" s="30"/>
      <c r="L16" s="30"/>
      <c r="M16" s="30"/>
      <c r="N16" s="30"/>
      <c r="O16" s="30"/>
      <c r="P16" s="30"/>
      <c r="Q16" s="30"/>
      <c r="R16" s="30"/>
      <c r="S16" s="30"/>
      <c r="T16" s="30"/>
      <c r="U16" s="30"/>
      <c r="V16" s="30"/>
      <c r="W16" s="30"/>
      <c r="X16" s="30"/>
      <c r="Y16" s="30"/>
      <c r="Z16" s="30"/>
      <c r="AA16" s="30"/>
      <c r="AB16" s="31"/>
      <c r="AC16" s="32"/>
    </row>
    <row r="17" spans="1:32" s="24" customFormat="1" ht="30" customHeight="1" x14ac:dyDescent="0.25">
      <c r="A17" s="37">
        <f t="shared" si="1"/>
        <v>12</v>
      </c>
      <c r="B17" s="38" t="s">
        <v>45</v>
      </c>
      <c r="C17" s="8" t="s">
        <v>46</v>
      </c>
      <c r="D17" s="41"/>
      <c r="E17" s="41"/>
      <c r="F17" s="41"/>
      <c r="G17" s="41"/>
      <c r="H17" s="76"/>
      <c r="I17" s="42">
        <f t="shared" si="0"/>
        <v>0</v>
      </c>
      <c r="J17" s="80"/>
      <c r="K17" s="30"/>
      <c r="L17" s="30"/>
      <c r="M17" s="30"/>
      <c r="N17" s="30"/>
      <c r="O17" s="30"/>
      <c r="P17" s="30"/>
      <c r="Q17" s="30"/>
      <c r="R17" s="30"/>
      <c r="S17" s="30"/>
      <c r="T17" s="30"/>
      <c r="U17" s="30"/>
      <c r="V17" s="30"/>
      <c r="W17" s="30"/>
      <c r="X17" s="30"/>
      <c r="Y17" s="30"/>
      <c r="Z17" s="30"/>
      <c r="AA17" s="30"/>
      <c r="AB17" s="31"/>
      <c r="AC17" s="32"/>
    </row>
    <row r="18" spans="1:32" s="24" customFormat="1" ht="30" customHeight="1" x14ac:dyDescent="0.25">
      <c r="A18" s="37">
        <f t="shared" si="1"/>
        <v>13</v>
      </c>
      <c r="B18" s="38" t="s">
        <v>47</v>
      </c>
      <c r="C18" s="8" t="s">
        <v>46</v>
      </c>
      <c r="D18" s="41"/>
      <c r="E18" s="41"/>
      <c r="F18" s="41">
        <f>L43</f>
        <v>252.40000000000003</v>
      </c>
      <c r="G18" s="41">
        <f>L49</f>
        <v>44.8</v>
      </c>
      <c r="H18" s="76"/>
      <c r="I18" s="42">
        <f t="shared" si="0"/>
        <v>297.20000000000005</v>
      </c>
      <c r="J18" s="80"/>
      <c r="K18" s="30"/>
      <c r="L18" s="30"/>
      <c r="M18" s="30"/>
      <c r="N18" s="30"/>
      <c r="O18" s="30"/>
      <c r="P18" s="30"/>
      <c r="Q18" s="30"/>
      <c r="R18" s="30"/>
      <c r="S18" s="30"/>
      <c r="T18" s="30"/>
      <c r="U18" s="30"/>
      <c r="V18" s="30"/>
      <c r="W18" s="30"/>
      <c r="X18" s="30"/>
      <c r="Y18" s="30"/>
      <c r="Z18" s="30"/>
      <c r="AA18" s="30"/>
      <c r="AB18" s="31"/>
      <c r="AC18" s="32"/>
    </row>
    <row r="19" spans="1:32" s="24" customFormat="1" ht="30" customHeight="1" x14ac:dyDescent="0.25">
      <c r="A19" s="43">
        <f t="shared" si="1"/>
        <v>14</v>
      </c>
      <c r="B19" s="44" t="s">
        <v>48</v>
      </c>
      <c r="C19" s="45" t="s">
        <v>46</v>
      </c>
      <c r="D19" s="46"/>
      <c r="E19" s="46"/>
      <c r="F19" s="46"/>
      <c r="G19" s="46">
        <v>0</v>
      </c>
      <c r="H19" s="77"/>
      <c r="I19" s="42">
        <f t="shared" si="0"/>
        <v>0</v>
      </c>
      <c r="J19" s="80"/>
      <c r="K19" s="30"/>
      <c r="L19" s="30"/>
      <c r="M19" s="30"/>
      <c r="N19" s="30"/>
      <c r="O19" s="30"/>
      <c r="P19" s="30"/>
      <c r="Q19" s="30"/>
      <c r="R19" s="30"/>
      <c r="S19" s="30"/>
      <c r="T19" s="30"/>
      <c r="U19" s="30"/>
      <c r="V19" s="30"/>
      <c r="W19" s="30"/>
      <c r="X19" s="30"/>
      <c r="Y19" s="30"/>
      <c r="Z19" s="30"/>
      <c r="AA19" s="30"/>
      <c r="AB19" s="31"/>
      <c r="AC19" s="32"/>
    </row>
    <row r="20" spans="1:32" s="24" customFormat="1" ht="30" customHeight="1" x14ac:dyDescent="0.25">
      <c r="A20" s="43">
        <f>A19+1</f>
        <v>15</v>
      </c>
      <c r="B20" s="47" t="s">
        <v>49</v>
      </c>
      <c r="C20" s="48" t="s">
        <v>2</v>
      </c>
      <c r="D20" s="49">
        <f>((D14+D15+D16)*4)+(((D8+D9+D10)/0.1)*4)</f>
        <v>0</v>
      </c>
      <c r="E20" s="49">
        <f>((E14+E15+E16)*4)+(((E8+E9+E10)/0.1)*4)</f>
        <v>0</v>
      </c>
      <c r="F20" s="49">
        <f>((F14+F15+F16)*4)+(((F8+F9+F10)/0.1)*4)</f>
        <v>935.16</v>
      </c>
      <c r="G20" s="49">
        <f>((G14+G15+G16)*4)+(((G8+G9+G10)/0.1)*4)</f>
        <v>131.84</v>
      </c>
      <c r="H20" s="78">
        <f>((H14+H15+H16)*4)+(((H8+H9+H10)/0.1)*4)</f>
        <v>0</v>
      </c>
      <c r="I20" s="50">
        <f>SUM(D20:H20)</f>
        <v>1067</v>
      </c>
      <c r="J20" s="80"/>
      <c r="K20" s="30"/>
      <c r="L20" s="30"/>
      <c r="M20" s="30"/>
      <c r="N20" s="30"/>
      <c r="O20" s="30"/>
      <c r="P20" s="30"/>
      <c r="Q20" s="30"/>
      <c r="R20" s="30"/>
      <c r="S20" s="30"/>
      <c r="T20" s="30"/>
      <c r="U20" s="30"/>
      <c r="V20" s="30"/>
      <c r="W20" s="30"/>
      <c r="X20" s="30"/>
      <c r="Y20" s="30"/>
      <c r="Z20" s="30"/>
      <c r="AA20" s="30"/>
      <c r="AB20" s="31"/>
      <c r="AC20" s="32"/>
    </row>
    <row r="21" spans="1:32" s="24" customFormat="1" ht="30" hidden="1" customHeight="1" x14ac:dyDescent="0.25">
      <c r="A21" s="43"/>
      <c r="B21" s="47" t="s">
        <v>50</v>
      </c>
      <c r="C21" s="48">
        <v>0.8</v>
      </c>
      <c r="D21" s="49" t="s">
        <v>51</v>
      </c>
      <c r="E21" s="49"/>
      <c r="F21" s="49"/>
      <c r="G21" s="49"/>
      <c r="H21" s="78"/>
      <c r="I21" s="50"/>
      <c r="J21" s="82"/>
      <c r="K21" s="30"/>
      <c r="L21" s="30"/>
      <c r="M21" s="30"/>
      <c r="N21" s="30"/>
      <c r="O21" s="30"/>
      <c r="P21" s="30"/>
      <c r="Q21" s="30"/>
      <c r="R21" s="30"/>
      <c r="S21" s="30"/>
      <c r="T21" s="30"/>
      <c r="U21" s="30"/>
      <c r="V21" s="30"/>
      <c r="W21" s="30"/>
      <c r="X21" s="30"/>
      <c r="Y21" s="30"/>
      <c r="Z21" s="30"/>
      <c r="AA21" s="30"/>
      <c r="AB21" s="31"/>
      <c r="AC21" s="32"/>
    </row>
    <row r="22" spans="1:32" ht="30" hidden="1" customHeight="1" x14ac:dyDescent="0.25">
      <c r="A22" s="43"/>
      <c r="B22" s="47" t="s">
        <v>52</v>
      </c>
      <c r="C22" s="48" t="s">
        <v>33</v>
      </c>
      <c r="D22" s="49"/>
      <c r="E22" s="49"/>
      <c r="F22" s="49"/>
      <c r="G22" s="49"/>
      <c r="H22" s="78"/>
      <c r="I22" s="50">
        <f t="shared" ref="I22:I25" si="2">SUM(D22:H22)</f>
        <v>0</v>
      </c>
      <c r="J22" s="82"/>
    </row>
    <row r="23" spans="1:32" ht="30" hidden="1" customHeight="1" x14ac:dyDescent="0.25">
      <c r="A23" s="43"/>
      <c r="B23" s="47" t="s">
        <v>53</v>
      </c>
      <c r="C23" s="48" t="s">
        <v>33</v>
      </c>
      <c r="D23" s="49"/>
      <c r="E23" s="49"/>
      <c r="F23" s="49"/>
      <c r="G23" s="49"/>
      <c r="H23" s="78"/>
      <c r="I23" s="50">
        <f t="shared" si="2"/>
        <v>0</v>
      </c>
      <c r="J23" s="82"/>
    </row>
    <row r="24" spans="1:32" ht="30.75" hidden="1" customHeight="1" x14ac:dyDescent="0.25">
      <c r="A24" s="43"/>
      <c r="B24" s="47" t="s">
        <v>54</v>
      </c>
      <c r="C24" s="48" t="s">
        <v>35</v>
      </c>
      <c r="D24" s="49"/>
      <c r="E24" s="49"/>
      <c r="F24" s="49"/>
      <c r="G24" s="49"/>
      <c r="H24" s="78"/>
      <c r="I24" s="50">
        <f t="shared" si="2"/>
        <v>0</v>
      </c>
      <c r="J24" s="82"/>
    </row>
    <row r="25" spans="1:32" ht="30.75" hidden="1" customHeight="1" x14ac:dyDescent="0.25">
      <c r="A25" s="43"/>
      <c r="B25" s="47" t="s">
        <v>55</v>
      </c>
      <c r="C25" s="48" t="s">
        <v>56</v>
      </c>
      <c r="D25" s="49"/>
      <c r="E25" s="49"/>
      <c r="F25" s="49"/>
      <c r="G25" s="49"/>
      <c r="H25" s="78"/>
      <c r="I25" s="50">
        <f t="shared" si="2"/>
        <v>0</v>
      </c>
      <c r="J25" s="82"/>
    </row>
    <row r="26" spans="1:32" ht="30" customHeight="1" thickBot="1" x14ac:dyDescent="0.3">
      <c r="A26" s="53" t="s">
        <v>57</v>
      </c>
      <c r="B26" s="54"/>
      <c r="C26" s="54"/>
      <c r="D26" s="54"/>
      <c r="E26" s="54"/>
      <c r="F26" s="54"/>
      <c r="G26" s="54"/>
      <c r="H26" s="54"/>
      <c r="I26" s="54"/>
      <c r="J26" s="54"/>
    </row>
    <row r="27" spans="1:32" ht="30" customHeight="1" x14ac:dyDescent="0.25">
      <c r="A27" s="55">
        <v>1</v>
      </c>
      <c r="B27" s="56" t="s">
        <v>58</v>
      </c>
      <c r="C27" s="57" t="s">
        <v>59</v>
      </c>
      <c r="D27" s="56">
        <v>0.1</v>
      </c>
      <c r="E27" s="58" t="s">
        <v>51</v>
      </c>
      <c r="F27" s="54"/>
      <c r="G27" s="54"/>
      <c r="H27" s="54"/>
      <c r="I27" s="54"/>
      <c r="J27" s="54"/>
    </row>
    <row r="28" spans="1:32" ht="30" customHeight="1" x14ac:dyDescent="0.25">
      <c r="A28" s="59">
        <f>A27+1</f>
        <v>2</v>
      </c>
      <c r="B28" s="15" t="s">
        <v>60</v>
      </c>
      <c r="C28" s="7" t="s">
        <v>59</v>
      </c>
      <c r="D28" s="15">
        <v>0.1</v>
      </c>
      <c r="E28" s="60" t="s">
        <v>51</v>
      </c>
      <c r="F28" s="54"/>
      <c r="G28" s="61" t="s">
        <v>61</v>
      </c>
      <c r="H28" s="62">
        <v>0.5</v>
      </c>
      <c r="I28" s="62" t="s">
        <v>51</v>
      </c>
      <c r="J28" s="54"/>
    </row>
    <row r="29" spans="1:32" ht="30" customHeight="1" x14ac:dyDescent="0.25">
      <c r="A29" s="59">
        <f>A28+1</f>
        <v>3</v>
      </c>
      <c r="B29" s="63" t="s">
        <v>62</v>
      </c>
      <c r="C29" s="7" t="s">
        <v>59</v>
      </c>
      <c r="D29" s="15">
        <v>0.3</v>
      </c>
      <c r="E29" s="60" t="s">
        <v>51</v>
      </c>
      <c r="F29" s="54"/>
      <c r="G29" s="54"/>
      <c r="H29" s="54"/>
      <c r="I29" s="54"/>
      <c r="J29" s="54"/>
    </row>
    <row r="30" spans="1:32" ht="30" customHeight="1" thickBot="1" x14ac:dyDescent="0.3">
      <c r="A30" s="64">
        <f>A29+1</f>
        <v>4</v>
      </c>
      <c r="B30" s="65" t="s">
        <v>63</v>
      </c>
      <c r="C30" s="66" t="s">
        <v>59</v>
      </c>
      <c r="D30" s="67">
        <v>0.2</v>
      </c>
      <c r="E30" s="68" t="s">
        <v>51</v>
      </c>
      <c r="F30" s="54"/>
      <c r="G30" s="54"/>
      <c r="H30" s="54"/>
      <c r="I30" s="54"/>
      <c r="J30" s="54"/>
    </row>
    <row r="31" spans="1:32" ht="30" customHeight="1" x14ac:dyDescent="0.25">
      <c r="A31" s="69" t="s">
        <v>64</v>
      </c>
      <c r="B31" s="69"/>
      <c r="C31" s="70"/>
      <c r="D31" s="71"/>
      <c r="E31" s="70"/>
      <c r="F31" s="72"/>
      <c r="G31" s="72"/>
      <c r="H31" s="72"/>
      <c r="I31" s="72"/>
      <c r="J31" s="54"/>
    </row>
    <row r="32" spans="1:32" ht="51.75" customHeight="1" x14ac:dyDescent="0.2">
      <c r="A32" s="2" t="s">
        <v>0</v>
      </c>
      <c r="B32" s="3" t="s">
        <v>1</v>
      </c>
      <c r="C32" s="3" t="s">
        <v>2</v>
      </c>
      <c r="D32" s="3" t="s">
        <v>3</v>
      </c>
      <c r="E32" s="3" t="s">
        <v>4</v>
      </c>
      <c r="F32" s="3" t="s">
        <v>5</v>
      </c>
      <c r="G32" s="4" t="s">
        <v>6</v>
      </c>
      <c r="H32" s="4" t="s">
        <v>7</v>
      </c>
      <c r="I32" s="4" t="s">
        <v>8</v>
      </c>
      <c r="J32" s="4" t="s">
        <v>9</v>
      </c>
      <c r="K32" s="4" t="s">
        <v>10</v>
      </c>
      <c r="L32" s="5" t="s">
        <v>11</v>
      </c>
      <c r="N32" s="73"/>
      <c r="O32" s="73"/>
      <c r="P32" s="73"/>
      <c r="Q32" s="73"/>
      <c r="R32" s="73"/>
      <c r="S32" s="73"/>
      <c r="T32" s="73"/>
      <c r="U32" s="73"/>
      <c r="V32" s="73"/>
      <c r="W32" s="73"/>
      <c r="X32" s="73"/>
      <c r="Y32" s="73"/>
      <c r="Z32" s="73"/>
      <c r="AA32" s="73"/>
      <c r="AB32" s="73"/>
      <c r="AC32" s="73"/>
      <c r="AD32" s="73"/>
      <c r="AE32" s="73"/>
      <c r="AF32" s="73"/>
    </row>
    <row r="33" spans="1:32" ht="30" customHeight="1" x14ac:dyDescent="0.2">
      <c r="A33" s="19" t="s">
        <v>15</v>
      </c>
      <c r="B33" s="11"/>
      <c r="C33" s="15"/>
      <c r="D33" s="14"/>
      <c r="E33" s="14"/>
      <c r="F33" s="6"/>
      <c r="G33" s="17"/>
      <c r="H33" s="15"/>
      <c r="I33" s="15"/>
      <c r="J33" s="15"/>
      <c r="K33" s="15"/>
      <c r="L33" s="18"/>
      <c r="N33" s="73"/>
      <c r="O33" s="73"/>
      <c r="P33" s="73"/>
      <c r="Q33" s="73"/>
      <c r="R33" s="73"/>
      <c r="S33" s="73"/>
      <c r="T33" s="73"/>
      <c r="U33" s="73"/>
      <c r="V33" s="73"/>
      <c r="W33" s="73"/>
      <c r="X33" s="73"/>
      <c r="Y33" s="73"/>
      <c r="Z33" s="73"/>
      <c r="AA33" s="73"/>
      <c r="AB33" s="73"/>
      <c r="AC33" s="73"/>
      <c r="AD33" s="73"/>
      <c r="AE33" s="73"/>
      <c r="AF33" s="73"/>
    </row>
    <row r="34" spans="1:32" ht="30" customHeight="1" x14ac:dyDescent="0.2">
      <c r="A34" s="9" t="s">
        <v>13</v>
      </c>
      <c r="B34" s="20"/>
      <c r="C34" s="21"/>
      <c r="D34" s="21"/>
      <c r="E34" s="14"/>
      <c r="F34" s="6"/>
      <c r="G34" s="11"/>
      <c r="H34" s="11"/>
      <c r="I34" s="11"/>
      <c r="J34" s="11"/>
      <c r="K34" s="6"/>
      <c r="L34" s="12"/>
      <c r="M34" s="52" t="s">
        <v>65</v>
      </c>
      <c r="N34" s="73"/>
      <c r="O34" s="73"/>
      <c r="P34" s="73"/>
      <c r="Q34" s="73"/>
      <c r="R34" s="73"/>
      <c r="S34" s="73"/>
      <c r="T34" s="73"/>
      <c r="U34" s="73"/>
      <c r="V34" s="73"/>
      <c r="W34" s="73"/>
      <c r="X34" s="73"/>
      <c r="Y34" s="73"/>
      <c r="Z34" s="73"/>
      <c r="AA34" s="73"/>
      <c r="AB34" s="73"/>
      <c r="AC34" s="73"/>
      <c r="AD34" s="73"/>
      <c r="AE34" s="73"/>
      <c r="AF34" s="73"/>
    </row>
    <row r="35" spans="1:32" ht="30" customHeight="1" x14ac:dyDescent="0.2">
      <c r="A35" s="13">
        <v>1</v>
      </c>
      <c r="B35" s="11" t="s">
        <v>16</v>
      </c>
      <c r="C35" s="10">
        <v>9</v>
      </c>
      <c r="D35" s="14">
        <v>1.2</v>
      </c>
      <c r="E35" s="14">
        <v>1.2</v>
      </c>
      <c r="F35" s="6">
        <v>0.45</v>
      </c>
      <c r="G35" s="11">
        <f t="shared" ref="G35:G41" si="3">C35*D35*E35*F35</f>
        <v>5.8319999999999999</v>
      </c>
      <c r="H35" s="11">
        <f t="shared" ref="H35:H42" si="4">(D35+E35)*2*F35*C35</f>
        <v>19.440000000000001</v>
      </c>
      <c r="I35" s="11">
        <f t="shared" ref="I35:I42" si="5">(D35+2*$D$27)*(E35+2*$D$27)*$D$28*C35</f>
        <v>1.7639999999999998</v>
      </c>
      <c r="J35" s="11">
        <f t="shared" ref="J35:J42" si="6">(D35+2*$D$29)*(E35+2*$D$29)*$D$30*C35</f>
        <v>5.831999999999999</v>
      </c>
      <c r="K35" s="6">
        <f t="shared" ref="K35:K42" si="7">(E35+2*$D$29)*(D35+2*$D$29)*C35</f>
        <v>29.159999999999993</v>
      </c>
      <c r="L35" s="12">
        <f t="shared" ref="L35:L42" si="8">+C35*2*((D35+2*D$27)+(E35+2*D$27))</f>
        <v>50.4</v>
      </c>
      <c r="M35" s="52">
        <f>H35/C35</f>
        <v>2.16</v>
      </c>
      <c r="N35" s="73"/>
      <c r="O35" s="73"/>
      <c r="P35" s="73"/>
      <c r="Q35" s="73"/>
      <c r="R35" s="73"/>
      <c r="S35" s="73"/>
      <c r="T35" s="73"/>
      <c r="U35" s="73"/>
      <c r="V35" s="73"/>
      <c r="W35" s="73"/>
      <c r="X35" s="73"/>
      <c r="Y35" s="73"/>
      <c r="Z35" s="73"/>
      <c r="AA35" s="73"/>
      <c r="AB35" s="73"/>
      <c r="AC35" s="73"/>
      <c r="AD35" s="73"/>
      <c r="AE35" s="73"/>
      <c r="AF35" s="73"/>
    </row>
    <row r="36" spans="1:32" ht="30" customHeight="1" x14ac:dyDescent="0.2">
      <c r="A36" s="13">
        <f>A35+1</f>
        <v>2</v>
      </c>
      <c r="B36" s="11" t="s">
        <v>17</v>
      </c>
      <c r="C36" s="10">
        <v>4</v>
      </c>
      <c r="D36" s="14">
        <v>1.3</v>
      </c>
      <c r="E36" s="14">
        <v>1.3</v>
      </c>
      <c r="F36" s="6">
        <v>0.45</v>
      </c>
      <c r="G36" s="11">
        <f t="shared" si="3"/>
        <v>3.0420000000000003</v>
      </c>
      <c r="H36" s="11">
        <f t="shared" si="4"/>
        <v>9.3600000000000012</v>
      </c>
      <c r="I36" s="11">
        <f t="shared" si="5"/>
        <v>0.9</v>
      </c>
      <c r="J36" s="11">
        <f t="shared" si="6"/>
        <v>2.8879999999999999</v>
      </c>
      <c r="K36" s="6">
        <f t="shared" si="7"/>
        <v>14.44</v>
      </c>
      <c r="L36" s="12">
        <f t="shared" si="8"/>
        <v>24</v>
      </c>
      <c r="M36" s="52">
        <f>H36/C36</f>
        <v>2.3400000000000003</v>
      </c>
      <c r="N36" s="73"/>
      <c r="O36" s="73"/>
      <c r="P36" s="73"/>
      <c r="Q36" s="73"/>
      <c r="R36" s="73"/>
      <c r="S36" s="73"/>
      <c r="T36" s="73"/>
      <c r="U36" s="73"/>
      <c r="V36" s="73"/>
      <c r="W36" s="73"/>
      <c r="X36" s="73"/>
      <c r="Y36" s="73"/>
      <c r="Z36" s="73"/>
      <c r="AA36" s="73"/>
      <c r="AB36" s="73"/>
      <c r="AC36" s="73"/>
      <c r="AD36" s="73"/>
      <c r="AE36" s="73"/>
      <c r="AF36" s="73"/>
    </row>
    <row r="37" spans="1:32" ht="30" customHeight="1" x14ac:dyDescent="0.2">
      <c r="A37" s="13">
        <f t="shared" ref="A37:A42" si="9">A36+1</f>
        <v>3</v>
      </c>
      <c r="B37" s="11" t="s">
        <v>18</v>
      </c>
      <c r="C37" s="10">
        <v>11</v>
      </c>
      <c r="D37" s="14">
        <v>1.9</v>
      </c>
      <c r="E37" s="14">
        <v>1.9</v>
      </c>
      <c r="F37" s="6">
        <v>0.45</v>
      </c>
      <c r="G37" s="11">
        <f t="shared" si="3"/>
        <v>17.869499999999999</v>
      </c>
      <c r="H37" s="11">
        <f t="shared" si="4"/>
        <v>37.619999999999997</v>
      </c>
      <c r="I37" s="11">
        <f t="shared" si="5"/>
        <v>4.8510000000000009</v>
      </c>
      <c r="J37" s="11">
        <f t="shared" si="6"/>
        <v>13.75</v>
      </c>
      <c r="K37" s="6">
        <f t="shared" si="7"/>
        <v>68.75</v>
      </c>
      <c r="L37" s="12">
        <f t="shared" si="8"/>
        <v>92.4</v>
      </c>
      <c r="N37" s="73"/>
      <c r="O37" s="73"/>
      <c r="P37" s="73"/>
      <c r="Q37" s="73"/>
      <c r="R37" s="73"/>
      <c r="S37" s="73"/>
      <c r="T37" s="73"/>
      <c r="U37" s="73"/>
      <c r="V37" s="73"/>
      <c r="W37" s="73"/>
      <c r="X37" s="73"/>
      <c r="Y37" s="73"/>
      <c r="Z37" s="73"/>
      <c r="AA37" s="73"/>
      <c r="AB37" s="73"/>
      <c r="AC37" s="73"/>
      <c r="AD37" s="73"/>
      <c r="AE37" s="73"/>
      <c r="AF37" s="73"/>
    </row>
    <row r="38" spans="1:32" ht="30" customHeight="1" x14ac:dyDescent="0.2">
      <c r="A38" s="13">
        <f t="shared" si="9"/>
        <v>4</v>
      </c>
      <c r="B38" s="11" t="s">
        <v>19</v>
      </c>
      <c r="C38" s="10">
        <v>2</v>
      </c>
      <c r="D38" s="14">
        <v>1.7</v>
      </c>
      <c r="E38" s="14">
        <v>1.7</v>
      </c>
      <c r="F38" s="6">
        <v>0.45</v>
      </c>
      <c r="G38" s="11">
        <f t="shared" si="3"/>
        <v>2.601</v>
      </c>
      <c r="H38" s="11">
        <f t="shared" si="4"/>
        <v>6.12</v>
      </c>
      <c r="I38" s="11">
        <f t="shared" si="5"/>
        <v>0.72199999999999998</v>
      </c>
      <c r="J38" s="11">
        <f t="shared" si="6"/>
        <v>2.1159999999999997</v>
      </c>
      <c r="K38" s="6">
        <f t="shared" si="7"/>
        <v>10.579999999999998</v>
      </c>
      <c r="L38" s="12">
        <f t="shared" si="8"/>
        <v>15.2</v>
      </c>
      <c r="N38" s="73"/>
      <c r="O38" s="73"/>
      <c r="P38" s="73"/>
      <c r="Q38" s="73"/>
      <c r="R38" s="73"/>
      <c r="S38" s="73"/>
      <c r="T38" s="73"/>
      <c r="U38" s="73"/>
      <c r="V38" s="73"/>
      <c r="W38" s="73"/>
      <c r="X38" s="73"/>
      <c r="Y38" s="73"/>
      <c r="Z38" s="73"/>
      <c r="AA38" s="73"/>
      <c r="AB38" s="73"/>
      <c r="AC38" s="73"/>
      <c r="AD38" s="73"/>
      <c r="AE38" s="73"/>
      <c r="AF38" s="73"/>
    </row>
    <row r="39" spans="1:32" ht="30" customHeight="1" x14ac:dyDescent="0.2">
      <c r="A39" s="13">
        <f t="shared" si="9"/>
        <v>5</v>
      </c>
      <c r="B39" s="11" t="s">
        <v>20</v>
      </c>
      <c r="C39" s="10">
        <v>3</v>
      </c>
      <c r="D39" s="14">
        <v>2</v>
      </c>
      <c r="E39" s="14">
        <v>2</v>
      </c>
      <c r="F39" s="6">
        <v>0.45</v>
      </c>
      <c r="G39" s="11">
        <f t="shared" si="3"/>
        <v>5.4</v>
      </c>
      <c r="H39" s="11">
        <f t="shared" si="4"/>
        <v>10.8</v>
      </c>
      <c r="I39" s="11">
        <f t="shared" si="5"/>
        <v>1.4520000000000004</v>
      </c>
      <c r="J39" s="11">
        <f t="shared" si="6"/>
        <v>4.0560000000000009</v>
      </c>
      <c r="K39" s="6">
        <f t="shared" si="7"/>
        <v>20.28</v>
      </c>
      <c r="L39" s="12">
        <f t="shared" si="8"/>
        <v>26.400000000000002</v>
      </c>
      <c r="N39" s="73"/>
      <c r="O39" s="73"/>
      <c r="P39" s="73"/>
      <c r="Q39" s="73"/>
      <c r="R39" s="73"/>
      <c r="S39" s="73"/>
      <c r="T39" s="73"/>
      <c r="U39" s="73"/>
      <c r="V39" s="73"/>
      <c r="W39" s="73"/>
      <c r="X39" s="73"/>
      <c r="Y39" s="73"/>
      <c r="Z39" s="73"/>
      <c r="AA39" s="73"/>
      <c r="AB39" s="73"/>
      <c r="AC39" s="73"/>
      <c r="AD39" s="73"/>
      <c r="AE39" s="73"/>
      <c r="AF39" s="73"/>
    </row>
    <row r="40" spans="1:32" ht="30" customHeight="1" x14ac:dyDescent="0.2">
      <c r="A40" s="13">
        <f t="shared" si="9"/>
        <v>6</v>
      </c>
      <c r="B40" s="11" t="s">
        <v>21</v>
      </c>
      <c r="C40" s="10">
        <v>1</v>
      </c>
      <c r="D40" s="14">
        <v>2.5</v>
      </c>
      <c r="E40" s="14">
        <v>2.5</v>
      </c>
      <c r="F40" s="6">
        <v>0.45</v>
      </c>
      <c r="G40" s="11">
        <f t="shared" si="3"/>
        <v>2.8125</v>
      </c>
      <c r="H40" s="11">
        <f t="shared" si="4"/>
        <v>4.5</v>
      </c>
      <c r="I40" s="11">
        <f t="shared" si="5"/>
        <v>0.72900000000000009</v>
      </c>
      <c r="J40" s="11">
        <f t="shared" si="6"/>
        <v>1.9220000000000004</v>
      </c>
      <c r="K40" s="6">
        <f t="shared" si="7"/>
        <v>9.6100000000000012</v>
      </c>
      <c r="L40" s="12">
        <f t="shared" si="8"/>
        <v>10.8</v>
      </c>
      <c r="N40" s="73"/>
      <c r="O40" s="73"/>
      <c r="P40" s="73"/>
      <c r="Q40" s="73"/>
      <c r="R40" s="73"/>
      <c r="S40" s="73"/>
      <c r="T40" s="73"/>
      <c r="U40" s="73"/>
      <c r="V40" s="73"/>
      <c r="W40" s="73"/>
      <c r="X40" s="73"/>
      <c r="Y40" s="73"/>
      <c r="Z40" s="73"/>
      <c r="AA40" s="73"/>
      <c r="AB40" s="73"/>
      <c r="AC40" s="73"/>
      <c r="AD40" s="73"/>
      <c r="AE40" s="73"/>
      <c r="AF40" s="73"/>
    </row>
    <row r="41" spans="1:32" ht="30" customHeight="1" x14ac:dyDescent="0.2">
      <c r="A41" s="13">
        <f t="shared" si="9"/>
        <v>7</v>
      </c>
      <c r="B41" s="11" t="s">
        <v>22</v>
      </c>
      <c r="C41" s="10">
        <v>1</v>
      </c>
      <c r="D41" s="14">
        <v>3.5</v>
      </c>
      <c r="E41" s="14">
        <v>3.5</v>
      </c>
      <c r="F41" s="6">
        <v>0.65</v>
      </c>
      <c r="G41" s="11">
        <f t="shared" si="3"/>
        <v>7.9625000000000004</v>
      </c>
      <c r="H41" s="11">
        <f t="shared" si="4"/>
        <v>9.1</v>
      </c>
      <c r="I41" s="11">
        <f t="shared" si="5"/>
        <v>1.3690000000000002</v>
      </c>
      <c r="J41" s="11">
        <f t="shared" si="6"/>
        <v>3.3620000000000001</v>
      </c>
      <c r="K41" s="6">
        <f t="shared" si="7"/>
        <v>16.809999999999999</v>
      </c>
      <c r="L41" s="12">
        <f t="shared" si="8"/>
        <v>14.8</v>
      </c>
      <c r="N41" s="73"/>
      <c r="O41" s="73"/>
      <c r="P41" s="73"/>
      <c r="Q41" s="73"/>
      <c r="R41" s="73"/>
      <c r="S41" s="73"/>
      <c r="T41" s="73"/>
      <c r="U41" s="73"/>
      <c r="V41" s="73"/>
      <c r="W41" s="73"/>
      <c r="X41" s="73"/>
      <c r="Y41" s="73"/>
      <c r="Z41" s="73"/>
      <c r="AA41" s="73"/>
      <c r="AB41" s="73"/>
      <c r="AC41" s="73"/>
      <c r="AD41" s="73"/>
      <c r="AE41" s="73"/>
      <c r="AF41" s="73"/>
    </row>
    <row r="42" spans="1:32" ht="30" customHeight="1" x14ac:dyDescent="0.2">
      <c r="A42" s="13">
        <f t="shared" si="9"/>
        <v>8</v>
      </c>
      <c r="B42" s="11" t="s">
        <v>23</v>
      </c>
      <c r="C42" s="10">
        <v>2</v>
      </c>
      <c r="D42" s="14">
        <v>2.1</v>
      </c>
      <c r="E42" s="14">
        <v>2.1</v>
      </c>
      <c r="F42" s="6">
        <v>0.5</v>
      </c>
      <c r="G42" s="11">
        <f>C42*D42*E42*F42</f>
        <v>4.41</v>
      </c>
      <c r="H42" s="11">
        <f t="shared" si="4"/>
        <v>8.4</v>
      </c>
      <c r="I42" s="11">
        <f t="shared" si="5"/>
        <v>1.0580000000000003</v>
      </c>
      <c r="J42" s="11">
        <f t="shared" si="6"/>
        <v>2.9160000000000004</v>
      </c>
      <c r="K42" s="6">
        <f t="shared" si="7"/>
        <v>14.580000000000002</v>
      </c>
      <c r="L42" s="12">
        <f t="shared" si="8"/>
        <v>18.400000000000002</v>
      </c>
      <c r="N42" s="73"/>
      <c r="O42" s="73"/>
      <c r="P42" s="73"/>
      <c r="Q42" s="73"/>
      <c r="R42" s="73"/>
      <c r="S42" s="73"/>
      <c r="T42" s="73"/>
      <c r="U42" s="73"/>
      <c r="V42" s="73"/>
      <c r="W42" s="73"/>
      <c r="X42" s="73"/>
      <c r="Y42" s="73"/>
      <c r="Z42" s="73"/>
      <c r="AA42" s="73"/>
      <c r="AB42" s="73"/>
      <c r="AC42" s="73"/>
      <c r="AD42" s="73"/>
      <c r="AE42" s="73"/>
      <c r="AF42" s="73"/>
    </row>
    <row r="43" spans="1:32" ht="30" customHeight="1" x14ac:dyDescent="0.2">
      <c r="A43" s="13"/>
      <c r="B43" s="11"/>
      <c r="C43" s="15">
        <f>SUM(C35:C42)</f>
        <v>33</v>
      </c>
      <c r="D43" s="14"/>
      <c r="E43" s="14"/>
      <c r="F43" s="6"/>
      <c r="G43" s="16">
        <f t="shared" ref="G43:L43" si="10">SUM(G35:G42)</f>
        <v>49.92949999999999</v>
      </c>
      <c r="H43" s="16">
        <f t="shared" si="10"/>
        <v>105.34</v>
      </c>
      <c r="I43" s="16">
        <f t="shared" si="10"/>
        <v>12.844999999999999</v>
      </c>
      <c r="J43" s="16">
        <f t="shared" si="10"/>
        <v>36.841999999999999</v>
      </c>
      <c r="K43" s="16">
        <f t="shared" si="10"/>
        <v>184.21</v>
      </c>
      <c r="L43" s="16">
        <f t="shared" si="10"/>
        <v>252.40000000000003</v>
      </c>
      <c r="M43" s="16"/>
      <c r="N43" s="73"/>
      <c r="O43" s="73"/>
      <c r="P43" s="73"/>
      <c r="Q43" s="73"/>
      <c r="R43" s="73"/>
      <c r="S43" s="73"/>
      <c r="T43" s="73"/>
      <c r="U43" s="73"/>
      <c r="V43" s="73"/>
      <c r="W43" s="73"/>
      <c r="X43" s="73"/>
      <c r="Y43" s="73"/>
      <c r="Z43" s="73"/>
      <c r="AA43" s="73"/>
      <c r="AB43" s="73"/>
      <c r="AC43" s="73"/>
      <c r="AD43" s="73"/>
      <c r="AE43" s="73"/>
      <c r="AF43" s="73"/>
    </row>
    <row r="44" spans="1:32" s="74" customFormat="1" ht="19.5" customHeight="1" x14ac:dyDescent="0.25"/>
    <row r="46" spans="1:32" ht="51.75" customHeight="1" x14ac:dyDescent="0.2">
      <c r="A46" s="2" t="s">
        <v>0</v>
      </c>
      <c r="B46" s="3" t="s">
        <v>1</v>
      </c>
      <c r="C46" s="3" t="s">
        <v>2</v>
      </c>
      <c r="D46" s="3" t="s">
        <v>3</v>
      </c>
      <c r="E46" s="3" t="s">
        <v>4</v>
      </c>
      <c r="F46" s="3" t="s">
        <v>5</v>
      </c>
      <c r="G46" s="4" t="s">
        <v>6</v>
      </c>
      <c r="H46" s="4" t="s">
        <v>7</v>
      </c>
      <c r="I46" s="4" t="s">
        <v>8</v>
      </c>
      <c r="J46" s="4" t="s">
        <v>9</v>
      </c>
      <c r="K46" s="4" t="s">
        <v>10</v>
      </c>
      <c r="L46" s="5" t="s">
        <v>11</v>
      </c>
      <c r="N46" s="73"/>
      <c r="O46" s="73"/>
      <c r="P46" s="73"/>
      <c r="Q46" s="73"/>
      <c r="R46" s="73"/>
      <c r="S46" s="73"/>
      <c r="T46" s="73"/>
      <c r="U46" s="73"/>
      <c r="V46" s="73"/>
      <c r="W46" s="73"/>
      <c r="X46" s="73"/>
      <c r="Y46" s="73"/>
      <c r="Z46" s="73"/>
      <c r="AA46" s="73"/>
      <c r="AB46" s="73"/>
      <c r="AC46" s="73"/>
      <c r="AD46" s="73"/>
      <c r="AE46" s="73"/>
      <c r="AF46" s="73"/>
    </row>
    <row r="47" spans="1:32" ht="30" customHeight="1" x14ac:dyDescent="0.2">
      <c r="A47" s="19" t="s">
        <v>591</v>
      </c>
      <c r="B47" s="11"/>
      <c r="C47" s="15"/>
      <c r="D47" s="14"/>
      <c r="E47" s="14"/>
      <c r="F47" s="6"/>
      <c r="G47" s="17"/>
      <c r="H47" s="15"/>
      <c r="I47" s="15"/>
      <c r="J47" s="15"/>
      <c r="K47" s="15"/>
      <c r="L47" s="18"/>
      <c r="N47" s="73"/>
      <c r="O47" s="73"/>
      <c r="P47" s="73"/>
      <c r="Q47" s="73"/>
      <c r="R47" s="73"/>
      <c r="S47" s="73"/>
      <c r="T47" s="73"/>
      <c r="U47" s="73"/>
      <c r="V47" s="73"/>
      <c r="W47" s="73"/>
      <c r="X47" s="73"/>
      <c r="Y47" s="73"/>
      <c r="Z47" s="73"/>
      <c r="AA47" s="73"/>
      <c r="AB47" s="73"/>
      <c r="AC47" s="73"/>
      <c r="AD47" s="73"/>
      <c r="AE47" s="73"/>
      <c r="AF47" s="73"/>
    </row>
    <row r="48" spans="1:32" ht="30" customHeight="1" x14ac:dyDescent="0.2">
      <c r="A48" s="9" t="s">
        <v>13</v>
      </c>
      <c r="B48" s="20"/>
      <c r="C48" s="21"/>
      <c r="D48" s="21"/>
      <c r="E48" s="14"/>
      <c r="F48" s="6"/>
      <c r="G48" s="11"/>
      <c r="H48" s="11"/>
      <c r="I48" s="11"/>
      <c r="J48" s="11"/>
      <c r="K48" s="6"/>
      <c r="L48" s="12"/>
      <c r="M48" s="52" t="s">
        <v>65</v>
      </c>
      <c r="N48" s="73"/>
      <c r="O48" s="73"/>
      <c r="P48" s="73"/>
      <c r="Q48" s="73"/>
      <c r="R48" s="73"/>
      <c r="S48" s="73"/>
      <c r="T48" s="73"/>
      <c r="U48" s="73"/>
      <c r="V48" s="73"/>
      <c r="W48" s="73"/>
      <c r="X48" s="73"/>
      <c r="Y48" s="73"/>
      <c r="Z48" s="73"/>
      <c r="AA48" s="73"/>
      <c r="AB48" s="73"/>
      <c r="AC48" s="73"/>
      <c r="AD48" s="73"/>
      <c r="AE48" s="73"/>
      <c r="AF48" s="73"/>
    </row>
    <row r="49" spans="1:32" ht="30" customHeight="1" x14ac:dyDescent="0.2">
      <c r="A49" s="13">
        <v>1</v>
      </c>
      <c r="B49" s="11" t="s">
        <v>16</v>
      </c>
      <c r="C49" s="10">
        <v>8</v>
      </c>
      <c r="D49" s="14">
        <v>1.2</v>
      </c>
      <c r="E49" s="14">
        <v>1.2</v>
      </c>
      <c r="F49" s="6">
        <v>0.45</v>
      </c>
      <c r="G49" s="11">
        <f t="shared" ref="G49" si="11">C49*D49*E49*F49</f>
        <v>5.1840000000000002</v>
      </c>
      <c r="H49" s="11">
        <f t="shared" ref="H49" si="12">(D49+E49)*2*F49*C49</f>
        <v>17.28</v>
      </c>
      <c r="I49" s="11">
        <f t="shared" ref="I49" si="13">(D49+2*$D$27)*(E49+2*$D$27)*$D$28*C49</f>
        <v>1.5679999999999998</v>
      </c>
      <c r="J49" s="11">
        <f t="shared" ref="J49" si="14">(D49+2*$D$29)*(E49+2*$D$29)*$D$30*C49</f>
        <v>5.1839999999999993</v>
      </c>
      <c r="K49" s="6">
        <f t="shared" ref="K49" si="15">(E49+2*$D$29)*(D49+2*$D$29)*C49</f>
        <v>25.919999999999995</v>
      </c>
      <c r="L49" s="12">
        <f t="shared" ref="L49" si="16">+C49*2*((D49+2*D$27)+(E49+2*D$27))</f>
        <v>44.8</v>
      </c>
      <c r="M49" s="52">
        <f>H49/C49</f>
        <v>2.16</v>
      </c>
      <c r="N49" s="73"/>
      <c r="O49" s="73"/>
      <c r="P49" s="73"/>
      <c r="Q49" s="73"/>
      <c r="R49" s="73"/>
      <c r="S49" s="73"/>
      <c r="T49" s="73"/>
      <c r="U49" s="73"/>
      <c r="V49" s="73"/>
      <c r="W49" s="73"/>
      <c r="X49" s="73"/>
      <c r="Y49" s="73"/>
      <c r="Z49" s="73"/>
      <c r="AA49" s="73"/>
      <c r="AB49" s="73"/>
      <c r="AC49" s="73"/>
      <c r="AD49" s="73"/>
      <c r="AE49" s="73"/>
      <c r="AF49" s="73"/>
    </row>
  </sheetData>
  <pageMargins left="0.7" right="0.7" top="0.75" bottom="0.75" header="0.3" footer="0.3"/>
  <pageSetup scale="58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B29D78-4F0B-42F6-9654-2D708C2E3D0E}">
  <dimension ref="A1:BT332"/>
  <sheetViews>
    <sheetView topLeftCell="A239" zoomScaleNormal="100" workbookViewId="0">
      <selection activeCell="I150" sqref="I150"/>
    </sheetView>
  </sheetViews>
  <sheetFormatPr defaultColWidth="9.140625" defaultRowHeight="20.100000000000001" customHeight="1" x14ac:dyDescent="0.25"/>
  <cols>
    <col min="1" max="1" width="6.85546875" style="208" customWidth="1"/>
    <col min="2" max="2" width="6.28515625" style="189" customWidth="1"/>
    <col min="3" max="3" width="7.42578125" style="189" customWidth="1"/>
    <col min="4" max="4" width="4.42578125" style="188" customWidth="1"/>
    <col min="5" max="5" width="17" style="209" customWidth="1"/>
    <col min="6" max="6" width="10.5703125" style="11" customWidth="1"/>
    <col min="7" max="7" width="10.42578125" style="11" bestFit="1" customWidth="1"/>
    <col min="8" max="8" width="11.28515625" style="11" bestFit="1" customWidth="1"/>
    <col min="9" max="9" width="9.28515625" style="11" bestFit="1" customWidth="1"/>
    <col min="10" max="12" width="10.85546875" style="11" customWidth="1"/>
    <col min="13" max="13" width="9.140625" style="210"/>
    <col min="14" max="14" width="9.140625" style="189" hidden="1" customWidth="1"/>
    <col min="15" max="15" width="9.5703125" style="189" hidden="1" customWidth="1"/>
    <col min="16" max="16" width="9.140625" style="210" customWidth="1"/>
    <col min="17" max="18" width="9.140625" style="189" hidden="1" customWidth="1"/>
    <col min="19" max="20" width="9.140625" style="189" customWidth="1"/>
    <col min="21" max="21" width="9.140625" style="189" hidden="1" customWidth="1"/>
    <col min="22" max="22" width="7.7109375" style="188" customWidth="1"/>
    <col min="23" max="23" width="10.7109375" style="188" customWidth="1"/>
    <col min="24" max="24" width="7.7109375" style="188" customWidth="1"/>
    <col min="25" max="26" width="9.42578125" style="188" customWidth="1"/>
    <col min="27" max="27" width="7.7109375" style="188" customWidth="1"/>
    <col min="28" max="28" width="9.5703125" style="189" bestFit="1" customWidth="1"/>
    <col min="29" max="31" width="9.140625" style="189"/>
    <col min="32" max="32" width="9.140625" style="192"/>
    <col min="33" max="33" width="9.5703125" style="1" bestFit="1" customWidth="1"/>
    <col min="34" max="34" width="9.140625" style="1"/>
    <col min="35" max="35" width="9.140625" style="52"/>
    <col min="36" max="37" width="9.140625" style="1"/>
    <col min="38" max="38" width="9.5703125" style="1" customWidth="1"/>
    <col min="39" max="39" width="11.7109375" style="1" customWidth="1"/>
    <col min="40" max="40" width="8.42578125" style="1" customWidth="1"/>
    <col min="41" max="41" width="10.5703125" style="1" customWidth="1"/>
    <col min="42" max="42" width="9.5703125" style="1" customWidth="1"/>
    <col min="43" max="43" width="8.42578125" style="1" customWidth="1"/>
    <col min="44" max="44" width="12.85546875" style="1" customWidth="1"/>
    <col min="45" max="46" width="8.42578125" style="1" customWidth="1"/>
    <col min="47" max="47" width="12.42578125" style="1" customWidth="1"/>
    <col min="48" max="72" width="8.42578125" style="1" customWidth="1"/>
    <col min="73" max="16384" width="9.140625" style="1"/>
  </cols>
  <sheetData>
    <row r="1" spans="1:72" s="84" customFormat="1" ht="20.100000000000001" customHeight="1" x14ac:dyDescent="0.25">
      <c r="A1" s="83"/>
      <c r="C1" s="85" t="s">
        <v>67</v>
      </c>
      <c r="D1" s="83" t="s">
        <v>68</v>
      </c>
      <c r="E1" s="83" t="s">
        <v>69</v>
      </c>
      <c r="F1" s="86" t="s">
        <v>2</v>
      </c>
      <c r="G1" s="86" t="s">
        <v>3</v>
      </c>
      <c r="H1" s="86" t="s">
        <v>4</v>
      </c>
      <c r="I1" s="86" t="s">
        <v>5</v>
      </c>
      <c r="J1" s="86" t="s">
        <v>70</v>
      </c>
      <c r="K1" s="87" t="s">
        <v>71</v>
      </c>
      <c r="L1" s="88" t="s">
        <v>72</v>
      </c>
      <c r="M1" s="89" t="s">
        <v>73</v>
      </c>
      <c r="N1" s="87" t="s">
        <v>74</v>
      </c>
      <c r="O1" s="90" t="s">
        <v>75</v>
      </c>
      <c r="P1" s="89" t="s">
        <v>73</v>
      </c>
      <c r="Q1" s="87" t="s">
        <v>74</v>
      </c>
      <c r="R1" s="91" t="s">
        <v>75</v>
      </c>
      <c r="S1" s="91" t="s">
        <v>76</v>
      </c>
      <c r="T1" s="91" t="s">
        <v>77</v>
      </c>
      <c r="U1" s="91" t="s">
        <v>78</v>
      </c>
      <c r="V1" s="91" t="s">
        <v>79</v>
      </c>
      <c r="W1" s="91" t="s">
        <v>79</v>
      </c>
      <c r="X1" s="91" t="s">
        <v>79</v>
      </c>
      <c r="Y1" s="91" t="s">
        <v>79</v>
      </c>
      <c r="Z1" s="91" t="s">
        <v>80</v>
      </c>
      <c r="AA1" s="91" t="s">
        <v>80</v>
      </c>
      <c r="AB1" s="91" t="s">
        <v>81</v>
      </c>
      <c r="AC1" s="91"/>
      <c r="AD1" s="91"/>
      <c r="AE1" s="91" t="s">
        <v>82</v>
      </c>
      <c r="AF1" s="92" t="s">
        <v>82</v>
      </c>
      <c r="AI1" s="93"/>
      <c r="AL1" s="84">
        <v>1</v>
      </c>
      <c r="AM1" s="84">
        <v>2</v>
      </c>
      <c r="AN1" s="84">
        <v>3</v>
      </c>
      <c r="AO1" s="84">
        <v>4</v>
      </c>
      <c r="AP1" s="84">
        <v>5</v>
      </c>
      <c r="AQ1" s="84">
        <v>6</v>
      </c>
      <c r="AR1" s="84">
        <v>7</v>
      </c>
      <c r="AS1" s="84">
        <v>8</v>
      </c>
      <c r="AT1" s="84">
        <v>9</v>
      </c>
      <c r="AU1" s="84">
        <v>10</v>
      </c>
      <c r="AV1" s="84">
        <v>11</v>
      </c>
      <c r="AX1" s="84">
        <v>1</v>
      </c>
      <c r="AY1" s="84">
        <v>2</v>
      </c>
      <c r="AZ1" s="84">
        <v>3</v>
      </c>
      <c r="BA1" s="84">
        <v>4</v>
      </c>
      <c r="BB1" s="84">
        <v>5</v>
      </c>
      <c r="BC1" s="84">
        <v>6</v>
      </c>
      <c r="BD1" s="84">
        <v>7</v>
      </c>
      <c r="BE1" s="84">
        <v>8</v>
      </c>
      <c r="BF1" s="84">
        <v>9</v>
      </c>
      <c r="BG1" s="84">
        <v>10</v>
      </c>
      <c r="BH1" s="84">
        <v>11</v>
      </c>
      <c r="BJ1" s="84">
        <v>1</v>
      </c>
      <c r="BK1" s="84">
        <v>2</v>
      </c>
      <c r="BL1" s="84">
        <v>3</v>
      </c>
      <c r="BM1" s="84">
        <v>4</v>
      </c>
      <c r="BN1" s="84">
        <v>5</v>
      </c>
      <c r="BO1" s="84">
        <v>6</v>
      </c>
      <c r="BP1" s="84">
        <v>7</v>
      </c>
      <c r="BQ1" s="84">
        <v>8</v>
      </c>
      <c r="BR1" s="84">
        <v>9</v>
      </c>
      <c r="BS1" s="84">
        <v>10</v>
      </c>
      <c r="BT1" s="84">
        <v>11</v>
      </c>
    </row>
    <row r="2" spans="1:72" ht="20.100000000000001" customHeight="1" x14ac:dyDescent="0.25">
      <c r="A2" s="94"/>
      <c r="B2" s="1"/>
      <c r="C2" s="1"/>
      <c r="D2" s="95"/>
      <c r="E2" s="323" t="str">
        <f>Footing!B1</f>
        <v>MR. MANOHAR'S RESIDENCE</v>
      </c>
      <c r="F2" s="52"/>
      <c r="G2" s="52"/>
      <c r="H2" s="52"/>
      <c r="I2" s="52"/>
      <c r="J2" s="52"/>
      <c r="K2" s="52"/>
      <c r="L2" s="52"/>
      <c r="M2" s="97"/>
      <c r="N2" s="1"/>
      <c r="O2" s="1"/>
      <c r="P2" s="97"/>
      <c r="Q2" s="1"/>
      <c r="R2" s="1"/>
      <c r="S2" s="1"/>
      <c r="T2" s="1"/>
      <c r="U2" s="1"/>
      <c r="V2" s="95"/>
      <c r="W2" s="95"/>
      <c r="X2" s="95"/>
      <c r="Y2" s="95"/>
      <c r="Z2" s="95"/>
      <c r="AA2" s="95"/>
      <c r="AB2" s="1"/>
      <c r="AC2" s="1"/>
      <c r="AD2" s="1"/>
      <c r="AE2" s="1"/>
      <c r="AF2" s="1"/>
    </row>
    <row r="3" spans="1:72" ht="20.100000000000001" customHeight="1" x14ac:dyDescent="0.25">
      <c r="A3" s="94"/>
      <c r="B3" s="1"/>
      <c r="C3" s="1"/>
      <c r="D3" s="95"/>
      <c r="E3" s="1"/>
      <c r="F3" s="52"/>
      <c r="G3" s="52"/>
      <c r="H3" s="52"/>
      <c r="I3" s="52"/>
      <c r="J3" s="52"/>
      <c r="K3" s="52"/>
      <c r="L3" s="52"/>
      <c r="M3" s="97"/>
      <c r="N3" s="1"/>
      <c r="O3" s="1"/>
      <c r="P3" s="97"/>
      <c r="Q3" s="1"/>
      <c r="R3" s="1"/>
      <c r="S3" s="1"/>
      <c r="T3" s="1"/>
      <c r="U3" s="1"/>
      <c r="V3" s="95"/>
      <c r="W3" s="95"/>
      <c r="X3" s="95"/>
      <c r="Y3" s="95"/>
      <c r="Z3" s="95"/>
      <c r="AA3" s="95"/>
      <c r="AB3" s="1"/>
      <c r="AC3" s="1"/>
      <c r="AD3" s="1"/>
      <c r="AE3" s="1"/>
      <c r="AF3" s="1"/>
    </row>
    <row r="4" spans="1:72" ht="20.100000000000001" customHeight="1" x14ac:dyDescent="0.25">
      <c r="A4" s="98"/>
      <c r="B4" s="1"/>
      <c r="C4" s="1"/>
      <c r="D4" s="337" t="s">
        <v>83</v>
      </c>
      <c r="E4" s="338" t="s">
        <v>1</v>
      </c>
      <c r="F4" s="339" t="s">
        <v>29</v>
      </c>
      <c r="G4" s="340" t="str">
        <f>E2</f>
        <v>MR. MANOHAR'S RESIDENCE</v>
      </c>
      <c r="H4" s="340"/>
      <c r="I4" s="340"/>
      <c r="J4" s="340"/>
      <c r="K4" s="340"/>
      <c r="L4" s="340"/>
      <c r="M4" s="99"/>
      <c r="N4" s="99"/>
      <c r="O4" s="99"/>
      <c r="P4" s="100"/>
      <c r="Q4" s="341"/>
      <c r="R4" s="342"/>
      <c r="S4" s="342"/>
      <c r="T4" s="342"/>
      <c r="U4" s="343"/>
      <c r="V4" s="341"/>
      <c r="W4" s="342"/>
      <c r="X4" s="342"/>
      <c r="Y4" s="342"/>
      <c r="Z4" s="343"/>
      <c r="AA4" s="341"/>
      <c r="AB4" s="342"/>
      <c r="AC4" s="342"/>
      <c r="AD4" s="342"/>
      <c r="AE4" s="343"/>
      <c r="AF4" s="341"/>
      <c r="AG4" s="342"/>
      <c r="AH4" s="342"/>
      <c r="AI4" s="342"/>
      <c r="AJ4" s="343"/>
    </row>
    <row r="5" spans="1:72" ht="20.100000000000001" customHeight="1" x14ac:dyDescent="0.25">
      <c r="A5" s="98"/>
      <c r="B5" s="1"/>
      <c r="C5" s="1"/>
      <c r="D5" s="337"/>
      <c r="E5" s="338"/>
      <c r="F5" s="339"/>
      <c r="G5" s="101" t="s">
        <v>84</v>
      </c>
      <c r="H5" s="102" t="s">
        <v>85</v>
      </c>
      <c r="I5" s="102" t="s">
        <v>86</v>
      </c>
      <c r="J5" s="102" t="s">
        <v>378</v>
      </c>
      <c r="K5" s="102"/>
      <c r="L5" s="102"/>
      <c r="M5" s="103"/>
      <c r="N5" s="104"/>
      <c r="O5" s="104"/>
      <c r="P5" s="105"/>
      <c r="Q5" s="106"/>
      <c r="R5" s="104"/>
      <c r="S5" s="104"/>
      <c r="T5" s="104"/>
      <c r="U5" s="107"/>
      <c r="V5" s="106"/>
      <c r="W5" s="104"/>
      <c r="X5" s="104"/>
      <c r="Y5" s="104"/>
      <c r="Z5" s="107"/>
      <c r="AA5" s="104"/>
      <c r="AB5" s="104"/>
      <c r="AC5" s="104"/>
      <c r="AD5" s="104"/>
      <c r="AE5" s="107"/>
      <c r="AF5" s="104"/>
      <c r="AG5" s="104"/>
      <c r="AH5" s="104"/>
      <c r="AI5" s="108"/>
      <c r="AJ5" s="107"/>
    </row>
    <row r="6" spans="1:72" ht="20.100000000000001" customHeight="1" x14ac:dyDescent="0.25">
      <c r="A6" s="98"/>
      <c r="B6" s="1"/>
      <c r="C6" s="1"/>
      <c r="D6" s="337"/>
      <c r="E6" s="338"/>
      <c r="F6" s="339"/>
      <c r="G6" s="101">
        <v>1</v>
      </c>
      <c r="H6" s="109">
        <v>1</v>
      </c>
      <c r="I6" s="109">
        <v>1</v>
      </c>
      <c r="J6" s="109">
        <v>1</v>
      </c>
      <c r="K6" s="109"/>
      <c r="L6" s="109"/>
      <c r="M6" s="110"/>
      <c r="N6" s="111"/>
      <c r="O6" s="112"/>
      <c r="P6" s="113"/>
      <c r="Q6" s="112"/>
      <c r="R6" s="111"/>
      <c r="S6" s="111"/>
      <c r="T6" s="111"/>
      <c r="U6" s="114"/>
      <c r="V6" s="112"/>
      <c r="W6" s="111"/>
      <c r="X6" s="111"/>
      <c r="Y6" s="111"/>
      <c r="Z6" s="114"/>
      <c r="AA6" s="111"/>
      <c r="AB6" s="111"/>
      <c r="AC6" s="111"/>
      <c r="AD6" s="111"/>
      <c r="AE6" s="114"/>
      <c r="AF6" s="111"/>
      <c r="AG6" s="111"/>
      <c r="AH6" s="111"/>
      <c r="AI6" s="115"/>
      <c r="AJ6" s="114"/>
    </row>
    <row r="7" spans="1:72" ht="20.100000000000001" customHeight="1" x14ac:dyDescent="0.25">
      <c r="A7" s="116"/>
      <c r="B7" s="1"/>
      <c r="C7" s="1"/>
      <c r="D7" s="117" t="s">
        <v>88</v>
      </c>
      <c r="E7" s="118" t="s">
        <v>70</v>
      </c>
      <c r="F7" s="119"/>
      <c r="G7" s="120"/>
      <c r="H7" s="121"/>
      <c r="I7" s="121"/>
      <c r="J7" s="121"/>
      <c r="K7" s="121"/>
      <c r="L7" s="122"/>
      <c r="M7" s="123"/>
      <c r="N7" s="124"/>
      <c r="O7" s="125"/>
      <c r="P7" s="126"/>
      <c r="Q7" s="125"/>
      <c r="R7" s="124"/>
      <c r="S7" s="124"/>
      <c r="T7" s="124"/>
      <c r="U7" s="127"/>
      <c r="V7" s="125"/>
      <c r="W7" s="124"/>
      <c r="X7" s="124"/>
      <c r="Y7" s="124"/>
      <c r="Z7" s="127"/>
      <c r="AA7" s="124"/>
      <c r="AB7" s="124"/>
      <c r="AC7" s="124"/>
      <c r="AD7" s="124"/>
      <c r="AE7" s="127"/>
      <c r="AF7" s="124"/>
      <c r="AG7" s="124"/>
      <c r="AH7" s="124"/>
      <c r="AI7" s="128"/>
      <c r="AJ7" s="127"/>
    </row>
    <row r="8" spans="1:72" ht="20.100000000000001" customHeight="1" x14ac:dyDescent="0.25">
      <c r="A8" s="94"/>
      <c r="B8" s="1"/>
      <c r="C8" s="1"/>
      <c r="D8" s="129"/>
      <c r="E8" s="130" t="s">
        <v>593</v>
      </c>
      <c r="F8" s="14" t="s">
        <v>33</v>
      </c>
      <c r="G8" s="131">
        <f>+J111</f>
        <v>25.117825000000007</v>
      </c>
      <c r="H8" s="131">
        <f>J210</f>
        <v>29.049915000000009</v>
      </c>
      <c r="I8" s="131">
        <f>J306</f>
        <v>22.048515000000002</v>
      </c>
      <c r="J8" s="11">
        <f>J332</f>
        <v>4.54068</v>
      </c>
      <c r="L8" s="132"/>
      <c r="M8" s="133"/>
      <c r="N8" s="134"/>
      <c r="O8" s="135"/>
      <c r="P8" s="136"/>
      <c r="Q8" s="135"/>
      <c r="R8" s="134"/>
      <c r="S8" s="134"/>
      <c r="T8" s="134"/>
      <c r="U8" s="137"/>
      <c r="V8" s="135"/>
      <c r="W8" s="134"/>
      <c r="X8" s="134"/>
      <c r="Y8" s="134"/>
      <c r="Z8" s="137"/>
      <c r="AA8" s="134"/>
      <c r="AB8" s="134"/>
      <c r="AC8" s="134"/>
      <c r="AD8" s="134"/>
      <c r="AE8" s="138"/>
      <c r="AF8" s="134"/>
      <c r="AG8" s="134"/>
      <c r="AH8" s="134"/>
      <c r="AI8" s="139"/>
      <c r="AJ8" s="137"/>
    </row>
    <row r="9" spans="1:72" ht="20.100000000000001" customHeight="1" x14ac:dyDescent="0.25">
      <c r="A9" s="94"/>
      <c r="B9" s="1"/>
      <c r="C9" s="1"/>
      <c r="D9" s="129"/>
      <c r="E9" s="130"/>
      <c r="F9" s="14"/>
      <c r="I9" s="131"/>
      <c r="J9" s="131"/>
      <c r="K9" s="131"/>
      <c r="L9" s="132"/>
      <c r="M9" s="133"/>
      <c r="N9" s="134"/>
      <c r="O9" s="135"/>
      <c r="P9" s="136"/>
      <c r="Q9" s="135"/>
      <c r="R9" s="134"/>
      <c r="S9" s="134"/>
      <c r="T9" s="134"/>
      <c r="U9" s="137"/>
      <c r="V9" s="135"/>
      <c r="W9" s="134"/>
      <c r="X9" s="134"/>
      <c r="Y9" s="134"/>
      <c r="Z9" s="137"/>
      <c r="AA9" s="134"/>
      <c r="AB9" s="134"/>
      <c r="AC9" s="134"/>
      <c r="AD9" s="134"/>
      <c r="AE9" s="140"/>
      <c r="AF9" s="134"/>
      <c r="AG9" s="134"/>
      <c r="AH9" s="134"/>
      <c r="AI9" s="139"/>
      <c r="AJ9" s="137"/>
    </row>
    <row r="10" spans="1:72" ht="20.100000000000001" customHeight="1" x14ac:dyDescent="0.25">
      <c r="A10" s="116"/>
      <c r="B10" s="1"/>
      <c r="C10" s="1"/>
      <c r="D10" s="141" t="s">
        <v>88</v>
      </c>
      <c r="E10" s="142" t="s">
        <v>90</v>
      </c>
      <c r="F10" s="7"/>
      <c r="I10" s="143"/>
      <c r="J10" s="143"/>
      <c r="K10" s="143"/>
      <c r="L10" s="144"/>
      <c r="M10" s="123"/>
      <c r="N10" s="124"/>
      <c r="O10" s="125"/>
      <c r="P10" s="126"/>
      <c r="Q10" s="125"/>
      <c r="R10" s="124"/>
      <c r="S10" s="124"/>
      <c r="T10" s="124"/>
      <c r="U10" s="127"/>
      <c r="V10" s="125"/>
      <c r="W10" s="124"/>
      <c r="X10" s="124"/>
      <c r="Y10" s="124"/>
      <c r="Z10" s="127"/>
      <c r="AA10" s="124"/>
      <c r="AB10" s="124"/>
      <c r="AC10" s="124"/>
      <c r="AD10" s="134"/>
      <c r="AE10" s="127"/>
      <c r="AF10" s="124"/>
      <c r="AG10" s="124"/>
      <c r="AH10" s="124"/>
      <c r="AI10" s="128"/>
      <c r="AJ10" s="127"/>
    </row>
    <row r="11" spans="1:72" ht="20.100000000000001" customHeight="1" x14ac:dyDescent="0.25">
      <c r="A11" s="94"/>
      <c r="B11" s="1"/>
      <c r="C11" s="1"/>
      <c r="D11" s="129"/>
      <c r="E11" s="130" t="s">
        <v>593</v>
      </c>
      <c r="F11" s="14" t="s">
        <v>91</v>
      </c>
      <c r="G11" s="145">
        <f>+L111</f>
        <v>204.61512499999992</v>
      </c>
      <c r="H11" s="131">
        <f>K210+L210</f>
        <v>303.00689999999986</v>
      </c>
      <c r="I11" s="131">
        <f>K306+L306</f>
        <v>226.64964999999992</v>
      </c>
      <c r="J11" s="11">
        <f>K332+L332</f>
        <v>49.952950000000008</v>
      </c>
      <c r="L11" s="146"/>
      <c r="M11" s="147"/>
      <c r="N11" s="148"/>
      <c r="O11" s="149"/>
      <c r="P11" s="150"/>
      <c r="Q11" s="148"/>
      <c r="R11" s="148"/>
      <c r="S11" s="148"/>
      <c r="T11" s="148"/>
      <c r="U11" s="138"/>
      <c r="V11" s="148"/>
      <c r="W11" s="148"/>
      <c r="X11" s="148"/>
      <c r="Y11" s="148"/>
      <c r="Z11" s="138"/>
      <c r="AA11" s="151"/>
      <c r="AB11" s="151"/>
      <c r="AC11" s="151"/>
      <c r="AD11" s="151"/>
      <c r="AE11" s="138"/>
      <c r="AF11" s="151"/>
      <c r="AG11" s="151"/>
      <c r="AH11" s="151"/>
      <c r="AI11" s="152"/>
      <c r="AJ11" s="138"/>
    </row>
    <row r="12" spans="1:72" ht="20.100000000000001" customHeight="1" x14ac:dyDescent="0.25">
      <c r="A12" s="94"/>
      <c r="B12" s="1"/>
      <c r="C12" s="1"/>
      <c r="D12" s="153"/>
      <c r="E12" s="154"/>
      <c r="F12" s="155"/>
      <c r="G12" s="156"/>
      <c r="H12" s="157"/>
      <c r="I12" s="157"/>
      <c r="J12" s="157"/>
      <c r="K12" s="157"/>
      <c r="L12" s="158"/>
      <c r="M12" s="159"/>
      <c r="N12" s="160"/>
      <c r="O12" s="160"/>
      <c r="P12" s="161"/>
      <c r="Q12" s="160"/>
      <c r="R12" s="160"/>
      <c r="S12" s="160"/>
      <c r="T12" s="160"/>
      <c r="U12" s="162"/>
      <c r="V12" s="160"/>
      <c r="W12" s="160"/>
      <c r="X12" s="160"/>
      <c r="Y12" s="160"/>
      <c r="Z12" s="162"/>
      <c r="AA12" s="163"/>
      <c r="AB12" s="163"/>
      <c r="AC12" s="163"/>
      <c r="AD12" s="163"/>
      <c r="AE12" s="162"/>
      <c r="AF12" s="163"/>
      <c r="AG12" s="163"/>
      <c r="AH12" s="163"/>
      <c r="AI12" s="164"/>
      <c r="AJ12" s="162"/>
    </row>
    <row r="13" spans="1:72" ht="20.100000000000001" customHeight="1" x14ac:dyDescent="0.25">
      <c r="A13" s="94"/>
      <c r="B13" s="1"/>
      <c r="C13" s="1"/>
      <c r="D13" s="95"/>
      <c r="E13" s="1"/>
      <c r="F13" s="52"/>
      <c r="G13" s="52"/>
      <c r="H13" s="52"/>
      <c r="I13" s="52"/>
      <c r="J13" s="52"/>
      <c r="K13" s="52"/>
      <c r="L13" s="52"/>
      <c r="M13" s="97"/>
      <c r="N13" s="1"/>
      <c r="O13" s="1"/>
      <c r="P13" s="97"/>
      <c r="Q13" s="1"/>
      <c r="R13" s="1"/>
      <c r="S13" s="1"/>
      <c r="T13" s="1"/>
      <c r="U13" s="1"/>
      <c r="V13" s="95"/>
      <c r="W13" s="95"/>
      <c r="X13" s="95"/>
      <c r="Y13" s="95"/>
      <c r="Z13" s="95"/>
      <c r="AA13" s="95"/>
      <c r="AB13" s="1"/>
      <c r="AC13" s="1"/>
      <c r="AD13" s="1"/>
      <c r="AE13" s="1"/>
      <c r="AF13" s="1"/>
    </row>
    <row r="14" spans="1:72" ht="20.100000000000001" customHeight="1" x14ac:dyDescent="0.25">
      <c r="A14" s="94"/>
      <c r="B14" s="1"/>
      <c r="C14" s="1"/>
      <c r="D14" s="95"/>
      <c r="E14" s="1" t="s">
        <v>566</v>
      </c>
      <c r="F14" s="52"/>
      <c r="G14" s="52">
        <f>(G111*H111)*0.1</f>
        <v>5.1580221153846075</v>
      </c>
      <c r="H14" s="52" t="s">
        <v>567</v>
      </c>
      <c r="I14" s="52"/>
      <c r="J14" s="52"/>
      <c r="K14" s="52"/>
      <c r="L14" s="52"/>
      <c r="M14" s="97"/>
      <c r="N14" s="1"/>
      <c r="O14" s="1"/>
      <c r="P14" s="97"/>
      <c r="Q14" s="1"/>
      <c r="R14" s="1"/>
      <c r="S14" s="1"/>
      <c r="T14" s="1"/>
      <c r="U14" s="1"/>
      <c r="V14" s="95"/>
      <c r="W14" s="95"/>
      <c r="X14" s="95"/>
      <c r="Y14" s="95"/>
      <c r="Z14" s="95"/>
      <c r="AA14" s="95"/>
      <c r="AB14" s="1"/>
      <c r="AC14" s="1"/>
      <c r="AD14" s="1"/>
      <c r="AE14" s="1"/>
      <c r="AF14" s="1"/>
    </row>
    <row r="15" spans="1:72" ht="20.100000000000001" customHeight="1" x14ac:dyDescent="0.25">
      <c r="A15" s="94"/>
      <c r="B15" s="1"/>
      <c r="C15" s="1"/>
      <c r="D15" s="95"/>
      <c r="E15" s="1"/>
      <c r="F15" s="52"/>
      <c r="G15" s="52"/>
      <c r="H15" s="52"/>
      <c r="I15" s="52"/>
      <c r="J15" s="52"/>
      <c r="K15" s="52"/>
      <c r="L15" s="52"/>
      <c r="M15" s="97"/>
      <c r="N15" s="1"/>
      <c r="O15" s="1"/>
      <c r="P15" s="97"/>
      <c r="Q15" s="1"/>
      <c r="R15" s="1"/>
      <c r="S15" s="1"/>
      <c r="T15" s="1"/>
      <c r="U15" s="1"/>
      <c r="V15" s="95"/>
      <c r="W15" s="95"/>
      <c r="X15" s="95"/>
      <c r="Y15" s="95"/>
      <c r="Z15" s="95"/>
      <c r="AA15" s="95"/>
      <c r="AB15" s="1"/>
      <c r="AC15" s="1"/>
      <c r="AD15" s="1"/>
      <c r="AE15" s="1"/>
      <c r="AF15" s="1"/>
    </row>
    <row r="16" spans="1:72" ht="20.100000000000001" customHeight="1" x14ac:dyDescent="0.25">
      <c r="A16" s="165"/>
      <c r="B16" s="1"/>
      <c r="C16" s="1"/>
      <c r="D16" s="95"/>
      <c r="E16" s="166"/>
      <c r="F16" s="52"/>
      <c r="G16" s="52"/>
      <c r="H16" s="167"/>
      <c r="I16" s="52"/>
      <c r="J16" s="52"/>
      <c r="K16" s="52"/>
      <c r="L16" s="52"/>
      <c r="M16" s="97"/>
      <c r="N16" s="1"/>
      <c r="O16" s="1"/>
      <c r="P16" s="97"/>
      <c r="Q16" s="1"/>
      <c r="R16" s="1"/>
      <c r="S16" s="1"/>
      <c r="T16" s="1"/>
      <c r="U16" s="1"/>
      <c r="V16" s="95"/>
      <c r="W16" s="95"/>
      <c r="X16" s="95"/>
      <c r="Y16" s="95"/>
      <c r="Z16" s="95"/>
      <c r="AA16" s="95"/>
      <c r="AB16" s="1"/>
      <c r="AC16" s="1"/>
      <c r="AD16" s="1"/>
      <c r="AE16" s="1"/>
      <c r="AF16" s="1"/>
      <c r="AG16" s="345" t="s">
        <v>497</v>
      </c>
      <c r="AH16" s="345"/>
      <c r="AI16" s="345"/>
      <c r="AJ16" s="345"/>
      <c r="AK16" s="345"/>
      <c r="AL16" s="345"/>
      <c r="AM16" s="345" t="s">
        <v>498</v>
      </c>
      <c r="AN16" s="345"/>
      <c r="AO16" s="345"/>
      <c r="AP16" s="345"/>
    </row>
    <row r="17" spans="1:42" ht="20.100000000000001" customHeight="1" x14ac:dyDescent="0.25">
      <c r="A17" s="168"/>
      <c r="B17" s="168"/>
      <c r="C17" s="169"/>
      <c r="D17" s="170"/>
      <c r="E17" s="171"/>
      <c r="F17" s="172"/>
      <c r="G17" s="171"/>
      <c r="H17" s="171"/>
      <c r="I17" s="171"/>
      <c r="J17" s="173"/>
      <c r="K17" s="172"/>
      <c r="L17" s="174" t="s">
        <v>92</v>
      </c>
      <c r="M17" s="175" t="s">
        <v>93</v>
      </c>
      <c r="N17" s="176" t="s">
        <v>93</v>
      </c>
      <c r="O17" s="177" t="s">
        <v>93</v>
      </c>
      <c r="P17" s="178" t="s">
        <v>94</v>
      </c>
      <c r="Q17" s="179" t="s">
        <v>94</v>
      </c>
      <c r="R17" s="179" t="s">
        <v>94</v>
      </c>
      <c r="S17" s="179"/>
      <c r="T17" s="179"/>
      <c r="U17" s="179"/>
      <c r="V17" s="346" t="s">
        <v>95</v>
      </c>
      <c r="W17" s="346"/>
      <c r="X17" s="346"/>
      <c r="Y17" s="346"/>
      <c r="Z17" s="346"/>
      <c r="AA17" s="346"/>
      <c r="AB17" s="179"/>
      <c r="AC17" s="179"/>
      <c r="AD17" s="171"/>
      <c r="AE17" s="172" t="s">
        <v>93</v>
      </c>
      <c r="AF17" s="180" t="s">
        <v>94</v>
      </c>
      <c r="AG17" s="347" t="s">
        <v>494</v>
      </c>
      <c r="AH17" s="345"/>
      <c r="AI17" s="344" t="s">
        <v>495</v>
      </c>
      <c r="AJ17" s="344"/>
      <c r="AK17" s="344" t="s">
        <v>496</v>
      </c>
      <c r="AL17" s="344"/>
      <c r="AM17" s="344" t="s">
        <v>495</v>
      </c>
      <c r="AN17" s="344"/>
      <c r="AO17" s="344" t="s">
        <v>495</v>
      </c>
      <c r="AP17" s="344"/>
    </row>
    <row r="18" spans="1:42" s="84" customFormat="1" ht="20.100000000000001" customHeight="1" x14ac:dyDescent="0.25">
      <c r="A18" s="83" t="s">
        <v>96</v>
      </c>
      <c r="B18" s="83"/>
      <c r="C18" s="85"/>
      <c r="D18" s="83" t="s">
        <v>68</v>
      </c>
      <c r="E18" s="83" t="s">
        <v>69</v>
      </c>
      <c r="F18" s="86" t="s">
        <v>2</v>
      </c>
      <c r="G18" s="86" t="s">
        <v>3</v>
      </c>
      <c r="H18" s="86" t="s">
        <v>4</v>
      </c>
      <c r="I18" s="86" t="s">
        <v>5</v>
      </c>
      <c r="J18" s="86" t="s">
        <v>70</v>
      </c>
      <c r="K18" s="87" t="s">
        <v>71</v>
      </c>
      <c r="L18" s="88" t="s">
        <v>72</v>
      </c>
      <c r="M18" s="89" t="s">
        <v>73</v>
      </c>
      <c r="N18" s="87" t="s">
        <v>74</v>
      </c>
      <c r="O18" s="90" t="s">
        <v>75</v>
      </c>
      <c r="P18" s="89" t="s">
        <v>73</v>
      </c>
      <c r="Q18" s="87" t="s">
        <v>74</v>
      </c>
      <c r="R18" s="91" t="s">
        <v>75</v>
      </c>
      <c r="S18" s="91" t="s">
        <v>76</v>
      </c>
      <c r="T18" s="91" t="s">
        <v>77</v>
      </c>
      <c r="U18" s="91" t="s">
        <v>78</v>
      </c>
      <c r="V18" s="91" t="s">
        <v>97</v>
      </c>
      <c r="W18" s="91" t="s">
        <v>97</v>
      </c>
      <c r="X18" s="91" t="s">
        <v>97</v>
      </c>
      <c r="Y18" s="91" t="s">
        <v>97</v>
      </c>
      <c r="Z18" s="91" t="s">
        <v>97</v>
      </c>
      <c r="AA18" s="91" t="s">
        <v>97</v>
      </c>
      <c r="AB18" s="91" t="s">
        <v>81</v>
      </c>
      <c r="AC18" s="91"/>
      <c r="AD18" s="91"/>
      <c r="AE18" s="91" t="s">
        <v>82</v>
      </c>
      <c r="AF18" s="92" t="s">
        <v>82</v>
      </c>
      <c r="AI18" s="93"/>
    </row>
    <row r="19" spans="1:42" s="94" customFormat="1" ht="20.100000000000001" customHeight="1" x14ac:dyDescent="0.25">
      <c r="A19" s="181"/>
      <c r="B19" s="182" t="s">
        <v>101</v>
      </c>
      <c r="C19" s="183"/>
      <c r="D19" s="182"/>
      <c r="E19" s="182"/>
      <c r="F19" s="184"/>
      <c r="G19" s="184"/>
      <c r="H19" s="184"/>
      <c r="I19" s="184"/>
      <c r="J19" s="184"/>
      <c r="K19" s="184"/>
      <c r="L19" s="184"/>
      <c r="M19" s="185"/>
      <c r="N19" s="182"/>
      <c r="O19" s="182"/>
      <c r="P19" s="185"/>
      <c r="Q19" s="182"/>
      <c r="R19" s="182"/>
      <c r="S19" s="182"/>
      <c r="T19" s="182"/>
      <c r="U19" s="182"/>
      <c r="V19" s="182"/>
      <c r="W19" s="182"/>
      <c r="X19" s="182"/>
      <c r="Y19" s="182"/>
      <c r="Z19" s="182"/>
      <c r="AA19" s="182"/>
      <c r="AB19" s="182"/>
      <c r="AC19" s="182"/>
      <c r="AD19" s="182"/>
      <c r="AE19" s="184"/>
      <c r="AF19" s="186"/>
      <c r="AG19" s="187" t="s">
        <v>98</v>
      </c>
      <c r="AH19" s="187" t="s">
        <v>99</v>
      </c>
      <c r="AI19" s="187" t="s">
        <v>98</v>
      </c>
      <c r="AJ19" s="187" t="s">
        <v>99</v>
      </c>
      <c r="AK19" s="187" t="s">
        <v>98</v>
      </c>
      <c r="AL19" s="187" t="s">
        <v>99</v>
      </c>
      <c r="AM19" s="187" t="s">
        <v>98</v>
      </c>
      <c r="AN19" s="187" t="s">
        <v>99</v>
      </c>
      <c r="AO19" s="187" t="s">
        <v>98</v>
      </c>
      <c r="AP19" s="187" t="s">
        <v>99</v>
      </c>
    </row>
    <row r="20" spans="1:42" ht="20.100000000000001" customHeight="1" x14ac:dyDescent="0.25">
      <c r="A20" s="129"/>
      <c r="B20" s="182" t="s">
        <v>101</v>
      </c>
      <c r="C20" s="183"/>
      <c r="E20" s="189" t="s">
        <v>614</v>
      </c>
      <c r="F20" s="14">
        <v>1</v>
      </c>
      <c r="G20" s="14">
        <v>6.758</v>
      </c>
      <c r="H20" s="14">
        <v>0.2</v>
      </c>
      <c r="I20" s="14">
        <v>0.45</v>
      </c>
      <c r="J20" s="11">
        <f>+PRODUCT(F20:I20)</f>
        <v>0.60822000000000009</v>
      </c>
      <c r="K20" s="11">
        <f>PRODUCT(F20,G20,H20)</f>
        <v>1.3516000000000001</v>
      </c>
      <c r="L20" s="11">
        <f>+O20+R20-AB20+U20</f>
        <v>5.9349500000000006</v>
      </c>
      <c r="M20" s="190">
        <v>0.125</v>
      </c>
      <c r="N20" s="14">
        <f>+I20-M20</f>
        <v>0.32500000000000001</v>
      </c>
      <c r="O20" s="14">
        <f>+PRODUCT(F20,G20,N20)</f>
        <v>2.1963500000000002</v>
      </c>
      <c r="P20" s="190"/>
      <c r="Q20" s="14">
        <f>+I20-P20</f>
        <v>0.45</v>
      </c>
      <c r="R20" s="14">
        <f>+PRODUCT(F20:G20,Q20)</f>
        <v>3.0411000000000001</v>
      </c>
      <c r="S20" s="14">
        <v>0.45</v>
      </c>
      <c r="T20" s="14">
        <v>0.45</v>
      </c>
      <c r="U20" s="191">
        <f t="shared" ref="U20:U92" si="0">+SUM(S20:T20)*(N20+Q20)/2*2</f>
        <v>0.69750000000000001</v>
      </c>
      <c r="V20" s="14"/>
      <c r="W20" s="14"/>
      <c r="X20" s="14"/>
      <c r="Y20" s="14"/>
      <c r="Z20" s="14"/>
      <c r="AA20" s="14"/>
      <c r="AB20" s="14">
        <f t="shared" ref="AB20:AB51" si="1">IFERROR(VLOOKUP(V20,$E$19:$I$625,4,FALSE)*VLOOKUP(V20,$E$19:$I$625,5,FALSE),)+IFERROR(VLOOKUP(W20,$E$19:$I$625,4,FALSE)*VLOOKUP(W20,$E$19:$I$625,5,FALSE),)+IFERROR(VLOOKUP(X20,$E$19:$I$625,4,FALSE)*VLOOKUP(X20,$E$19:$I$625,5,FALSE),)+IFERROR(VLOOKUP(Y20,$E$19:$I$625,4,FALSE)*VLOOKUP(Y20,$E$19:$I$625,5,FALSE),)+IFERROR(VLOOKUP(Z20,$E$19:$I$625,4,FALSE)*VLOOKUP(Z20,$E$19:$I$625,5,FALSE),)+IFERROR(VLOOKUP(AA20,$E$19:$I$625,4,FALSE)*VLOOKUP(AA20,$E$19:$I$625,5,FALSE),)</f>
        <v>0</v>
      </c>
      <c r="AC20" s="14"/>
      <c r="AE20" s="11"/>
      <c r="AG20" s="52">
        <f>+IF(I20&lt;0.75,(K20+L20),0)</f>
        <v>7.286550000000001</v>
      </c>
      <c r="AH20" s="52">
        <f>+IF(I20&lt;0.75,0,(K20+L20))</f>
        <v>0</v>
      </c>
      <c r="AI20" s="193">
        <f>IF(P20=0,(+IF(I20&lt;0.75,(K20+L20),0)),0)</f>
        <v>7.286550000000001</v>
      </c>
      <c r="AJ20" s="194">
        <f>IF(P20=0,(+IF(I20&lt;0.75,0,(K20+L20))),0)</f>
        <v>0</v>
      </c>
      <c r="AK20" s="195">
        <f>+AG20-AI20</f>
        <v>0</v>
      </c>
      <c r="AL20" s="196">
        <f>+AH20-AJ20</f>
        <v>0</v>
      </c>
      <c r="AM20" s="52">
        <f>+IF(AI20=0,0,G20)</f>
        <v>6.758</v>
      </c>
      <c r="AN20" s="52">
        <f>+IF(AJ20=0,0,G20)</f>
        <v>0</v>
      </c>
      <c r="AO20" s="52">
        <f>+IF(AK20=0,0,G20)</f>
        <v>0</v>
      </c>
      <c r="AP20" s="52">
        <f>+IF(AL20=0,0,G20)</f>
        <v>0</v>
      </c>
    </row>
    <row r="21" spans="1:42" ht="20.100000000000001" customHeight="1" x14ac:dyDescent="0.25">
      <c r="A21" s="129"/>
      <c r="B21" s="182" t="s">
        <v>101</v>
      </c>
      <c r="C21" s="183"/>
      <c r="E21" s="189" t="s">
        <v>102</v>
      </c>
      <c r="F21" s="14">
        <v>0</v>
      </c>
      <c r="G21" s="14"/>
      <c r="H21" s="14"/>
      <c r="I21" s="14"/>
      <c r="J21" s="11">
        <f t="shared" ref="J21:J105" si="2">+PRODUCT(F21:I21)</f>
        <v>0</v>
      </c>
      <c r="K21" s="11">
        <f t="shared" ref="K21:K105" si="3">PRODUCT(F21,G21,H21)</f>
        <v>0</v>
      </c>
      <c r="L21" s="11">
        <f t="shared" ref="L21:L101" si="4">+O21+R21-AB21+U21</f>
        <v>0</v>
      </c>
      <c r="M21" s="190">
        <v>0.125</v>
      </c>
      <c r="N21" s="14">
        <f t="shared" ref="N21:N82" si="5">+I21-M21</f>
        <v>-0.125</v>
      </c>
      <c r="O21" s="14">
        <f t="shared" ref="O21:O82" si="6">+PRODUCT(F21,G21,N21)</f>
        <v>0</v>
      </c>
      <c r="P21" s="190"/>
      <c r="Q21" s="14">
        <f t="shared" ref="Q21:Q82" si="7">+I21-P21</f>
        <v>0</v>
      </c>
      <c r="R21" s="14">
        <f t="shared" ref="R21:R82" si="8">+PRODUCT(F21:G21,Q21)</f>
        <v>0</v>
      </c>
      <c r="S21" s="14"/>
      <c r="T21" s="14"/>
      <c r="U21" s="191">
        <f t="shared" si="0"/>
        <v>0</v>
      </c>
      <c r="V21" s="14"/>
      <c r="W21" s="14"/>
      <c r="X21" s="14"/>
      <c r="Y21" s="14"/>
      <c r="Z21" s="14"/>
      <c r="AA21" s="14"/>
      <c r="AB21" s="14">
        <f t="shared" si="1"/>
        <v>0</v>
      </c>
      <c r="AC21" s="14"/>
      <c r="AE21" s="11"/>
      <c r="AG21" s="52">
        <f t="shared" ref="AG21:AG94" si="9">+IF(I21&lt;0.75,(K21+L21),0)</f>
        <v>0</v>
      </c>
      <c r="AH21" s="52">
        <f t="shared" ref="AH21:AH94" si="10">+IF(I21&lt;0.75,0,(K21+L21))</f>
        <v>0</v>
      </c>
      <c r="AI21" s="193">
        <f>IF(P21=0,(+IF(I21&lt;0.75,(K21+L21),0)),0)</f>
        <v>0</v>
      </c>
      <c r="AJ21" s="194">
        <f t="shared" ref="AJ21" si="11">IF(P21=0,(+IF(I21&lt;0.75,0,(K21+L21))),0)</f>
        <v>0</v>
      </c>
      <c r="AK21" s="195">
        <f t="shared" ref="AK21:AL28" si="12">+AG21-AI21</f>
        <v>0</v>
      </c>
      <c r="AL21" s="196">
        <f t="shared" si="12"/>
        <v>0</v>
      </c>
      <c r="AM21" s="52">
        <f t="shared" ref="AM21:AM94" si="13">+IF(AI21=0,0,G21)</f>
        <v>0</v>
      </c>
      <c r="AN21" s="52">
        <f t="shared" ref="AN21:AN94" si="14">+IF(AJ21=0,0,G21)</f>
        <v>0</v>
      </c>
      <c r="AO21" s="52">
        <f t="shared" ref="AO21:AO94" si="15">+IF(AK21=0,0,G21)</f>
        <v>0</v>
      </c>
      <c r="AP21" s="52">
        <f t="shared" ref="AP21:AP94" si="16">+IF(AL21=0,0,G21)</f>
        <v>0</v>
      </c>
    </row>
    <row r="22" spans="1:42" ht="20.100000000000001" customHeight="1" x14ac:dyDescent="0.25">
      <c r="A22" s="129"/>
      <c r="B22" s="182" t="s">
        <v>101</v>
      </c>
      <c r="C22" s="183"/>
      <c r="E22" s="189" t="s">
        <v>615</v>
      </c>
      <c r="F22" s="14">
        <v>1</v>
      </c>
      <c r="G22" s="14">
        <v>7.1</v>
      </c>
      <c r="H22" s="14">
        <v>0.2</v>
      </c>
      <c r="I22" s="14">
        <v>0.45</v>
      </c>
      <c r="J22" s="11">
        <f t="shared" si="2"/>
        <v>0.63900000000000001</v>
      </c>
      <c r="K22" s="11">
        <f t="shared" si="3"/>
        <v>1.42</v>
      </c>
      <c r="L22" s="11">
        <f t="shared" si="4"/>
        <v>5.8512499999999994</v>
      </c>
      <c r="M22" s="190">
        <v>0.125</v>
      </c>
      <c r="N22" s="14">
        <f t="shared" si="5"/>
        <v>0.32500000000000001</v>
      </c>
      <c r="O22" s="14">
        <f t="shared" si="6"/>
        <v>2.3075000000000001</v>
      </c>
      <c r="P22" s="190"/>
      <c r="Q22" s="14">
        <f t="shared" si="7"/>
        <v>0.45</v>
      </c>
      <c r="R22" s="14">
        <f t="shared" si="8"/>
        <v>3.1949999999999998</v>
      </c>
      <c r="S22" s="14">
        <v>0.45</v>
      </c>
      <c r="T22" s="14"/>
      <c r="U22" s="191">
        <f t="shared" si="0"/>
        <v>0.34875</v>
      </c>
      <c r="V22" s="14"/>
      <c r="W22" s="14"/>
      <c r="X22" s="14"/>
      <c r="Y22" s="14"/>
      <c r="Z22" s="14"/>
      <c r="AA22" s="14"/>
      <c r="AB22" s="14">
        <f t="shared" si="1"/>
        <v>0</v>
      </c>
      <c r="AC22" s="14"/>
      <c r="AE22" s="11"/>
      <c r="AG22" s="52">
        <f t="shared" si="9"/>
        <v>7.2712499999999993</v>
      </c>
      <c r="AH22" s="52">
        <f t="shared" si="10"/>
        <v>0</v>
      </c>
      <c r="AI22" s="193">
        <f t="shared" ref="AI22:AI95" si="17">IF(P22=0,(+IF(I22&lt;0.75,(K22+L22),0)),0)</f>
        <v>7.2712499999999993</v>
      </c>
      <c r="AJ22" s="194">
        <f>IF(P22=0,(+IF(I22&lt;0.75,0,(K22+L22))),0)</f>
        <v>0</v>
      </c>
      <c r="AK22" s="195">
        <f t="shared" si="12"/>
        <v>0</v>
      </c>
      <c r="AL22" s="196">
        <f t="shared" si="12"/>
        <v>0</v>
      </c>
      <c r="AM22" s="52">
        <f t="shared" si="13"/>
        <v>7.1</v>
      </c>
      <c r="AN22" s="52">
        <f t="shared" si="14"/>
        <v>0</v>
      </c>
      <c r="AO22" s="52">
        <f t="shared" si="15"/>
        <v>0</v>
      </c>
      <c r="AP22" s="52">
        <f t="shared" si="16"/>
        <v>0</v>
      </c>
    </row>
    <row r="23" spans="1:42" ht="20.100000000000001" customHeight="1" x14ac:dyDescent="0.25">
      <c r="A23" s="129"/>
      <c r="B23" s="182" t="s">
        <v>101</v>
      </c>
      <c r="C23" s="183"/>
      <c r="E23" s="189" t="s">
        <v>616</v>
      </c>
      <c r="F23" s="14">
        <v>1</v>
      </c>
      <c r="G23" s="14">
        <v>0.65</v>
      </c>
      <c r="H23" s="14">
        <v>0.15</v>
      </c>
      <c r="I23" s="14">
        <v>0.45</v>
      </c>
      <c r="J23" s="11">
        <f t="shared" ref="J23:J25" si="18">+PRODUCT(F23:I23)</f>
        <v>4.3875000000000004E-2</v>
      </c>
      <c r="K23" s="11">
        <f t="shared" ref="K23:K25" si="19">PRODUCT(F23,G23,H23)</f>
        <v>9.7500000000000003E-2</v>
      </c>
      <c r="L23" s="11">
        <f t="shared" ref="L23:L25" si="20">+O23+R23-AB23+U23</f>
        <v>0.50375000000000003</v>
      </c>
      <c r="M23" s="190">
        <v>0.125</v>
      </c>
      <c r="N23" s="14">
        <f t="shared" ref="N23:N25" si="21">+I23-M23</f>
        <v>0.32500000000000001</v>
      </c>
      <c r="O23" s="14">
        <f t="shared" ref="O23:O25" si="22">+PRODUCT(F23,G23,N23)</f>
        <v>0.21125000000000002</v>
      </c>
      <c r="P23" s="190"/>
      <c r="Q23" s="14">
        <f t="shared" ref="Q23:Q25" si="23">+I23-P23</f>
        <v>0.45</v>
      </c>
      <c r="R23" s="14">
        <f t="shared" ref="R23:R25" si="24">+PRODUCT(F23:G23,Q23)</f>
        <v>0.29250000000000004</v>
      </c>
      <c r="S23" s="14"/>
      <c r="T23" s="14"/>
      <c r="U23" s="191">
        <f t="shared" ref="U23:U25" si="25">+SUM(S23:T23)*(N23+Q23)/2*2</f>
        <v>0</v>
      </c>
      <c r="V23" s="14"/>
      <c r="W23" s="14"/>
      <c r="X23" s="14"/>
      <c r="Y23" s="14"/>
      <c r="Z23" s="14"/>
      <c r="AA23" s="14"/>
      <c r="AB23" s="14">
        <f t="shared" si="1"/>
        <v>0</v>
      </c>
      <c r="AC23" s="14"/>
      <c r="AE23" s="11"/>
      <c r="AG23" s="52">
        <f t="shared" ref="AG23:AG25" si="26">+IF(I23&lt;0.75,(K23+L23),0)</f>
        <v>0.60125000000000006</v>
      </c>
      <c r="AH23" s="52">
        <f t="shared" ref="AH23:AH25" si="27">+IF(I23&lt;0.75,0,(K23+L23))</f>
        <v>0</v>
      </c>
      <c r="AI23" s="193">
        <f t="shared" ref="AI23:AI25" si="28">IF(P23=0,(+IF(I23&lt;0.75,(K23+L23),0)),0)</f>
        <v>0.60125000000000006</v>
      </c>
      <c r="AJ23" s="194">
        <f t="shared" ref="AJ23:AJ25" si="29">IF(P23=0,(+IF(I23&lt;0.75,0,(K23+L23))),0)</f>
        <v>0</v>
      </c>
      <c r="AK23" s="195">
        <f t="shared" ref="AK23:AK25" si="30">+AG23-AI23</f>
        <v>0</v>
      </c>
      <c r="AL23" s="196">
        <f t="shared" ref="AL23:AL25" si="31">+AH23-AJ23</f>
        <v>0</v>
      </c>
      <c r="AM23" s="52">
        <f t="shared" ref="AM23:AM25" si="32">+IF(AI23=0,0,G23)</f>
        <v>0.65</v>
      </c>
      <c r="AN23" s="52">
        <f t="shared" ref="AN23:AN25" si="33">+IF(AJ23=0,0,G23)</f>
        <v>0</v>
      </c>
      <c r="AO23" s="52">
        <f t="shared" ref="AO23:AO25" si="34">+IF(AK23=0,0,G23)</f>
        <v>0</v>
      </c>
      <c r="AP23" s="52">
        <f t="shared" ref="AP23:AP25" si="35">+IF(AL23=0,0,G23)</f>
        <v>0</v>
      </c>
    </row>
    <row r="24" spans="1:42" ht="20.100000000000001" customHeight="1" x14ac:dyDescent="0.25">
      <c r="A24" s="129"/>
      <c r="B24" s="182" t="s">
        <v>101</v>
      </c>
      <c r="C24" s="183"/>
      <c r="E24" s="189" t="s">
        <v>618</v>
      </c>
      <c r="F24" s="14">
        <v>1</v>
      </c>
      <c r="G24" s="14">
        <v>0.35</v>
      </c>
      <c r="H24" s="14">
        <v>0.15</v>
      </c>
      <c r="I24" s="14">
        <v>0.45</v>
      </c>
      <c r="J24" s="11">
        <f t="shared" si="18"/>
        <v>2.3625E-2</v>
      </c>
      <c r="K24" s="11">
        <f t="shared" si="19"/>
        <v>5.2499999999999998E-2</v>
      </c>
      <c r="L24" s="11">
        <f t="shared" si="20"/>
        <v>0.27124999999999999</v>
      </c>
      <c r="M24" s="190">
        <v>0.125</v>
      </c>
      <c r="N24" s="14">
        <f t="shared" si="21"/>
        <v>0.32500000000000001</v>
      </c>
      <c r="O24" s="14">
        <f t="shared" si="22"/>
        <v>0.11374999999999999</v>
      </c>
      <c r="P24" s="190"/>
      <c r="Q24" s="14">
        <f t="shared" si="23"/>
        <v>0.45</v>
      </c>
      <c r="R24" s="14">
        <f t="shared" si="24"/>
        <v>0.1575</v>
      </c>
      <c r="S24" s="14"/>
      <c r="T24" s="14"/>
      <c r="U24" s="191">
        <f t="shared" si="25"/>
        <v>0</v>
      </c>
      <c r="V24" s="14"/>
      <c r="W24" s="14"/>
      <c r="X24" s="14"/>
      <c r="Y24" s="14"/>
      <c r="Z24" s="14"/>
      <c r="AA24" s="14"/>
      <c r="AB24" s="14">
        <f t="shared" si="1"/>
        <v>0</v>
      </c>
      <c r="AC24" s="14"/>
      <c r="AE24" s="11"/>
      <c r="AG24" s="52">
        <f t="shared" si="26"/>
        <v>0.32374999999999998</v>
      </c>
      <c r="AH24" s="52">
        <f t="shared" si="27"/>
        <v>0</v>
      </c>
      <c r="AI24" s="193">
        <f t="shared" si="28"/>
        <v>0.32374999999999998</v>
      </c>
      <c r="AJ24" s="194">
        <f t="shared" si="29"/>
        <v>0</v>
      </c>
      <c r="AK24" s="195">
        <f t="shared" si="30"/>
        <v>0</v>
      </c>
      <c r="AL24" s="196">
        <f t="shared" si="31"/>
        <v>0</v>
      </c>
      <c r="AM24" s="52">
        <f t="shared" si="32"/>
        <v>0.35</v>
      </c>
      <c r="AN24" s="52">
        <f t="shared" si="33"/>
        <v>0</v>
      </c>
      <c r="AO24" s="52">
        <f t="shared" si="34"/>
        <v>0</v>
      </c>
      <c r="AP24" s="52">
        <f t="shared" si="35"/>
        <v>0</v>
      </c>
    </row>
    <row r="25" spans="1:42" ht="20.100000000000001" customHeight="1" x14ac:dyDescent="0.25">
      <c r="A25" s="129"/>
      <c r="B25" s="182" t="s">
        <v>101</v>
      </c>
      <c r="C25" s="183"/>
      <c r="E25" s="189" t="s">
        <v>617</v>
      </c>
      <c r="F25" s="14">
        <v>1</v>
      </c>
      <c r="G25" s="14">
        <v>0.65</v>
      </c>
      <c r="H25" s="14">
        <v>0.15</v>
      </c>
      <c r="I25" s="14">
        <v>0.45</v>
      </c>
      <c r="J25" s="11">
        <f t="shared" si="18"/>
        <v>4.3875000000000004E-2</v>
      </c>
      <c r="K25" s="11">
        <f t="shared" si="19"/>
        <v>9.7500000000000003E-2</v>
      </c>
      <c r="L25" s="11">
        <f t="shared" si="20"/>
        <v>0.50375000000000003</v>
      </c>
      <c r="M25" s="190">
        <v>0.125</v>
      </c>
      <c r="N25" s="14">
        <f t="shared" si="21"/>
        <v>0.32500000000000001</v>
      </c>
      <c r="O25" s="14">
        <f t="shared" si="22"/>
        <v>0.21125000000000002</v>
      </c>
      <c r="P25" s="190"/>
      <c r="Q25" s="14">
        <f t="shared" si="23"/>
        <v>0.45</v>
      </c>
      <c r="R25" s="14">
        <f t="shared" si="24"/>
        <v>0.29250000000000004</v>
      </c>
      <c r="S25" s="14"/>
      <c r="T25" s="14"/>
      <c r="U25" s="191">
        <f t="shared" si="25"/>
        <v>0</v>
      </c>
      <c r="V25" s="14"/>
      <c r="W25" s="14"/>
      <c r="X25" s="14"/>
      <c r="Y25" s="14"/>
      <c r="Z25" s="14"/>
      <c r="AA25" s="14"/>
      <c r="AB25" s="14">
        <f t="shared" si="1"/>
        <v>0</v>
      </c>
      <c r="AC25" s="14"/>
      <c r="AE25" s="11"/>
      <c r="AG25" s="52">
        <f t="shared" si="26"/>
        <v>0.60125000000000006</v>
      </c>
      <c r="AH25" s="52">
        <f t="shared" si="27"/>
        <v>0</v>
      </c>
      <c r="AI25" s="193">
        <f t="shared" si="28"/>
        <v>0.60125000000000006</v>
      </c>
      <c r="AJ25" s="194">
        <f t="shared" si="29"/>
        <v>0</v>
      </c>
      <c r="AK25" s="195">
        <f t="shared" si="30"/>
        <v>0</v>
      </c>
      <c r="AL25" s="196">
        <f t="shared" si="31"/>
        <v>0</v>
      </c>
      <c r="AM25" s="52">
        <f t="shared" si="32"/>
        <v>0.65</v>
      </c>
      <c r="AN25" s="52">
        <f t="shared" si="33"/>
        <v>0</v>
      </c>
      <c r="AO25" s="52">
        <f t="shared" si="34"/>
        <v>0</v>
      </c>
      <c r="AP25" s="52">
        <f t="shared" si="35"/>
        <v>0</v>
      </c>
    </row>
    <row r="26" spans="1:42" ht="20.100000000000001" customHeight="1" x14ac:dyDescent="0.25">
      <c r="A26" s="129"/>
      <c r="B26" s="182" t="s">
        <v>101</v>
      </c>
      <c r="C26" s="183"/>
      <c r="E26" s="189" t="s">
        <v>104</v>
      </c>
      <c r="F26" s="14">
        <v>0</v>
      </c>
      <c r="G26" s="14"/>
      <c r="H26" s="14"/>
      <c r="I26" s="14"/>
      <c r="J26" s="11">
        <f t="shared" si="2"/>
        <v>0</v>
      </c>
      <c r="K26" s="11">
        <f t="shared" si="3"/>
        <v>0</v>
      </c>
      <c r="L26" s="11">
        <f t="shared" si="4"/>
        <v>0</v>
      </c>
      <c r="M26" s="190">
        <v>0.125</v>
      </c>
      <c r="N26" s="14">
        <f t="shared" si="5"/>
        <v>-0.125</v>
      </c>
      <c r="O26" s="14">
        <f t="shared" si="6"/>
        <v>0</v>
      </c>
      <c r="P26" s="190">
        <v>0.125</v>
      </c>
      <c r="Q26" s="14">
        <f t="shared" si="7"/>
        <v>-0.125</v>
      </c>
      <c r="R26" s="14">
        <f t="shared" si="8"/>
        <v>0</v>
      </c>
      <c r="S26" s="14"/>
      <c r="T26" s="14"/>
      <c r="U26" s="191">
        <f t="shared" si="0"/>
        <v>0</v>
      </c>
      <c r="V26" s="14"/>
      <c r="W26" s="14"/>
      <c r="X26" s="14"/>
      <c r="Y26" s="14"/>
      <c r="Z26" s="14"/>
      <c r="AA26" s="14"/>
      <c r="AB26" s="14">
        <f t="shared" si="1"/>
        <v>0</v>
      </c>
      <c r="AC26" s="14"/>
      <c r="AE26" s="11"/>
      <c r="AG26" s="52">
        <f t="shared" si="9"/>
        <v>0</v>
      </c>
      <c r="AH26" s="52">
        <f t="shared" si="10"/>
        <v>0</v>
      </c>
      <c r="AI26" s="193">
        <f t="shared" si="17"/>
        <v>0</v>
      </c>
      <c r="AJ26" s="194">
        <f t="shared" ref="AJ26:AJ96" si="36">IF(P26=0,(+IF(I26&lt;0.75,0,(K26+L26))),0)</f>
        <v>0</v>
      </c>
      <c r="AK26" s="195">
        <f t="shared" si="12"/>
        <v>0</v>
      </c>
      <c r="AL26" s="196">
        <f t="shared" si="12"/>
        <v>0</v>
      </c>
      <c r="AM26" s="52">
        <f t="shared" si="13"/>
        <v>0</v>
      </c>
      <c r="AN26" s="52">
        <f t="shared" si="14"/>
        <v>0</v>
      </c>
      <c r="AO26" s="52">
        <f t="shared" si="15"/>
        <v>0</v>
      </c>
      <c r="AP26" s="52">
        <f t="shared" si="16"/>
        <v>0</v>
      </c>
    </row>
    <row r="27" spans="1:42" ht="20.100000000000001" customHeight="1" x14ac:dyDescent="0.25">
      <c r="A27" s="129"/>
      <c r="B27" s="182" t="s">
        <v>101</v>
      </c>
      <c r="C27" s="183"/>
      <c r="E27" s="189" t="s">
        <v>105</v>
      </c>
      <c r="F27" s="14">
        <v>0</v>
      </c>
      <c r="G27" s="14"/>
      <c r="H27" s="14"/>
      <c r="I27" s="14"/>
      <c r="J27" s="11">
        <f t="shared" si="2"/>
        <v>0</v>
      </c>
      <c r="K27" s="11">
        <f t="shared" si="3"/>
        <v>0</v>
      </c>
      <c r="L27" s="11">
        <f t="shared" si="4"/>
        <v>0</v>
      </c>
      <c r="M27" s="190">
        <v>0.125</v>
      </c>
      <c r="N27" s="14">
        <f t="shared" si="5"/>
        <v>-0.125</v>
      </c>
      <c r="O27" s="14">
        <f t="shared" si="6"/>
        <v>0</v>
      </c>
      <c r="P27" s="190">
        <v>0.125</v>
      </c>
      <c r="Q27" s="14">
        <f t="shared" si="7"/>
        <v>-0.125</v>
      </c>
      <c r="R27" s="14">
        <f t="shared" si="8"/>
        <v>0</v>
      </c>
      <c r="S27" s="14"/>
      <c r="T27" s="14"/>
      <c r="U27" s="191">
        <f t="shared" si="0"/>
        <v>0</v>
      </c>
      <c r="V27" s="14"/>
      <c r="W27" s="14"/>
      <c r="X27" s="14"/>
      <c r="Y27" s="14"/>
      <c r="Z27" s="14"/>
      <c r="AA27" s="14"/>
      <c r="AB27" s="14">
        <f t="shared" si="1"/>
        <v>0</v>
      </c>
      <c r="AC27" s="14"/>
      <c r="AE27" s="11"/>
      <c r="AG27" s="52">
        <f t="shared" si="9"/>
        <v>0</v>
      </c>
      <c r="AH27" s="52">
        <f t="shared" si="10"/>
        <v>0</v>
      </c>
      <c r="AI27" s="193">
        <f t="shared" si="17"/>
        <v>0</v>
      </c>
      <c r="AJ27" s="194">
        <f t="shared" si="36"/>
        <v>0</v>
      </c>
      <c r="AK27" s="195">
        <f t="shared" si="12"/>
        <v>0</v>
      </c>
      <c r="AL27" s="196">
        <f t="shared" si="12"/>
        <v>0</v>
      </c>
      <c r="AM27" s="52">
        <f t="shared" si="13"/>
        <v>0</v>
      </c>
      <c r="AN27" s="52">
        <f t="shared" si="14"/>
        <v>0</v>
      </c>
      <c r="AO27" s="52">
        <f t="shared" si="15"/>
        <v>0</v>
      </c>
      <c r="AP27" s="52">
        <f t="shared" si="16"/>
        <v>0</v>
      </c>
    </row>
    <row r="28" spans="1:42" ht="20.100000000000001" customHeight="1" x14ac:dyDescent="0.25">
      <c r="A28" s="129"/>
      <c r="B28" s="182" t="s">
        <v>101</v>
      </c>
      <c r="C28" s="183"/>
      <c r="E28" s="189" t="s">
        <v>106</v>
      </c>
      <c r="F28" s="14">
        <v>1</v>
      </c>
      <c r="G28" s="14">
        <v>3.85</v>
      </c>
      <c r="H28" s="14">
        <v>0.2</v>
      </c>
      <c r="I28" s="14">
        <v>0.45</v>
      </c>
      <c r="J28" s="11">
        <f t="shared" si="2"/>
        <v>0.34650000000000003</v>
      </c>
      <c r="K28" s="11">
        <f t="shared" si="3"/>
        <v>0.77</v>
      </c>
      <c r="L28" s="11">
        <f t="shared" si="4"/>
        <v>2.8787500000000001</v>
      </c>
      <c r="M28" s="190">
        <v>0.125</v>
      </c>
      <c r="N28" s="14">
        <f t="shared" si="5"/>
        <v>0.32500000000000001</v>
      </c>
      <c r="O28" s="14">
        <f t="shared" si="6"/>
        <v>1.25125</v>
      </c>
      <c r="P28" s="190">
        <v>0.15</v>
      </c>
      <c r="Q28" s="14">
        <f t="shared" si="7"/>
        <v>0.30000000000000004</v>
      </c>
      <c r="R28" s="14">
        <f t="shared" si="8"/>
        <v>1.1550000000000002</v>
      </c>
      <c r="S28" s="14">
        <v>0.45</v>
      </c>
      <c r="T28" s="14">
        <v>0.45</v>
      </c>
      <c r="U28" s="191">
        <f t="shared" si="0"/>
        <v>0.5625</v>
      </c>
      <c r="V28" s="14" t="s">
        <v>152</v>
      </c>
      <c r="W28" s="14"/>
      <c r="X28" s="14"/>
      <c r="Y28" s="14"/>
      <c r="Z28" s="14"/>
      <c r="AA28" s="14"/>
      <c r="AB28" s="14">
        <f t="shared" si="1"/>
        <v>9.0000000000000011E-2</v>
      </c>
      <c r="AC28" s="14"/>
      <c r="AE28" s="11"/>
      <c r="AG28" s="52">
        <f t="shared" si="9"/>
        <v>3.6487500000000002</v>
      </c>
      <c r="AH28" s="52">
        <f t="shared" si="10"/>
        <v>0</v>
      </c>
      <c r="AI28" s="193">
        <f t="shared" si="17"/>
        <v>0</v>
      </c>
      <c r="AJ28" s="194">
        <f t="shared" si="36"/>
        <v>0</v>
      </c>
      <c r="AK28" s="195">
        <f t="shared" si="12"/>
        <v>3.6487500000000002</v>
      </c>
      <c r="AL28" s="196">
        <f t="shared" si="12"/>
        <v>0</v>
      </c>
      <c r="AM28" s="52">
        <f t="shared" si="13"/>
        <v>0</v>
      </c>
      <c r="AN28" s="52">
        <f t="shared" si="14"/>
        <v>0</v>
      </c>
      <c r="AO28" s="52">
        <f t="shared" si="15"/>
        <v>3.85</v>
      </c>
      <c r="AP28" s="52">
        <f t="shared" si="16"/>
        <v>0</v>
      </c>
    </row>
    <row r="29" spans="1:42" ht="20.100000000000001" customHeight="1" x14ac:dyDescent="0.25">
      <c r="A29" s="129"/>
      <c r="B29" s="182" t="s">
        <v>101</v>
      </c>
      <c r="C29" s="183"/>
      <c r="E29" s="189" t="s">
        <v>107</v>
      </c>
      <c r="F29" s="14">
        <v>1</v>
      </c>
      <c r="G29" s="14">
        <v>1.9</v>
      </c>
      <c r="H29" s="14">
        <v>0.2</v>
      </c>
      <c r="I29" s="14">
        <v>0.45</v>
      </c>
      <c r="J29" s="11">
        <f t="shared" si="2"/>
        <v>0.17100000000000001</v>
      </c>
      <c r="K29" s="11">
        <f t="shared" si="3"/>
        <v>0.38</v>
      </c>
      <c r="L29" s="11">
        <f t="shared" si="4"/>
        <v>1.66</v>
      </c>
      <c r="M29" s="190">
        <v>0.125</v>
      </c>
      <c r="N29" s="14">
        <f t="shared" si="5"/>
        <v>0.32500000000000001</v>
      </c>
      <c r="O29" s="14">
        <f t="shared" si="6"/>
        <v>0.61749999999999994</v>
      </c>
      <c r="P29" s="190">
        <v>0.15</v>
      </c>
      <c r="Q29" s="14">
        <f t="shared" si="7"/>
        <v>0.30000000000000004</v>
      </c>
      <c r="R29" s="14">
        <f t="shared" si="8"/>
        <v>0.57000000000000006</v>
      </c>
      <c r="S29" s="14">
        <v>0.45</v>
      </c>
      <c r="T29" s="14">
        <v>0.45</v>
      </c>
      <c r="U29" s="191">
        <f t="shared" si="0"/>
        <v>0.5625</v>
      </c>
      <c r="V29" s="14" t="s">
        <v>158</v>
      </c>
      <c r="W29" s="14"/>
      <c r="X29" s="14"/>
      <c r="Y29" s="14"/>
      <c r="Z29" s="14"/>
      <c r="AA29" s="14"/>
      <c r="AB29" s="14">
        <f t="shared" si="1"/>
        <v>9.0000000000000011E-2</v>
      </c>
      <c r="AC29" s="14"/>
      <c r="AE29" s="11"/>
      <c r="AG29" s="52">
        <f t="shared" si="9"/>
        <v>2.04</v>
      </c>
      <c r="AH29" s="52">
        <f t="shared" si="10"/>
        <v>0</v>
      </c>
      <c r="AI29" s="193">
        <f t="shared" si="17"/>
        <v>0</v>
      </c>
      <c r="AJ29" s="194">
        <f t="shared" si="36"/>
        <v>0</v>
      </c>
      <c r="AK29" s="195">
        <f>+AG29-AI29</f>
        <v>2.04</v>
      </c>
      <c r="AL29" s="196">
        <f>+AH29-AJ29</f>
        <v>0</v>
      </c>
      <c r="AM29" s="52">
        <f t="shared" si="13"/>
        <v>0</v>
      </c>
      <c r="AN29" s="52">
        <f t="shared" si="14"/>
        <v>0</v>
      </c>
      <c r="AO29" s="52">
        <f t="shared" si="15"/>
        <v>1.9</v>
      </c>
      <c r="AP29" s="52">
        <f t="shared" si="16"/>
        <v>0</v>
      </c>
    </row>
    <row r="30" spans="1:42" ht="20.100000000000001" customHeight="1" x14ac:dyDescent="0.25">
      <c r="A30" s="129"/>
      <c r="B30" s="182" t="s">
        <v>101</v>
      </c>
      <c r="C30" s="183"/>
      <c r="E30" s="189" t="s">
        <v>108</v>
      </c>
      <c r="F30" s="14">
        <v>1</v>
      </c>
      <c r="G30" s="14">
        <v>4.25</v>
      </c>
      <c r="H30" s="14">
        <v>0.2</v>
      </c>
      <c r="I30" s="14">
        <v>0.45</v>
      </c>
      <c r="J30" s="11">
        <f t="shared" si="2"/>
        <v>0.38250000000000006</v>
      </c>
      <c r="K30" s="11">
        <f t="shared" si="3"/>
        <v>0.85000000000000009</v>
      </c>
      <c r="L30" s="11">
        <f t="shared" si="4"/>
        <v>2.4762499999999998</v>
      </c>
      <c r="M30" s="190">
        <v>0.125</v>
      </c>
      <c r="N30" s="14">
        <f t="shared" si="5"/>
        <v>0.32500000000000001</v>
      </c>
      <c r="O30" s="14">
        <f t="shared" si="6"/>
        <v>1.3812500000000001</v>
      </c>
      <c r="P30" s="190">
        <v>0.15</v>
      </c>
      <c r="Q30" s="14">
        <f t="shared" si="7"/>
        <v>0.30000000000000004</v>
      </c>
      <c r="R30" s="14">
        <f t="shared" si="8"/>
        <v>1.2750000000000001</v>
      </c>
      <c r="S30" s="14"/>
      <c r="T30" s="14"/>
      <c r="U30" s="191">
        <f t="shared" si="0"/>
        <v>0</v>
      </c>
      <c r="V30" s="14" t="s">
        <v>165</v>
      </c>
      <c r="W30" s="14" t="s">
        <v>166</v>
      </c>
      <c r="X30" s="14"/>
      <c r="Y30" s="14"/>
      <c r="Z30" s="14"/>
      <c r="AA30" s="14"/>
      <c r="AB30" s="14">
        <f t="shared" si="1"/>
        <v>0.18000000000000002</v>
      </c>
      <c r="AC30" s="14"/>
      <c r="AE30" s="11"/>
      <c r="AG30" s="52">
        <f t="shared" si="9"/>
        <v>3.3262499999999999</v>
      </c>
      <c r="AH30" s="52">
        <f t="shared" si="10"/>
        <v>0</v>
      </c>
      <c r="AI30" s="193">
        <f t="shared" si="17"/>
        <v>0</v>
      </c>
      <c r="AJ30" s="194">
        <f t="shared" si="36"/>
        <v>0</v>
      </c>
      <c r="AK30" s="195">
        <f t="shared" ref="AK30:AL101" si="37">+AG30-AI30</f>
        <v>3.3262499999999999</v>
      </c>
      <c r="AL30" s="196">
        <f t="shared" si="37"/>
        <v>0</v>
      </c>
      <c r="AM30" s="52">
        <f t="shared" si="13"/>
        <v>0</v>
      </c>
      <c r="AN30" s="52">
        <f t="shared" si="14"/>
        <v>0</v>
      </c>
      <c r="AO30" s="52">
        <f t="shared" si="15"/>
        <v>4.25</v>
      </c>
      <c r="AP30" s="52">
        <f t="shared" si="16"/>
        <v>0</v>
      </c>
    </row>
    <row r="31" spans="1:42" ht="20.100000000000001" customHeight="1" x14ac:dyDescent="0.25">
      <c r="A31" s="129"/>
      <c r="B31" s="182" t="s">
        <v>101</v>
      </c>
      <c r="C31" s="183"/>
      <c r="E31" s="189" t="s">
        <v>109</v>
      </c>
      <c r="F31" s="14">
        <v>0</v>
      </c>
      <c r="G31" s="14"/>
      <c r="H31" s="14"/>
      <c r="I31" s="14"/>
      <c r="J31" s="11">
        <f t="shared" si="2"/>
        <v>0</v>
      </c>
      <c r="K31" s="11">
        <f t="shared" si="3"/>
        <v>0</v>
      </c>
      <c r="L31" s="11">
        <f t="shared" si="4"/>
        <v>0</v>
      </c>
      <c r="M31" s="190">
        <v>0.125</v>
      </c>
      <c r="N31" s="14">
        <f t="shared" si="5"/>
        <v>-0.125</v>
      </c>
      <c r="O31" s="14">
        <f t="shared" si="6"/>
        <v>0</v>
      </c>
      <c r="P31" s="190">
        <v>0.125</v>
      </c>
      <c r="Q31" s="14">
        <f t="shared" si="7"/>
        <v>-0.125</v>
      </c>
      <c r="R31" s="14">
        <f t="shared" si="8"/>
        <v>0</v>
      </c>
      <c r="S31" s="14"/>
      <c r="T31" s="14"/>
      <c r="U31" s="191">
        <f t="shared" si="0"/>
        <v>0</v>
      </c>
      <c r="V31" s="14"/>
      <c r="W31" s="14"/>
      <c r="X31" s="14"/>
      <c r="Y31" s="14"/>
      <c r="Z31" s="14"/>
      <c r="AA31" s="14"/>
      <c r="AB31" s="14">
        <f t="shared" si="1"/>
        <v>0</v>
      </c>
      <c r="AC31" s="14"/>
      <c r="AE31" s="11"/>
      <c r="AG31" s="52">
        <f t="shared" si="9"/>
        <v>0</v>
      </c>
      <c r="AH31" s="52">
        <f t="shared" si="10"/>
        <v>0</v>
      </c>
      <c r="AI31" s="193">
        <f t="shared" si="17"/>
        <v>0</v>
      </c>
      <c r="AJ31" s="194">
        <f t="shared" si="36"/>
        <v>0</v>
      </c>
      <c r="AK31" s="195">
        <f t="shared" si="37"/>
        <v>0</v>
      </c>
      <c r="AL31" s="196">
        <f t="shared" si="37"/>
        <v>0</v>
      </c>
      <c r="AM31" s="52">
        <f t="shared" si="13"/>
        <v>0</v>
      </c>
      <c r="AN31" s="52">
        <f t="shared" si="14"/>
        <v>0</v>
      </c>
      <c r="AO31" s="52">
        <f t="shared" si="15"/>
        <v>0</v>
      </c>
      <c r="AP31" s="52">
        <f t="shared" si="16"/>
        <v>0</v>
      </c>
    </row>
    <row r="32" spans="1:42" ht="20.100000000000001" customHeight="1" x14ac:dyDescent="0.25">
      <c r="A32" s="129"/>
      <c r="B32" s="182" t="s">
        <v>101</v>
      </c>
      <c r="C32" s="183"/>
      <c r="E32" s="189" t="s">
        <v>620</v>
      </c>
      <c r="F32" s="14">
        <v>1</v>
      </c>
      <c r="G32" s="14">
        <v>1.675</v>
      </c>
      <c r="H32" s="14">
        <v>0.2</v>
      </c>
      <c r="I32" s="14">
        <v>0.4</v>
      </c>
      <c r="J32" s="11">
        <f t="shared" si="2"/>
        <v>0.13400000000000001</v>
      </c>
      <c r="K32" s="11">
        <f t="shared" si="3"/>
        <v>0.33500000000000002</v>
      </c>
      <c r="L32" s="11">
        <f t="shared" si="4"/>
        <v>0.98250000000000004</v>
      </c>
      <c r="M32" s="190">
        <v>0.15</v>
      </c>
      <c r="N32" s="14">
        <f t="shared" si="5"/>
        <v>0.25</v>
      </c>
      <c r="O32" s="14">
        <f t="shared" si="6"/>
        <v>0.41875000000000001</v>
      </c>
      <c r="P32" s="190">
        <v>0.15</v>
      </c>
      <c r="Q32" s="14">
        <f t="shared" si="7"/>
        <v>0.25</v>
      </c>
      <c r="R32" s="14">
        <f t="shared" si="8"/>
        <v>0.41875000000000001</v>
      </c>
      <c r="S32" s="14">
        <v>0.45</v>
      </c>
      <c r="T32" s="14"/>
      <c r="U32" s="191">
        <f t="shared" si="0"/>
        <v>0.22500000000000001</v>
      </c>
      <c r="V32" s="14" t="s">
        <v>619</v>
      </c>
      <c r="W32" s="14"/>
      <c r="X32" s="14"/>
      <c r="Y32" s="14"/>
      <c r="Z32" s="14"/>
      <c r="AA32" s="14"/>
      <c r="AB32" s="14">
        <f t="shared" si="1"/>
        <v>8.0000000000000016E-2</v>
      </c>
      <c r="AC32" s="14"/>
      <c r="AE32" s="11"/>
      <c r="AG32" s="52">
        <f t="shared" si="9"/>
        <v>1.3175000000000001</v>
      </c>
      <c r="AH32" s="52">
        <f t="shared" si="10"/>
        <v>0</v>
      </c>
      <c r="AI32" s="193">
        <f t="shared" si="17"/>
        <v>0</v>
      </c>
      <c r="AJ32" s="194">
        <f t="shared" si="36"/>
        <v>0</v>
      </c>
      <c r="AK32" s="195">
        <f t="shared" si="37"/>
        <v>1.3175000000000001</v>
      </c>
      <c r="AL32" s="196">
        <f t="shared" si="37"/>
        <v>0</v>
      </c>
      <c r="AM32" s="52">
        <f t="shared" si="13"/>
        <v>0</v>
      </c>
      <c r="AN32" s="52">
        <f t="shared" si="14"/>
        <v>0</v>
      </c>
      <c r="AO32" s="52">
        <f t="shared" si="15"/>
        <v>1.675</v>
      </c>
      <c r="AP32" s="52">
        <f t="shared" si="16"/>
        <v>0</v>
      </c>
    </row>
    <row r="33" spans="1:42" ht="20.100000000000001" customHeight="1" x14ac:dyDescent="0.25">
      <c r="A33" s="129"/>
      <c r="B33" s="182" t="s">
        <v>101</v>
      </c>
      <c r="C33" s="183"/>
      <c r="E33" s="189" t="s">
        <v>619</v>
      </c>
      <c r="F33" s="14">
        <v>1</v>
      </c>
      <c r="G33" s="14">
        <v>0.7</v>
      </c>
      <c r="H33" s="14">
        <v>0.2</v>
      </c>
      <c r="I33" s="14">
        <v>0.4</v>
      </c>
      <c r="J33" s="11">
        <f t="shared" ref="J33:J34" si="38">+PRODUCT(F33:I33)</f>
        <v>5.5999999999999994E-2</v>
      </c>
      <c r="K33" s="11">
        <f t="shared" ref="K33:K34" si="39">PRODUCT(F33,G33,H33)</f>
        <v>0.13999999999999999</v>
      </c>
      <c r="L33" s="11">
        <f t="shared" ref="L33:L34" si="40">+O33+R33-AB33+U33</f>
        <v>0.35</v>
      </c>
      <c r="M33" s="190">
        <v>0.15</v>
      </c>
      <c r="N33" s="14">
        <f t="shared" ref="N33:N34" si="41">+I33-M33</f>
        <v>0.25</v>
      </c>
      <c r="O33" s="14">
        <f t="shared" ref="O33:O34" si="42">+PRODUCT(F33,G33,N33)</f>
        <v>0.17499999999999999</v>
      </c>
      <c r="P33" s="190">
        <v>0.15</v>
      </c>
      <c r="Q33" s="14">
        <f t="shared" ref="Q33:Q34" si="43">+I33-P33</f>
        <v>0.25</v>
      </c>
      <c r="R33" s="14">
        <f t="shared" ref="R33:R34" si="44">+PRODUCT(F33:G33,Q33)</f>
        <v>0.17499999999999999</v>
      </c>
      <c r="S33" s="14"/>
      <c r="T33" s="14"/>
      <c r="U33" s="191">
        <f t="shared" ref="U33:U34" si="45">+SUM(S33:T33)*(N33+Q33)/2*2</f>
        <v>0</v>
      </c>
      <c r="V33" s="14"/>
      <c r="W33" s="14"/>
      <c r="X33" s="14"/>
      <c r="Y33" s="14"/>
      <c r="Z33" s="14"/>
      <c r="AA33" s="14"/>
      <c r="AB33" s="14">
        <f t="shared" si="1"/>
        <v>0</v>
      </c>
      <c r="AC33" s="14"/>
      <c r="AE33" s="11"/>
      <c r="AG33" s="52">
        <f t="shared" ref="AG33:AG34" si="46">+IF(I33&lt;0.75,(K33+L33),0)</f>
        <v>0.49</v>
      </c>
      <c r="AH33" s="52">
        <f t="shared" ref="AH33:AH34" si="47">+IF(I33&lt;0.75,0,(K33+L33))</f>
        <v>0</v>
      </c>
      <c r="AI33" s="193">
        <f t="shared" ref="AI33:AI34" si="48">IF(P33=0,(+IF(I33&lt;0.75,(K33+L33),0)),0)</f>
        <v>0</v>
      </c>
      <c r="AJ33" s="194">
        <f t="shared" ref="AJ33:AJ34" si="49">IF(P33=0,(+IF(I33&lt;0.75,0,(K33+L33))),0)</f>
        <v>0</v>
      </c>
      <c r="AK33" s="195">
        <f t="shared" ref="AK33:AK34" si="50">+AG33-AI33</f>
        <v>0.49</v>
      </c>
      <c r="AL33" s="196">
        <f t="shared" ref="AL33:AL34" si="51">+AH33-AJ33</f>
        <v>0</v>
      </c>
      <c r="AM33" s="52">
        <f t="shared" ref="AM33:AM34" si="52">+IF(AI33=0,0,G33)</f>
        <v>0</v>
      </c>
      <c r="AN33" s="52">
        <f t="shared" ref="AN33:AN34" si="53">+IF(AJ33=0,0,G33)</f>
        <v>0</v>
      </c>
      <c r="AO33" s="52">
        <f t="shared" ref="AO33:AO34" si="54">+IF(AK33=0,0,G33)</f>
        <v>0.7</v>
      </c>
      <c r="AP33" s="52">
        <f t="shared" ref="AP33:AP34" si="55">+IF(AL33=0,0,G33)</f>
        <v>0</v>
      </c>
    </row>
    <row r="34" spans="1:42" ht="20.100000000000001" customHeight="1" x14ac:dyDescent="0.25">
      <c r="A34" s="129"/>
      <c r="B34" s="182" t="s">
        <v>101</v>
      </c>
      <c r="C34" s="183"/>
      <c r="E34" s="189" t="s">
        <v>621</v>
      </c>
      <c r="F34" s="14">
        <v>1</v>
      </c>
      <c r="G34" s="14">
        <v>0.15</v>
      </c>
      <c r="H34" s="14">
        <v>0.2</v>
      </c>
      <c r="I34" s="14">
        <v>0.4</v>
      </c>
      <c r="J34" s="11">
        <f t="shared" si="38"/>
        <v>1.2E-2</v>
      </c>
      <c r="K34" s="11">
        <f t="shared" si="39"/>
        <v>0.03</v>
      </c>
      <c r="L34" s="11">
        <f t="shared" si="40"/>
        <v>7.4999999999999997E-2</v>
      </c>
      <c r="M34" s="190">
        <v>0.15</v>
      </c>
      <c r="N34" s="14">
        <f t="shared" si="41"/>
        <v>0.25</v>
      </c>
      <c r="O34" s="14">
        <f t="shared" si="42"/>
        <v>3.7499999999999999E-2</v>
      </c>
      <c r="P34" s="190">
        <v>0.15</v>
      </c>
      <c r="Q34" s="14">
        <f t="shared" si="43"/>
        <v>0.25</v>
      </c>
      <c r="R34" s="14">
        <f t="shared" si="44"/>
        <v>3.7499999999999999E-2</v>
      </c>
      <c r="S34" s="14"/>
      <c r="T34" s="14"/>
      <c r="U34" s="191">
        <f t="shared" si="45"/>
        <v>0</v>
      </c>
      <c r="V34" s="14"/>
      <c r="W34" s="14"/>
      <c r="X34" s="14"/>
      <c r="Y34" s="14"/>
      <c r="Z34" s="14"/>
      <c r="AA34" s="14"/>
      <c r="AB34" s="14">
        <f t="shared" si="1"/>
        <v>0</v>
      </c>
      <c r="AC34" s="14"/>
      <c r="AE34" s="11"/>
      <c r="AG34" s="52">
        <f t="shared" si="46"/>
        <v>0.105</v>
      </c>
      <c r="AH34" s="52">
        <f t="shared" si="47"/>
        <v>0</v>
      </c>
      <c r="AI34" s="193">
        <f t="shared" si="48"/>
        <v>0</v>
      </c>
      <c r="AJ34" s="194">
        <f t="shared" si="49"/>
        <v>0</v>
      </c>
      <c r="AK34" s="195">
        <f t="shared" si="50"/>
        <v>0.105</v>
      </c>
      <c r="AL34" s="196">
        <f t="shared" si="51"/>
        <v>0</v>
      </c>
      <c r="AM34" s="52">
        <f t="shared" si="52"/>
        <v>0</v>
      </c>
      <c r="AN34" s="52">
        <f t="shared" si="53"/>
        <v>0</v>
      </c>
      <c r="AO34" s="52">
        <f t="shared" si="54"/>
        <v>0.15</v>
      </c>
      <c r="AP34" s="52">
        <f t="shared" si="55"/>
        <v>0</v>
      </c>
    </row>
    <row r="35" spans="1:42" ht="20.100000000000001" customHeight="1" x14ac:dyDescent="0.25">
      <c r="A35" s="129"/>
      <c r="B35" s="182" t="s">
        <v>101</v>
      </c>
      <c r="C35" s="183"/>
      <c r="E35" s="189" t="s">
        <v>110</v>
      </c>
      <c r="F35" s="14">
        <v>1</v>
      </c>
      <c r="G35" s="14">
        <v>4.45</v>
      </c>
      <c r="H35" s="14">
        <v>0.2</v>
      </c>
      <c r="I35" s="14">
        <v>0.45</v>
      </c>
      <c r="J35" s="11">
        <f t="shared" si="2"/>
        <v>0.40050000000000008</v>
      </c>
      <c r="K35" s="11">
        <f t="shared" si="3"/>
        <v>0.89000000000000012</v>
      </c>
      <c r="L35" s="11">
        <f t="shared" si="4"/>
        <v>3.7974999999999999</v>
      </c>
      <c r="M35" s="190">
        <v>0.125</v>
      </c>
      <c r="N35" s="14">
        <f t="shared" si="5"/>
        <v>0.32500000000000001</v>
      </c>
      <c r="O35" s="14">
        <f t="shared" si="6"/>
        <v>1.44625</v>
      </c>
      <c r="P35" s="190"/>
      <c r="Q35" s="14">
        <f t="shared" si="7"/>
        <v>0.45</v>
      </c>
      <c r="R35" s="14">
        <f t="shared" si="8"/>
        <v>2.0024999999999999</v>
      </c>
      <c r="S35" s="14">
        <v>0.45</v>
      </c>
      <c r="T35" s="14"/>
      <c r="U35" s="191">
        <f t="shared" si="0"/>
        <v>0.34875</v>
      </c>
      <c r="V35" s="14"/>
      <c r="W35" s="14"/>
      <c r="X35" s="14"/>
      <c r="Y35" s="14"/>
      <c r="Z35" s="14"/>
      <c r="AA35" s="14"/>
      <c r="AB35" s="14">
        <f t="shared" si="1"/>
        <v>0</v>
      </c>
      <c r="AC35" s="14"/>
      <c r="AE35" s="11"/>
      <c r="AG35" s="52">
        <f t="shared" si="9"/>
        <v>4.6875</v>
      </c>
      <c r="AH35" s="52">
        <f t="shared" si="10"/>
        <v>0</v>
      </c>
      <c r="AI35" s="193">
        <f t="shared" si="17"/>
        <v>4.6875</v>
      </c>
      <c r="AJ35" s="194">
        <f t="shared" si="36"/>
        <v>0</v>
      </c>
      <c r="AK35" s="195">
        <f t="shared" si="37"/>
        <v>0</v>
      </c>
      <c r="AL35" s="196">
        <f t="shared" si="37"/>
        <v>0</v>
      </c>
      <c r="AM35" s="52">
        <f t="shared" si="13"/>
        <v>4.45</v>
      </c>
      <c r="AN35" s="52">
        <f t="shared" si="14"/>
        <v>0</v>
      </c>
      <c r="AO35" s="52">
        <f t="shared" si="15"/>
        <v>0</v>
      </c>
      <c r="AP35" s="52">
        <f t="shared" si="16"/>
        <v>0</v>
      </c>
    </row>
    <row r="36" spans="1:42" ht="20.100000000000001" customHeight="1" x14ac:dyDescent="0.25">
      <c r="A36" s="129"/>
      <c r="B36" s="182" t="s">
        <v>101</v>
      </c>
      <c r="C36" s="183"/>
      <c r="E36" s="189" t="s">
        <v>111</v>
      </c>
      <c r="F36" s="14">
        <v>1</v>
      </c>
      <c r="G36" s="14">
        <v>1.4</v>
      </c>
      <c r="H36" s="14">
        <v>0.3</v>
      </c>
      <c r="I36" s="14">
        <v>0.45</v>
      </c>
      <c r="J36" s="11">
        <f t="shared" si="2"/>
        <v>0.189</v>
      </c>
      <c r="K36" s="11">
        <f t="shared" si="3"/>
        <v>0.42</v>
      </c>
      <c r="L36" s="11">
        <f t="shared" si="4"/>
        <v>0.90999999999999992</v>
      </c>
      <c r="M36" s="190">
        <v>0.125</v>
      </c>
      <c r="N36" s="14">
        <f t="shared" si="5"/>
        <v>0.32500000000000001</v>
      </c>
      <c r="O36" s="14">
        <f t="shared" si="6"/>
        <v>0.45499999999999996</v>
      </c>
      <c r="P36" s="190">
        <v>0.125</v>
      </c>
      <c r="Q36" s="14">
        <f t="shared" si="7"/>
        <v>0.32500000000000001</v>
      </c>
      <c r="R36" s="14">
        <f t="shared" si="8"/>
        <v>0.45499999999999996</v>
      </c>
      <c r="S36" s="14"/>
      <c r="T36" s="14"/>
      <c r="U36" s="191">
        <f t="shared" si="0"/>
        <v>0</v>
      </c>
      <c r="V36" s="14"/>
      <c r="W36" s="14"/>
      <c r="X36" s="14"/>
      <c r="Y36" s="14"/>
      <c r="Z36" s="14"/>
      <c r="AA36" s="14"/>
      <c r="AB36" s="14">
        <f t="shared" si="1"/>
        <v>0</v>
      </c>
      <c r="AC36" s="14"/>
      <c r="AE36" s="11"/>
      <c r="AG36" s="52">
        <f t="shared" si="9"/>
        <v>1.3299999999999998</v>
      </c>
      <c r="AH36" s="52">
        <f t="shared" si="10"/>
        <v>0</v>
      </c>
      <c r="AI36" s="193">
        <f t="shared" si="17"/>
        <v>0</v>
      </c>
      <c r="AJ36" s="194">
        <f t="shared" si="36"/>
        <v>0</v>
      </c>
      <c r="AK36" s="195">
        <f t="shared" si="37"/>
        <v>1.3299999999999998</v>
      </c>
      <c r="AL36" s="196">
        <f t="shared" si="37"/>
        <v>0</v>
      </c>
      <c r="AM36" s="52">
        <f t="shared" si="13"/>
        <v>0</v>
      </c>
      <c r="AN36" s="52">
        <f t="shared" si="14"/>
        <v>0</v>
      </c>
      <c r="AO36" s="52">
        <f t="shared" si="15"/>
        <v>1.4</v>
      </c>
      <c r="AP36" s="52">
        <f t="shared" si="16"/>
        <v>0</v>
      </c>
    </row>
    <row r="37" spans="1:42" ht="20.100000000000001" customHeight="1" x14ac:dyDescent="0.25">
      <c r="A37" s="129"/>
      <c r="B37" s="182" t="s">
        <v>101</v>
      </c>
      <c r="C37" s="183"/>
      <c r="E37" s="189" t="s">
        <v>112</v>
      </c>
      <c r="F37" s="14">
        <v>1</v>
      </c>
      <c r="G37" s="14">
        <v>4.4749999999999996</v>
      </c>
      <c r="H37" s="14">
        <v>0.2</v>
      </c>
      <c r="I37" s="14">
        <v>0.45</v>
      </c>
      <c r="J37" s="11">
        <f t="shared" si="2"/>
        <v>0.40275</v>
      </c>
      <c r="K37" s="11">
        <f t="shared" si="3"/>
        <v>0.89500000000000002</v>
      </c>
      <c r="L37" s="11">
        <f t="shared" si="4"/>
        <v>2.7287499999999998</v>
      </c>
      <c r="M37" s="190">
        <v>0.125</v>
      </c>
      <c r="N37" s="14">
        <f t="shared" si="5"/>
        <v>0.32500000000000001</v>
      </c>
      <c r="O37" s="14">
        <f t="shared" si="6"/>
        <v>1.454375</v>
      </c>
      <c r="P37" s="190">
        <v>0.125</v>
      </c>
      <c r="Q37" s="14">
        <f t="shared" si="7"/>
        <v>0.32500000000000001</v>
      </c>
      <c r="R37" s="14">
        <f t="shared" si="8"/>
        <v>1.454375</v>
      </c>
      <c r="S37" s="14"/>
      <c r="T37" s="14"/>
      <c r="U37" s="191">
        <f t="shared" si="0"/>
        <v>0</v>
      </c>
      <c r="V37" s="14" t="s">
        <v>164</v>
      </c>
      <c r="W37" s="14" t="s">
        <v>165</v>
      </c>
      <c r="X37" s="14"/>
      <c r="Y37" s="14"/>
      <c r="Z37" s="14"/>
      <c r="AA37" s="14"/>
      <c r="AB37" s="14">
        <f t="shared" si="1"/>
        <v>0.18000000000000002</v>
      </c>
      <c r="AC37" s="14"/>
      <c r="AE37" s="11"/>
      <c r="AG37" s="52">
        <f t="shared" si="9"/>
        <v>3.6237499999999998</v>
      </c>
      <c r="AH37" s="52">
        <f t="shared" si="10"/>
        <v>0</v>
      </c>
      <c r="AI37" s="193">
        <f t="shared" si="17"/>
        <v>0</v>
      </c>
      <c r="AJ37" s="194">
        <f t="shared" si="36"/>
        <v>0</v>
      </c>
      <c r="AK37" s="195">
        <f t="shared" si="37"/>
        <v>3.6237499999999998</v>
      </c>
      <c r="AL37" s="196">
        <f t="shared" si="37"/>
        <v>0</v>
      </c>
      <c r="AM37" s="52">
        <f t="shared" si="13"/>
        <v>0</v>
      </c>
      <c r="AN37" s="52">
        <f t="shared" si="14"/>
        <v>0</v>
      </c>
      <c r="AO37" s="52">
        <f t="shared" si="15"/>
        <v>4.4749999999999996</v>
      </c>
      <c r="AP37" s="52">
        <f t="shared" si="16"/>
        <v>0</v>
      </c>
    </row>
    <row r="38" spans="1:42" ht="20.100000000000001" customHeight="1" x14ac:dyDescent="0.25">
      <c r="A38" s="129"/>
      <c r="B38" s="182" t="s">
        <v>101</v>
      </c>
      <c r="C38" s="183"/>
      <c r="E38" s="189" t="s">
        <v>622</v>
      </c>
      <c r="F38" s="14">
        <v>1</v>
      </c>
      <c r="G38" s="14">
        <f>0.65+0.575</f>
        <v>1.2250000000000001</v>
      </c>
      <c r="H38" s="14">
        <v>0.15</v>
      </c>
      <c r="I38" s="14">
        <v>0.45</v>
      </c>
      <c r="J38" s="11">
        <f t="shared" ref="J38" si="56">+PRODUCT(F38:I38)</f>
        <v>8.2687499999999997E-2</v>
      </c>
      <c r="K38" s="11">
        <f t="shared" ref="K38" si="57">PRODUCT(F38,G38,H38)</f>
        <v>0.18375</v>
      </c>
      <c r="L38" s="11">
        <f t="shared" ref="L38" si="58">+O38+R38-AB38+U38</f>
        <v>0.79625000000000012</v>
      </c>
      <c r="M38" s="190">
        <v>0.125</v>
      </c>
      <c r="N38" s="14">
        <f t="shared" ref="N38" si="59">+I38-M38</f>
        <v>0.32500000000000001</v>
      </c>
      <c r="O38" s="14">
        <f t="shared" ref="O38" si="60">+PRODUCT(F38,G38,N38)</f>
        <v>0.39812500000000006</v>
      </c>
      <c r="P38" s="190">
        <v>0.125</v>
      </c>
      <c r="Q38" s="14">
        <f t="shared" ref="Q38" si="61">+I38-P38</f>
        <v>0.32500000000000001</v>
      </c>
      <c r="R38" s="14">
        <f t="shared" ref="R38" si="62">+PRODUCT(F38:G38,Q38)</f>
        <v>0.39812500000000006</v>
      </c>
      <c r="S38" s="14"/>
      <c r="T38" s="14"/>
      <c r="U38" s="191">
        <f t="shared" ref="U38" si="63">+SUM(S38:T38)*(N38+Q38)/2*2</f>
        <v>0</v>
      </c>
      <c r="V38" s="14"/>
      <c r="W38" s="14"/>
      <c r="X38" s="14"/>
      <c r="Y38" s="14"/>
      <c r="Z38" s="14"/>
      <c r="AA38" s="14"/>
      <c r="AB38" s="14">
        <f t="shared" si="1"/>
        <v>0</v>
      </c>
      <c r="AC38" s="14"/>
      <c r="AE38" s="11"/>
      <c r="AG38" s="52">
        <f t="shared" ref="AG38" si="64">+IF(I38&lt;0.75,(K38+L38),0)</f>
        <v>0.98000000000000009</v>
      </c>
      <c r="AH38" s="52">
        <f t="shared" ref="AH38" si="65">+IF(I38&lt;0.75,0,(K38+L38))</f>
        <v>0</v>
      </c>
      <c r="AI38" s="193">
        <f t="shared" ref="AI38" si="66">IF(P38=0,(+IF(I38&lt;0.75,(K38+L38),0)),0)</f>
        <v>0</v>
      </c>
      <c r="AJ38" s="194">
        <f t="shared" ref="AJ38" si="67">IF(P38=0,(+IF(I38&lt;0.75,0,(K38+L38))),0)</f>
        <v>0</v>
      </c>
      <c r="AK38" s="195">
        <f t="shared" ref="AK38" si="68">+AG38-AI38</f>
        <v>0.98000000000000009</v>
      </c>
      <c r="AL38" s="196">
        <f t="shared" ref="AL38" si="69">+AH38-AJ38</f>
        <v>0</v>
      </c>
      <c r="AM38" s="52">
        <f t="shared" ref="AM38" si="70">+IF(AI38=0,0,G38)</f>
        <v>0</v>
      </c>
      <c r="AN38" s="52">
        <f t="shared" ref="AN38" si="71">+IF(AJ38=0,0,G38)</f>
        <v>0</v>
      </c>
      <c r="AO38" s="52">
        <f t="shared" ref="AO38" si="72">+IF(AK38=0,0,G38)</f>
        <v>1.2250000000000001</v>
      </c>
      <c r="AP38" s="52">
        <f t="shared" ref="AP38" si="73">+IF(AL38=0,0,G38)</f>
        <v>0</v>
      </c>
    </row>
    <row r="39" spans="1:42" ht="20.100000000000001" customHeight="1" x14ac:dyDescent="0.25">
      <c r="A39" s="129"/>
      <c r="B39" s="182" t="s">
        <v>101</v>
      </c>
      <c r="C39" s="183"/>
      <c r="E39" s="189" t="s">
        <v>113</v>
      </c>
      <c r="F39" s="14">
        <v>1</v>
      </c>
      <c r="G39" s="14">
        <v>4.4000000000000004</v>
      </c>
      <c r="H39" s="14">
        <v>0.2</v>
      </c>
      <c r="I39" s="14">
        <v>0.45</v>
      </c>
      <c r="J39" s="11">
        <f t="shared" si="2"/>
        <v>0.39600000000000007</v>
      </c>
      <c r="K39" s="11">
        <f t="shared" si="3"/>
        <v>0.88000000000000012</v>
      </c>
      <c r="L39" s="11">
        <f t="shared" si="4"/>
        <v>4.0875000000000004</v>
      </c>
      <c r="M39" s="190">
        <v>0.15</v>
      </c>
      <c r="N39" s="14">
        <f t="shared" si="5"/>
        <v>0.30000000000000004</v>
      </c>
      <c r="O39" s="14">
        <f t="shared" si="6"/>
        <v>1.3200000000000003</v>
      </c>
      <c r="P39" s="190"/>
      <c r="Q39" s="14">
        <f t="shared" si="7"/>
        <v>0.45</v>
      </c>
      <c r="R39" s="14">
        <f t="shared" si="8"/>
        <v>1.9800000000000002</v>
      </c>
      <c r="S39" s="14">
        <v>0.45</v>
      </c>
      <c r="T39" s="14">
        <v>0.6</v>
      </c>
      <c r="U39" s="191">
        <f t="shared" si="0"/>
        <v>0.78750000000000009</v>
      </c>
      <c r="V39" s="14"/>
      <c r="W39" s="14"/>
      <c r="X39" s="14"/>
      <c r="Y39" s="14"/>
      <c r="Z39" s="14"/>
      <c r="AA39" s="14"/>
      <c r="AB39" s="14">
        <f t="shared" si="1"/>
        <v>0</v>
      </c>
      <c r="AC39" s="14"/>
      <c r="AE39" s="11"/>
      <c r="AG39" s="52">
        <f t="shared" si="9"/>
        <v>4.9675000000000002</v>
      </c>
      <c r="AH39" s="52">
        <f t="shared" si="10"/>
        <v>0</v>
      </c>
      <c r="AI39" s="193">
        <f t="shared" si="17"/>
        <v>4.9675000000000002</v>
      </c>
      <c r="AJ39" s="194">
        <f t="shared" si="36"/>
        <v>0</v>
      </c>
      <c r="AK39" s="195">
        <f t="shared" si="37"/>
        <v>0</v>
      </c>
      <c r="AL39" s="196">
        <f t="shared" si="37"/>
        <v>0</v>
      </c>
      <c r="AM39" s="52">
        <f t="shared" si="13"/>
        <v>4.4000000000000004</v>
      </c>
      <c r="AN39" s="52">
        <f t="shared" si="14"/>
        <v>0</v>
      </c>
      <c r="AO39" s="52">
        <f t="shared" si="15"/>
        <v>0</v>
      </c>
      <c r="AP39" s="52">
        <f t="shared" si="16"/>
        <v>0</v>
      </c>
    </row>
    <row r="40" spans="1:42" ht="20.100000000000001" customHeight="1" x14ac:dyDescent="0.25">
      <c r="A40" s="129"/>
      <c r="B40" s="182" t="s">
        <v>101</v>
      </c>
      <c r="C40" s="183"/>
      <c r="E40" s="189" t="s">
        <v>114</v>
      </c>
      <c r="F40" s="14">
        <v>0</v>
      </c>
      <c r="G40" s="14"/>
      <c r="H40" s="14"/>
      <c r="I40" s="14"/>
      <c r="J40" s="11">
        <f t="shared" si="2"/>
        <v>0</v>
      </c>
      <c r="K40" s="11">
        <f t="shared" si="3"/>
        <v>0</v>
      </c>
      <c r="L40" s="11">
        <f t="shared" si="4"/>
        <v>0</v>
      </c>
      <c r="M40" s="190"/>
      <c r="N40" s="14"/>
      <c r="O40" s="14"/>
      <c r="P40" s="190"/>
      <c r="Q40" s="14">
        <f t="shared" si="7"/>
        <v>0</v>
      </c>
      <c r="R40" s="14">
        <f t="shared" si="8"/>
        <v>0</v>
      </c>
      <c r="S40" s="14"/>
      <c r="T40" s="14"/>
      <c r="U40" s="191">
        <f t="shared" si="0"/>
        <v>0</v>
      </c>
      <c r="V40" s="14"/>
      <c r="W40" s="14"/>
      <c r="X40" s="14"/>
      <c r="Y40" s="14"/>
      <c r="Z40" s="14"/>
      <c r="AA40" s="14"/>
      <c r="AB40" s="14">
        <f t="shared" si="1"/>
        <v>0</v>
      </c>
      <c r="AC40" s="14"/>
      <c r="AE40" s="11"/>
      <c r="AG40" s="52">
        <f t="shared" si="9"/>
        <v>0</v>
      </c>
      <c r="AH40" s="52">
        <f t="shared" si="10"/>
        <v>0</v>
      </c>
      <c r="AI40" s="193">
        <f t="shared" si="17"/>
        <v>0</v>
      </c>
      <c r="AJ40" s="194">
        <f t="shared" si="36"/>
        <v>0</v>
      </c>
      <c r="AK40" s="195">
        <f t="shared" si="37"/>
        <v>0</v>
      </c>
      <c r="AL40" s="196">
        <f t="shared" si="37"/>
        <v>0</v>
      </c>
      <c r="AM40" s="52">
        <f t="shared" si="13"/>
        <v>0</v>
      </c>
      <c r="AN40" s="52">
        <f t="shared" si="14"/>
        <v>0</v>
      </c>
      <c r="AO40" s="52">
        <f t="shared" si="15"/>
        <v>0</v>
      </c>
      <c r="AP40" s="52">
        <f t="shared" si="16"/>
        <v>0</v>
      </c>
    </row>
    <row r="41" spans="1:42" ht="20.100000000000001" customHeight="1" x14ac:dyDescent="0.25">
      <c r="A41" s="129"/>
      <c r="B41" s="182" t="s">
        <v>101</v>
      </c>
      <c r="C41" s="183"/>
      <c r="E41" s="189" t="s">
        <v>115</v>
      </c>
      <c r="F41" s="14">
        <v>1</v>
      </c>
      <c r="G41" s="14">
        <v>1.75</v>
      </c>
      <c r="H41" s="14">
        <v>0.2</v>
      </c>
      <c r="I41" s="14">
        <v>0.45</v>
      </c>
      <c r="J41" s="11">
        <f t="shared" si="2"/>
        <v>0.15750000000000003</v>
      </c>
      <c r="K41" s="11">
        <f t="shared" si="3"/>
        <v>0.35000000000000003</v>
      </c>
      <c r="L41" s="11">
        <f t="shared" si="4"/>
        <v>1.1375</v>
      </c>
      <c r="M41" s="190">
        <v>0.125</v>
      </c>
      <c r="N41" s="14">
        <f t="shared" si="5"/>
        <v>0.32500000000000001</v>
      </c>
      <c r="O41" s="14">
        <f t="shared" si="6"/>
        <v>0.56874999999999998</v>
      </c>
      <c r="P41" s="190">
        <v>0.125</v>
      </c>
      <c r="Q41" s="14">
        <f t="shared" si="7"/>
        <v>0.32500000000000001</v>
      </c>
      <c r="R41" s="14">
        <f t="shared" si="8"/>
        <v>0.56874999999999998</v>
      </c>
      <c r="S41" s="14"/>
      <c r="T41" s="14"/>
      <c r="U41" s="191">
        <f t="shared" si="0"/>
        <v>0</v>
      </c>
      <c r="V41" s="14"/>
      <c r="W41" s="14"/>
      <c r="X41" s="14"/>
      <c r="Y41" s="14"/>
      <c r="Z41" s="14"/>
      <c r="AA41" s="14"/>
      <c r="AB41" s="14">
        <f t="shared" si="1"/>
        <v>0</v>
      </c>
      <c r="AC41" s="14"/>
      <c r="AE41" s="11"/>
      <c r="AG41" s="52">
        <f t="shared" si="9"/>
        <v>1.4875</v>
      </c>
      <c r="AH41" s="52">
        <f t="shared" si="10"/>
        <v>0</v>
      </c>
      <c r="AI41" s="193">
        <f t="shared" si="17"/>
        <v>0</v>
      </c>
      <c r="AJ41" s="194">
        <f t="shared" si="36"/>
        <v>0</v>
      </c>
      <c r="AK41" s="195">
        <f t="shared" si="37"/>
        <v>1.4875</v>
      </c>
      <c r="AL41" s="196">
        <f t="shared" si="37"/>
        <v>0</v>
      </c>
      <c r="AM41" s="52">
        <f t="shared" si="13"/>
        <v>0</v>
      </c>
      <c r="AN41" s="52">
        <f t="shared" si="14"/>
        <v>0</v>
      </c>
      <c r="AO41" s="52">
        <f t="shared" si="15"/>
        <v>1.75</v>
      </c>
      <c r="AP41" s="52">
        <f t="shared" si="16"/>
        <v>0</v>
      </c>
    </row>
    <row r="42" spans="1:42" ht="20.100000000000001" customHeight="1" x14ac:dyDescent="0.25">
      <c r="A42" s="129"/>
      <c r="B42" s="182" t="s">
        <v>101</v>
      </c>
      <c r="C42" s="183"/>
      <c r="E42" s="189" t="s">
        <v>116</v>
      </c>
      <c r="F42" s="14">
        <v>1</v>
      </c>
      <c r="G42" s="14">
        <v>4.75</v>
      </c>
      <c r="H42" s="14">
        <v>0.2</v>
      </c>
      <c r="I42" s="14">
        <v>0.45</v>
      </c>
      <c r="J42" s="11">
        <f t="shared" si="2"/>
        <v>0.42750000000000005</v>
      </c>
      <c r="K42" s="11">
        <f t="shared" si="3"/>
        <v>0.95000000000000007</v>
      </c>
      <c r="L42" s="11">
        <f t="shared" si="4"/>
        <v>3.6812500000000004</v>
      </c>
      <c r="M42" s="190">
        <v>0.125</v>
      </c>
      <c r="N42" s="14">
        <f t="shared" si="5"/>
        <v>0.32500000000000001</v>
      </c>
      <c r="O42" s="14">
        <f t="shared" si="6"/>
        <v>1.54375</v>
      </c>
      <c r="P42" s="190"/>
      <c r="Q42" s="14">
        <f t="shared" si="7"/>
        <v>0.45</v>
      </c>
      <c r="R42" s="14">
        <f t="shared" si="8"/>
        <v>2.1375000000000002</v>
      </c>
      <c r="S42" s="14"/>
      <c r="T42" s="14"/>
      <c r="U42" s="191">
        <f t="shared" si="0"/>
        <v>0</v>
      </c>
      <c r="V42" s="14"/>
      <c r="W42" s="14"/>
      <c r="X42" s="14"/>
      <c r="Y42" s="14"/>
      <c r="Z42" s="14"/>
      <c r="AA42" s="14"/>
      <c r="AB42" s="14">
        <f t="shared" si="1"/>
        <v>0</v>
      </c>
      <c r="AC42" s="14"/>
      <c r="AE42" s="11"/>
      <c r="AG42" s="52">
        <f t="shared" si="9"/>
        <v>4.6312500000000005</v>
      </c>
      <c r="AH42" s="52">
        <f t="shared" si="10"/>
        <v>0</v>
      </c>
      <c r="AI42" s="193">
        <f t="shared" si="17"/>
        <v>4.6312500000000005</v>
      </c>
      <c r="AJ42" s="194">
        <f t="shared" si="36"/>
        <v>0</v>
      </c>
      <c r="AK42" s="195">
        <f t="shared" si="37"/>
        <v>0</v>
      </c>
      <c r="AL42" s="196">
        <f t="shared" si="37"/>
        <v>0</v>
      </c>
      <c r="AM42" s="52">
        <f t="shared" si="13"/>
        <v>4.75</v>
      </c>
      <c r="AN42" s="52">
        <f t="shared" si="14"/>
        <v>0</v>
      </c>
      <c r="AO42" s="52">
        <f t="shared" si="15"/>
        <v>0</v>
      </c>
      <c r="AP42" s="52">
        <f t="shared" si="16"/>
        <v>0</v>
      </c>
    </row>
    <row r="43" spans="1:42" ht="20.100000000000001" customHeight="1" x14ac:dyDescent="0.25">
      <c r="A43" s="129"/>
      <c r="B43" s="182" t="s">
        <v>101</v>
      </c>
      <c r="C43" s="183"/>
      <c r="E43" s="189" t="s">
        <v>117</v>
      </c>
      <c r="F43" s="14">
        <v>1</v>
      </c>
      <c r="G43" s="14">
        <v>3.8</v>
      </c>
      <c r="H43" s="14">
        <v>0.2</v>
      </c>
      <c r="I43" s="14">
        <v>0.45</v>
      </c>
      <c r="J43" s="11">
        <f t="shared" si="2"/>
        <v>0.34200000000000003</v>
      </c>
      <c r="K43" s="11">
        <f t="shared" si="3"/>
        <v>0.76</v>
      </c>
      <c r="L43" s="11">
        <f t="shared" si="4"/>
        <v>2.38</v>
      </c>
      <c r="M43" s="190">
        <v>0.125</v>
      </c>
      <c r="N43" s="14">
        <f t="shared" si="5"/>
        <v>0.32500000000000001</v>
      </c>
      <c r="O43" s="14">
        <f t="shared" si="6"/>
        <v>1.2349999999999999</v>
      </c>
      <c r="P43" s="190">
        <v>0.125</v>
      </c>
      <c r="Q43" s="14">
        <f t="shared" si="7"/>
        <v>0.32500000000000001</v>
      </c>
      <c r="R43" s="14">
        <f t="shared" si="8"/>
        <v>1.2349999999999999</v>
      </c>
      <c r="S43" s="14"/>
      <c r="T43" s="14"/>
      <c r="U43" s="191">
        <f t="shared" si="0"/>
        <v>0</v>
      </c>
      <c r="V43" s="14" t="s">
        <v>164</v>
      </c>
      <c r="W43" s="14"/>
      <c r="X43" s="14"/>
      <c r="Y43" s="14"/>
      <c r="Z43" s="14"/>
      <c r="AA43" s="14"/>
      <c r="AB43" s="14">
        <f t="shared" si="1"/>
        <v>9.0000000000000011E-2</v>
      </c>
      <c r="AC43" s="14"/>
      <c r="AE43" s="11"/>
      <c r="AG43" s="52">
        <f t="shared" si="9"/>
        <v>3.1399999999999997</v>
      </c>
      <c r="AH43" s="52">
        <f t="shared" si="10"/>
        <v>0</v>
      </c>
      <c r="AI43" s="193">
        <f t="shared" si="17"/>
        <v>0</v>
      </c>
      <c r="AJ43" s="194">
        <f t="shared" si="36"/>
        <v>0</v>
      </c>
      <c r="AK43" s="195">
        <f t="shared" si="37"/>
        <v>3.1399999999999997</v>
      </c>
      <c r="AL43" s="196">
        <f t="shared" si="37"/>
        <v>0</v>
      </c>
      <c r="AM43" s="52">
        <f t="shared" si="13"/>
        <v>0</v>
      </c>
      <c r="AN43" s="52">
        <f t="shared" si="14"/>
        <v>0</v>
      </c>
      <c r="AO43" s="52">
        <f t="shared" si="15"/>
        <v>3.8</v>
      </c>
      <c r="AP43" s="52">
        <f t="shared" si="16"/>
        <v>0</v>
      </c>
    </row>
    <row r="44" spans="1:42" ht="20.100000000000001" customHeight="1" x14ac:dyDescent="0.25">
      <c r="A44" s="129"/>
      <c r="B44" s="182" t="s">
        <v>101</v>
      </c>
      <c r="C44" s="183"/>
      <c r="E44" s="189" t="s">
        <v>118</v>
      </c>
      <c r="F44" s="14">
        <v>0</v>
      </c>
      <c r="G44" s="14"/>
      <c r="H44" s="14"/>
      <c r="I44" s="14"/>
      <c r="J44" s="11">
        <f t="shared" si="2"/>
        <v>0</v>
      </c>
      <c r="K44" s="11">
        <f t="shared" si="3"/>
        <v>0</v>
      </c>
      <c r="L44" s="11">
        <f t="shared" si="4"/>
        <v>0</v>
      </c>
      <c r="M44" s="190"/>
      <c r="N44" s="14">
        <f t="shared" si="5"/>
        <v>0</v>
      </c>
      <c r="O44" s="14">
        <f t="shared" si="6"/>
        <v>0</v>
      </c>
      <c r="P44" s="190"/>
      <c r="Q44" s="14">
        <f t="shared" si="7"/>
        <v>0</v>
      </c>
      <c r="R44" s="14">
        <f t="shared" si="8"/>
        <v>0</v>
      </c>
      <c r="S44" s="14"/>
      <c r="T44" s="14"/>
      <c r="U44" s="191">
        <f t="shared" si="0"/>
        <v>0</v>
      </c>
      <c r="V44" s="14"/>
      <c r="W44" s="14"/>
      <c r="X44" s="14"/>
      <c r="Y44" s="14"/>
      <c r="Z44" s="14"/>
      <c r="AA44" s="14"/>
      <c r="AB44" s="14">
        <f t="shared" si="1"/>
        <v>0</v>
      </c>
      <c r="AC44" s="14"/>
      <c r="AE44" s="11"/>
      <c r="AG44" s="52">
        <f t="shared" si="9"/>
        <v>0</v>
      </c>
      <c r="AH44" s="52">
        <f t="shared" si="10"/>
        <v>0</v>
      </c>
      <c r="AI44" s="193">
        <f t="shared" si="17"/>
        <v>0</v>
      </c>
      <c r="AJ44" s="194">
        <f t="shared" si="36"/>
        <v>0</v>
      </c>
      <c r="AK44" s="195">
        <f t="shared" si="37"/>
        <v>0</v>
      </c>
      <c r="AL44" s="196">
        <f t="shared" si="37"/>
        <v>0</v>
      </c>
      <c r="AM44" s="52">
        <f t="shared" si="13"/>
        <v>0</v>
      </c>
      <c r="AN44" s="52">
        <f t="shared" si="14"/>
        <v>0</v>
      </c>
      <c r="AO44" s="52">
        <f t="shared" si="15"/>
        <v>0</v>
      </c>
      <c r="AP44" s="52">
        <f t="shared" si="16"/>
        <v>0</v>
      </c>
    </row>
    <row r="45" spans="1:42" ht="20.100000000000001" customHeight="1" x14ac:dyDescent="0.25">
      <c r="A45" s="129"/>
      <c r="B45" s="182" t="s">
        <v>101</v>
      </c>
      <c r="C45" s="183"/>
      <c r="E45" s="189" t="s">
        <v>119</v>
      </c>
      <c r="F45" s="14">
        <v>1</v>
      </c>
      <c r="G45" s="14">
        <v>4.25</v>
      </c>
      <c r="H45" s="14">
        <v>0.2</v>
      </c>
      <c r="I45" s="14">
        <v>0.45</v>
      </c>
      <c r="J45" s="11">
        <f t="shared" si="2"/>
        <v>0.38250000000000006</v>
      </c>
      <c r="K45" s="11">
        <f t="shared" si="3"/>
        <v>0.85000000000000009</v>
      </c>
      <c r="L45" s="11">
        <f t="shared" si="4"/>
        <v>3.9750000000000001</v>
      </c>
      <c r="M45" s="190">
        <v>0.15</v>
      </c>
      <c r="N45" s="14">
        <f t="shared" si="5"/>
        <v>0.30000000000000004</v>
      </c>
      <c r="O45" s="14">
        <f t="shared" si="6"/>
        <v>1.2750000000000001</v>
      </c>
      <c r="P45" s="190"/>
      <c r="Q45" s="14">
        <f t="shared" si="7"/>
        <v>0.45</v>
      </c>
      <c r="R45" s="14">
        <f t="shared" si="8"/>
        <v>1.9125000000000001</v>
      </c>
      <c r="S45" s="14">
        <v>0.45</v>
      </c>
      <c r="T45" s="14">
        <v>0.6</v>
      </c>
      <c r="U45" s="191">
        <f t="shared" si="0"/>
        <v>0.78750000000000009</v>
      </c>
      <c r="V45" s="14"/>
      <c r="W45" s="14"/>
      <c r="X45" s="14"/>
      <c r="Y45" s="14"/>
      <c r="Z45" s="14"/>
      <c r="AA45" s="14"/>
      <c r="AB45" s="14">
        <f t="shared" si="1"/>
        <v>0</v>
      </c>
      <c r="AC45" s="14"/>
      <c r="AE45" s="11"/>
      <c r="AG45" s="52">
        <f t="shared" si="9"/>
        <v>4.8250000000000002</v>
      </c>
      <c r="AH45" s="52">
        <f t="shared" si="10"/>
        <v>0</v>
      </c>
      <c r="AI45" s="193">
        <f t="shared" si="17"/>
        <v>4.8250000000000002</v>
      </c>
      <c r="AJ45" s="194">
        <f t="shared" si="36"/>
        <v>0</v>
      </c>
      <c r="AK45" s="195">
        <f t="shared" si="37"/>
        <v>0</v>
      </c>
      <c r="AL45" s="196">
        <f t="shared" si="37"/>
        <v>0</v>
      </c>
      <c r="AM45" s="52">
        <f t="shared" si="13"/>
        <v>4.25</v>
      </c>
      <c r="AN45" s="52">
        <f t="shared" si="14"/>
        <v>0</v>
      </c>
      <c r="AO45" s="52">
        <f t="shared" si="15"/>
        <v>0</v>
      </c>
      <c r="AP45" s="52">
        <f t="shared" si="16"/>
        <v>0</v>
      </c>
    </row>
    <row r="46" spans="1:42" ht="20.100000000000001" customHeight="1" x14ac:dyDescent="0.25">
      <c r="A46" s="129"/>
      <c r="B46" s="182" t="s">
        <v>101</v>
      </c>
      <c r="C46" s="183"/>
      <c r="E46" s="189" t="s">
        <v>120</v>
      </c>
      <c r="F46" s="10">
        <v>0</v>
      </c>
      <c r="G46" s="14"/>
      <c r="H46" s="14"/>
      <c r="I46" s="14"/>
      <c r="J46" s="11">
        <f t="shared" si="2"/>
        <v>0</v>
      </c>
      <c r="K46" s="11">
        <f t="shared" si="3"/>
        <v>0</v>
      </c>
      <c r="L46" s="11">
        <f t="shared" si="4"/>
        <v>0</v>
      </c>
      <c r="M46" s="190"/>
      <c r="N46" s="14">
        <f t="shared" si="5"/>
        <v>0</v>
      </c>
      <c r="O46" s="14">
        <f t="shared" si="6"/>
        <v>0</v>
      </c>
      <c r="P46" s="190"/>
      <c r="Q46" s="14">
        <f t="shared" si="7"/>
        <v>0</v>
      </c>
      <c r="R46" s="14">
        <f t="shared" si="8"/>
        <v>0</v>
      </c>
      <c r="S46" s="14"/>
      <c r="T46" s="14"/>
      <c r="U46" s="191">
        <f t="shared" si="0"/>
        <v>0</v>
      </c>
      <c r="V46" s="14"/>
      <c r="W46" s="14"/>
      <c r="X46" s="14"/>
      <c r="Y46" s="14"/>
      <c r="Z46" s="14"/>
      <c r="AA46" s="14"/>
      <c r="AB46" s="14">
        <f t="shared" si="1"/>
        <v>0</v>
      </c>
      <c r="AC46" s="14"/>
      <c r="AE46" s="11"/>
      <c r="AG46" s="52">
        <f t="shared" si="9"/>
        <v>0</v>
      </c>
      <c r="AH46" s="52">
        <f t="shared" si="10"/>
        <v>0</v>
      </c>
      <c r="AI46" s="193">
        <f t="shared" si="17"/>
        <v>0</v>
      </c>
      <c r="AJ46" s="194">
        <f t="shared" si="36"/>
        <v>0</v>
      </c>
      <c r="AK46" s="195">
        <f t="shared" si="37"/>
        <v>0</v>
      </c>
      <c r="AL46" s="196">
        <f t="shared" si="37"/>
        <v>0</v>
      </c>
      <c r="AM46" s="52">
        <f t="shared" si="13"/>
        <v>0</v>
      </c>
      <c r="AN46" s="52">
        <f t="shared" si="14"/>
        <v>0</v>
      </c>
      <c r="AO46" s="52">
        <f t="shared" si="15"/>
        <v>0</v>
      </c>
      <c r="AP46" s="52">
        <f t="shared" si="16"/>
        <v>0</v>
      </c>
    </row>
    <row r="47" spans="1:42" ht="20.100000000000001" customHeight="1" x14ac:dyDescent="0.25">
      <c r="A47" s="129"/>
      <c r="B47" s="182" t="s">
        <v>101</v>
      </c>
      <c r="C47" s="183"/>
      <c r="E47" s="189" t="s">
        <v>121</v>
      </c>
      <c r="F47" s="10">
        <v>0</v>
      </c>
      <c r="G47" s="14"/>
      <c r="H47" s="14"/>
      <c r="I47" s="14"/>
      <c r="J47" s="11">
        <f t="shared" si="2"/>
        <v>0</v>
      </c>
      <c r="K47" s="11">
        <f t="shared" si="3"/>
        <v>0</v>
      </c>
      <c r="L47" s="11">
        <f t="shared" si="4"/>
        <v>0</v>
      </c>
      <c r="M47" s="190"/>
      <c r="N47" s="14">
        <f t="shared" si="5"/>
        <v>0</v>
      </c>
      <c r="O47" s="14">
        <f t="shared" si="6"/>
        <v>0</v>
      </c>
      <c r="P47" s="190"/>
      <c r="Q47" s="14">
        <f t="shared" si="7"/>
        <v>0</v>
      </c>
      <c r="R47" s="14">
        <f t="shared" si="8"/>
        <v>0</v>
      </c>
      <c r="S47" s="14"/>
      <c r="T47" s="14"/>
      <c r="U47" s="191">
        <f t="shared" si="0"/>
        <v>0</v>
      </c>
      <c r="V47" s="14"/>
      <c r="W47" s="14"/>
      <c r="X47" s="14"/>
      <c r="Y47" s="14"/>
      <c r="Z47" s="14"/>
      <c r="AA47" s="14"/>
      <c r="AB47" s="14">
        <f t="shared" si="1"/>
        <v>0</v>
      </c>
      <c r="AC47" s="14"/>
      <c r="AE47" s="11"/>
      <c r="AG47" s="52">
        <f t="shared" si="9"/>
        <v>0</v>
      </c>
      <c r="AH47" s="52">
        <f t="shared" si="10"/>
        <v>0</v>
      </c>
      <c r="AI47" s="193">
        <f t="shared" si="17"/>
        <v>0</v>
      </c>
      <c r="AJ47" s="194">
        <f t="shared" si="36"/>
        <v>0</v>
      </c>
      <c r="AK47" s="195">
        <f t="shared" si="37"/>
        <v>0</v>
      </c>
      <c r="AL47" s="196">
        <f t="shared" si="37"/>
        <v>0</v>
      </c>
      <c r="AM47" s="52">
        <f t="shared" si="13"/>
        <v>0</v>
      </c>
      <c r="AN47" s="52">
        <f t="shared" si="14"/>
        <v>0</v>
      </c>
      <c r="AO47" s="52">
        <f t="shared" si="15"/>
        <v>0</v>
      </c>
      <c r="AP47" s="52">
        <f t="shared" si="16"/>
        <v>0</v>
      </c>
    </row>
    <row r="48" spans="1:42" ht="20.100000000000001" customHeight="1" x14ac:dyDescent="0.25">
      <c r="A48" s="129"/>
      <c r="B48" s="182" t="s">
        <v>101</v>
      </c>
      <c r="C48" s="183"/>
      <c r="E48" s="189" t="s">
        <v>122</v>
      </c>
      <c r="F48" s="14">
        <v>1</v>
      </c>
      <c r="G48" s="14">
        <v>2.8</v>
      </c>
      <c r="H48" s="14">
        <v>0.2</v>
      </c>
      <c r="I48" s="14">
        <v>0.45</v>
      </c>
      <c r="J48" s="11">
        <f t="shared" si="2"/>
        <v>0.252</v>
      </c>
      <c r="K48" s="11">
        <f t="shared" si="3"/>
        <v>0.55999999999999994</v>
      </c>
      <c r="L48" s="11">
        <f t="shared" si="4"/>
        <v>2.3149999999999999</v>
      </c>
      <c r="M48" s="190">
        <v>0.125</v>
      </c>
      <c r="N48" s="14">
        <f t="shared" si="5"/>
        <v>0.32500000000000001</v>
      </c>
      <c r="O48" s="14">
        <f t="shared" si="6"/>
        <v>0.90999999999999992</v>
      </c>
      <c r="P48" s="190">
        <v>0.125</v>
      </c>
      <c r="Q48" s="14">
        <f t="shared" si="7"/>
        <v>0.32500000000000001</v>
      </c>
      <c r="R48" s="14">
        <f t="shared" si="8"/>
        <v>0.90999999999999992</v>
      </c>
      <c r="S48" s="14">
        <v>0.45</v>
      </c>
      <c r="T48" s="14">
        <v>0.45</v>
      </c>
      <c r="U48" s="191">
        <f t="shared" si="0"/>
        <v>0.58500000000000008</v>
      </c>
      <c r="V48" s="14" t="s">
        <v>150</v>
      </c>
      <c r="W48" s="14"/>
      <c r="X48" s="14"/>
      <c r="Y48" s="14"/>
      <c r="Z48" s="14"/>
      <c r="AA48" s="14"/>
      <c r="AB48" s="14">
        <f t="shared" si="1"/>
        <v>9.0000000000000011E-2</v>
      </c>
      <c r="AC48" s="14"/>
      <c r="AE48" s="11"/>
      <c r="AG48" s="52">
        <f t="shared" si="9"/>
        <v>2.875</v>
      </c>
      <c r="AH48" s="52">
        <f t="shared" si="10"/>
        <v>0</v>
      </c>
      <c r="AI48" s="193">
        <f t="shared" si="17"/>
        <v>0</v>
      </c>
      <c r="AJ48" s="194">
        <f t="shared" si="36"/>
        <v>0</v>
      </c>
      <c r="AK48" s="195">
        <f t="shared" si="37"/>
        <v>2.875</v>
      </c>
      <c r="AL48" s="196">
        <f t="shared" si="37"/>
        <v>0</v>
      </c>
      <c r="AM48" s="52">
        <f t="shared" si="13"/>
        <v>0</v>
      </c>
      <c r="AN48" s="52">
        <f t="shared" si="14"/>
        <v>0</v>
      </c>
      <c r="AO48" s="52">
        <f t="shared" si="15"/>
        <v>2.8</v>
      </c>
      <c r="AP48" s="52">
        <f t="shared" si="16"/>
        <v>0</v>
      </c>
    </row>
    <row r="49" spans="1:42" ht="20.100000000000001" customHeight="1" x14ac:dyDescent="0.25">
      <c r="A49" s="129"/>
      <c r="B49" s="182" t="s">
        <v>101</v>
      </c>
      <c r="C49" s="183"/>
      <c r="E49" s="189" t="s">
        <v>123</v>
      </c>
      <c r="F49" s="14">
        <v>1</v>
      </c>
      <c r="G49" s="14">
        <v>3.6</v>
      </c>
      <c r="H49" s="14">
        <v>0.2</v>
      </c>
      <c r="I49" s="14">
        <v>0.45</v>
      </c>
      <c r="J49" s="11">
        <f t="shared" si="2"/>
        <v>0.32400000000000007</v>
      </c>
      <c r="K49" s="11">
        <f t="shared" si="3"/>
        <v>0.72000000000000008</v>
      </c>
      <c r="L49" s="11">
        <f t="shared" si="4"/>
        <v>2.5425000000000004</v>
      </c>
      <c r="M49" s="190">
        <v>0.125</v>
      </c>
      <c r="N49" s="14">
        <f t="shared" si="5"/>
        <v>0.32500000000000001</v>
      </c>
      <c r="O49" s="14">
        <f t="shared" si="6"/>
        <v>1.1700000000000002</v>
      </c>
      <c r="P49" s="190">
        <v>0.125</v>
      </c>
      <c r="Q49" s="14">
        <f t="shared" si="7"/>
        <v>0.32500000000000001</v>
      </c>
      <c r="R49" s="14">
        <f t="shared" si="8"/>
        <v>1.1700000000000002</v>
      </c>
      <c r="S49" s="14">
        <v>0.45</v>
      </c>
      <c r="T49" s="14"/>
      <c r="U49" s="191">
        <f t="shared" si="0"/>
        <v>0.29250000000000004</v>
      </c>
      <c r="V49" s="14" t="s">
        <v>157</v>
      </c>
      <c r="W49" s="14"/>
      <c r="X49" s="14"/>
      <c r="Y49" s="14"/>
      <c r="Z49" s="14"/>
      <c r="AA49" s="14"/>
      <c r="AB49" s="14">
        <f t="shared" si="1"/>
        <v>9.0000000000000011E-2</v>
      </c>
      <c r="AC49" s="14"/>
      <c r="AE49" s="11"/>
      <c r="AG49" s="52">
        <f t="shared" si="9"/>
        <v>3.2625000000000006</v>
      </c>
      <c r="AH49" s="52">
        <f t="shared" si="10"/>
        <v>0</v>
      </c>
      <c r="AI49" s="193">
        <f t="shared" si="17"/>
        <v>0</v>
      </c>
      <c r="AJ49" s="194">
        <f t="shared" si="36"/>
        <v>0</v>
      </c>
      <c r="AK49" s="195">
        <f t="shared" si="37"/>
        <v>3.2625000000000006</v>
      </c>
      <c r="AL49" s="196">
        <f t="shared" si="37"/>
        <v>0</v>
      </c>
      <c r="AM49" s="52">
        <f t="shared" si="13"/>
        <v>0</v>
      </c>
      <c r="AN49" s="52">
        <f t="shared" si="14"/>
        <v>0</v>
      </c>
      <c r="AO49" s="52">
        <f t="shared" si="15"/>
        <v>3.6</v>
      </c>
      <c r="AP49" s="52">
        <f t="shared" si="16"/>
        <v>0</v>
      </c>
    </row>
    <row r="50" spans="1:42" ht="20.100000000000001" customHeight="1" x14ac:dyDescent="0.25">
      <c r="A50" s="129"/>
      <c r="B50" s="182" t="s">
        <v>101</v>
      </c>
      <c r="C50" s="183"/>
      <c r="E50" s="189" t="s">
        <v>124</v>
      </c>
      <c r="F50" s="14">
        <v>1</v>
      </c>
      <c r="G50" s="14">
        <v>3.6</v>
      </c>
      <c r="H50" s="14">
        <v>0.2</v>
      </c>
      <c r="I50" s="14">
        <v>0.45</v>
      </c>
      <c r="J50" s="11">
        <f>+PRODUCT(F50:I50)</f>
        <v>0.32400000000000007</v>
      </c>
      <c r="K50" s="11">
        <f>PRODUCT(F50,G50,H50)</f>
        <v>0.72000000000000008</v>
      </c>
      <c r="L50" s="11">
        <f>+O50+R50-AB50+U50</f>
        <v>1.3162500000000001</v>
      </c>
      <c r="M50" s="190">
        <v>0.125</v>
      </c>
      <c r="N50" s="14"/>
      <c r="O50" s="14"/>
      <c r="P50" s="190">
        <v>0.125</v>
      </c>
      <c r="Q50" s="14">
        <f>+I50-P50</f>
        <v>0.32500000000000001</v>
      </c>
      <c r="R50" s="14">
        <f>+PRODUCT(F50:G50,Q50)</f>
        <v>1.1700000000000002</v>
      </c>
      <c r="S50" s="14">
        <v>0.45</v>
      </c>
      <c r="T50" s="14"/>
      <c r="U50" s="191">
        <f>+SUM(S50:T50)*(N50+Q50)/2*2</f>
        <v>0.14625000000000002</v>
      </c>
      <c r="V50" s="14"/>
      <c r="W50" s="14"/>
      <c r="X50" s="14"/>
      <c r="Y50" s="14"/>
      <c r="Z50" s="14"/>
      <c r="AA50" s="14"/>
      <c r="AB50" s="14">
        <f t="shared" si="1"/>
        <v>0</v>
      </c>
      <c r="AC50" s="14"/>
      <c r="AE50" s="11"/>
      <c r="AG50" s="52">
        <f>+IF(I50&lt;0.75,(K50+L50),0)</f>
        <v>2.0362500000000003</v>
      </c>
      <c r="AH50" s="52">
        <f>+IF(I50&lt;0.75,0,(K50+L50))</f>
        <v>0</v>
      </c>
      <c r="AI50" s="193">
        <f>IF(P50=0,(+IF(I50&lt;0.75,(K50+L50),0)),0)</f>
        <v>0</v>
      </c>
      <c r="AJ50" s="194">
        <f>IF(P50=0,(+IF(I50&lt;0.75,0,(K50+L50))),0)</f>
        <v>0</v>
      </c>
      <c r="AK50" s="195">
        <f>+AG50-AI50</f>
        <v>2.0362500000000003</v>
      </c>
      <c r="AL50" s="196">
        <f>+AH50-AJ50</f>
        <v>0</v>
      </c>
      <c r="AM50" s="52">
        <f>+IF(AI50=0,0,G50)</f>
        <v>0</v>
      </c>
      <c r="AN50" s="52">
        <f>+IF(AJ50=0,0,G50)</f>
        <v>0</v>
      </c>
      <c r="AO50" s="52">
        <f>+IF(AK50=0,0,G50)</f>
        <v>3.6</v>
      </c>
      <c r="AP50" s="52">
        <f>+IF(AL50=0,0,G50)</f>
        <v>0</v>
      </c>
    </row>
    <row r="51" spans="1:42" ht="20.100000000000001" customHeight="1" x14ac:dyDescent="0.25">
      <c r="A51" s="129"/>
      <c r="B51" s="182" t="s">
        <v>101</v>
      </c>
      <c r="C51" s="183"/>
      <c r="E51" s="189" t="s">
        <v>125</v>
      </c>
      <c r="F51" s="14">
        <v>0</v>
      </c>
      <c r="G51" s="14"/>
      <c r="H51" s="14"/>
      <c r="I51" s="14"/>
      <c r="J51" s="11">
        <f t="shared" ref="J51" si="74">+PRODUCT(F51:I51)</f>
        <v>0</v>
      </c>
      <c r="K51" s="11">
        <f t="shared" ref="K51" si="75">PRODUCT(F51,G51,H51)</f>
        <v>0</v>
      </c>
      <c r="L51" s="11">
        <f t="shared" ref="L51" si="76">+O51+R51-AB51+U51</f>
        <v>0</v>
      </c>
      <c r="M51" s="190"/>
      <c r="N51" s="14"/>
      <c r="O51" s="14"/>
      <c r="P51" s="190"/>
      <c r="Q51" s="14">
        <f t="shared" ref="Q51" si="77">+I51-P51</f>
        <v>0</v>
      </c>
      <c r="R51" s="14">
        <f t="shared" ref="R51" si="78">+PRODUCT(F51:G51,Q51)</f>
        <v>0</v>
      </c>
      <c r="S51" s="14"/>
      <c r="T51" s="14"/>
      <c r="U51" s="191">
        <f t="shared" ref="U51" si="79">+SUM(S51:T51)*(N51+Q51)/2*2</f>
        <v>0</v>
      </c>
      <c r="V51" s="14"/>
      <c r="W51" s="14"/>
      <c r="X51" s="14"/>
      <c r="Y51" s="14"/>
      <c r="Z51" s="14"/>
      <c r="AA51" s="14"/>
      <c r="AB51" s="14">
        <f t="shared" si="1"/>
        <v>0</v>
      </c>
      <c r="AC51" s="14"/>
      <c r="AE51" s="11"/>
      <c r="AG51" s="52">
        <f t="shared" ref="AG51" si="80">+IF(I51&lt;0.75,(K51+L51),0)</f>
        <v>0</v>
      </c>
      <c r="AH51" s="52">
        <f t="shared" ref="AH51" si="81">+IF(I51&lt;0.75,0,(K51+L51))</f>
        <v>0</v>
      </c>
      <c r="AI51" s="193">
        <f t="shared" ref="AI51" si="82">IF(P51=0,(+IF(I51&lt;0.75,(K51+L51),0)),0)</f>
        <v>0</v>
      </c>
      <c r="AJ51" s="194">
        <f t="shared" ref="AJ51" si="83">IF(P51=0,(+IF(I51&lt;0.75,0,(K51+L51))),0)</f>
        <v>0</v>
      </c>
      <c r="AK51" s="195">
        <f t="shared" ref="AK51" si="84">+AG51-AI51</f>
        <v>0</v>
      </c>
      <c r="AL51" s="196">
        <f t="shared" ref="AL51" si="85">+AH51-AJ51</f>
        <v>0</v>
      </c>
      <c r="AM51" s="52">
        <f t="shared" ref="AM51" si="86">+IF(AI51=0,0,G51)</f>
        <v>0</v>
      </c>
      <c r="AN51" s="52">
        <f t="shared" ref="AN51" si="87">+IF(AJ51=0,0,G51)</f>
        <v>0</v>
      </c>
      <c r="AO51" s="52">
        <f t="shared" ref="AO51" si="88">+IF(AK51=0,0,G51)</f>
        <v>0</v>
      </c>
      <c r="AP51" s="52">
        <f t="shared" ref="AP51" si="89">+IF(AL51=0,0,G51)</f>
        <v>0</v>
      </c>
    </row>
    <row r="52" spans="1:42" ht="20.100000000000001" customHeight="1" x14ac:dyDescent="0.25">
      <c r="A52" s="129"/>
      <c r="B52" s="182" t="s">
        <v>101</v>
      </c>
      <c r="C52" s="183"/>
      <c r="E52" s="189" t="s">
        <v>126</v>
      </c>
      <c r="F52" s="14">
        <v>0</v>
      </c>
      <c r="G52" s="14"/>
      <c r="H52" s="14"/>
      <c r="I52" s="14"/>
      <c r="J52" s="11">
        <f t="shared" si="2"/>
        <v>0</v>
      </c>
      <c r="K52" s="11">
        <f t="shared" si="3"/>
        <v>0</v>
      </c>
      <c r="L52" s="11">
        <f t="shared" si="4"/>
        <v>0</v>
      </c>
      <c r="M52" s="190"/>
      <c r="N52" s="14">
        <f t="shared" si="5"/>
        <v>0</v>
      </c>
      <c r="O52" s="14">
        <f t="shared" si="6"/>
        <v>0</v>
      </c>
      <c r="P52" s="190"/>
      <c r="Q52" s="14">
        <f t="shared" si="7"/>
        <v>0</v>
      </c>
      <c r="R52" s="14">
        <f t="shared" si="8"/>
        <v>0</v>
      </c>
      <c r="S52" s="14"/>
      <c r="T52" s="14"/>
      <c r="U52" s="191">
        <f t="shared" si="0"/>
        <v>0</v>
      </c>
      <c r="V52" s="14"/>
      <c r="W52" s="14"/>
      <c r="X52" s="14"/>
      <c r="Y52" s="14"/>
      <c r="Z52" s="14"/>
      <c r="AA52" s="14"/>
      <c r="AB52" s="14">
        <f t="shared" ref="AB52:AB83" si="90">IFERROR(VLOOKUP(V52,$E$19:$I$625,4,FALSE)*VLOOKUP(V52,$E$19:$I$625,5,FALSE),)+IFERROR(VLOOKUP(W52,$E$19:$I$625,4,FALSE)*VLOOKUP(W52,$E$19:$I$625,5,FALSE),)+IFERROR(VLOOKUP(X52,$E$19:$I$625,4,FALSE)*VLOOKUP(X52,$E$19:$I$625,5,FALSE),)+IFERROR(VLOOKUP(Y52,$E$19:$I$625,4,FALSE)*VLOOKUP(Y52,$E$19:$I$625,5,FALSE),)+IFERROR(VLOOKUP(Z52,$E$19:$I$625,4,FALSE)*VLOOKUP(Z52,$E$19:$I$625,5,FALSE),)+IFERROR(VLOOKUP(AA52,$E$19:$I$625,4,FALSE)*VLOOKUP(AA52,$E$19:$I$625,5,FALSE),)</f>
        <v>0</v>
      </c>
      <c r="AC52" s="14"/>
      <c r="AE52" s="11"/>
      <c r="AG52" s="52">
        <f t="shared" si="9"/>
        <v>0</v>
      </c>
      <c r="AH52" s="52">
        <f t="shared" si="10"/>
        <v>0</v>
      </c>
      <c r="AI52" s="193">
        <f t="shared" si="17"/>
        <v>0</v>
      </c>
      <c r="AJ52" s="194">
        <f t="shared" si="36"/>
        <v>0</v>
      </c>
      <c r="AK52" s="195">
        <f t="shared" si="37"/>
        <v>0</v>
      </c>
      <c r="AL52" s="196">
        <f t="shared" si="37"/>
        <v>0</v>
      </c>
      <c r="AM52" s="52">
        <f t="shared" si="13"/>
        <v>0</v>
      </c>
      <c r="AN52" s="52">
        <f t="shared" si="14"/>
        <v>0</v>
      </c>
      <c r="AO52" s="52">
        <f t="shared" si="15"/>
        <v>0</v>
      </c>
      <c r="AP52" s="52">
        <f t="shared" si="16"/>
        <v>0</v>
      </c>
    </row>
    <row r="53" spans="1:42" ht="20.100000000000001" customHeight="1" x14ac:dyDescent="0.25">
      <c r="A53" s="129"/>
      <c r="B53" s="182" t="s">
        <v>101</v>
      </c>
      <c r="C53" s="183"/>
      <c r="E53" s="189" t="s">
        <v>127</v>
      </c>
      <c r="F53" s="14">
        <v>1</v>
      </c>
      <c r="G53" s="14">
        <v>3.05</v>
      </c>
      <c r="H53" s="14">
        <v>0.15</v>
      </c>
      <c r="I53" s="14">
        <v>0.45</v>
      </c>
      <c r="J53" s="11">
        <f t="shared" si="2"/>
        <v>0.20587499999999997</v>
      </c>
      <c r="K53" s="11">
        <f t="shared" si="3"/>
        <v>0.45749999999999996</v>
      </c>
      <c r="L53" s="11">
        <f t="shared" si="4"/>
        <v>1.8924999999999998</v>
      </c>
      <c r="M53" s="190">
        <v>0.125</v>
      </c>
      <c r="N53" s="14">
        <f t="shared" si="5"/>
        <v>0.32500000000000001</v>
      </c>
      <c r="O53" s="14">
        <f t="shared" si="6"/>
        <v>0.99124999999999996</v>
      </c>
      <c r="P53" s="190">
        <v>0.125</v>
      </c>
      <c r="Q53" s="14">
        <f t="shared" si="7"/>
        <v>0.32500000000000001</v>
      </c>
      <c r="R53" s="14">
        <f t="shared" si="8"/>
        <v>0.99124999999999996</v>
      </c>
      <c r="S53" s="14"/>
      <c r="T53" s="14"/>
      <c r="U53" s="191">
        <f t="shared" si="0"/>
        <v>0</v>
      </c>
      <c r="V53" s="14" t="s">
        <v>150</v>
      </c>
      <c r="W53" s="14"/>
      <c r="X53" s="14"/>
      <c r="Y53" s="14"/>
      <c r="Z53" s="14"/>
      <c r="AA53" s="14"/>
      <c r="AB53" s="14">
        <f t="shared" si="90"/>
        <v>9.0000000000000011E-2</v>
      </c>
      <c r="AC53" s="14"/>
      <c r="AE53" s="11"/>
      <c r="AG53" s="52">
        <f t="shared" si="9"/>
        <v>2.3499999999999996</v>
      </c>
      <c r="AH53" s="52">
        <f t="shared" si="10"/>
        <v>0</v>
      </c>
      <c r="AI53" s="193">
        <f t="shared" si="17"/>
        <v>0</v>
      </c>
      <c r="AJ53" s="194">
        <f t="shared" si="36"/>
        <v>0</v>
      </c>
      <c r="AK53" s="195">
        <f t="shared" si="37"/>
        <v>2.3499999999999996</v>
      </c>
      <c r="AL53" s="196">
        <f t="shared" si="37"/>
        <v>0</v>
      </c>
      <c r="AM53" s="52">
        <f t="shared" si="13"/>
        <v>0</v>
      </c>
      <c r="AN53" s="52">
        <f t="shared" si="14"/>
        <v>0</v>
      </c>
      <c r="AO53" s="52">
        <f t="shared" si="15"/>
        <v>3.05</v>
      </c>
      <c r="AP53" s="52">
        <f t="shared" si="16"/>
        <v>0</v>
      </c>
    </row>
    <row r="54" spans="1:42" ht="20.100000000000001" customHeight="1" x14ac:dyDescent="0.25">
      <c r="A54" s="129"/>
      <c r="B54" s="182" t="s">
        <v>101</v>
      </c>
      <c r="C54" s="183"/>
      <c r="E54" s="189" t="s">
        <v>128</v>
      </c>
      <c r="F54" s="14">
        <v>1</v>
      </c>
      <c r="G54" s="14">
        <v>1</v>
      </c>
      <c r="H54" s="14">
        <v>0.2</v>
      </c>
      <c r="I54" s="14">
        <v>0.45</v>
      </c>
      <c r="J54" s="11">
        <f t="shared" si="2"/>
        <v>9.0000000000000011E-2</v>
      </c>
      <c r="K54" s="11">
        <f t="shared" si="3"/>
        <v>0.2</v>
      </c>
      <c r="L54" s="11">
        <f t="shared" si="4"/>
        <v>0.65</v>
      </c>
      <c r="M54" s="190">
        <v>0.125</v>
      </c>
      <c r="N54" s="14">
        <f t="shared" si="5"/>
        <v>0.32500000000000001</v>
      </c>
      <c r="O54" s="14">
        <f t="shared" si="6"/>
        <v>0.32500000000000001</v>
      </c>
      <c r="P54" s="190">
        <v>0.125</v>
      </c>
      <c r="Q54" s="14">
        <f t="shared" si="7"/>
        <v>0.32500000000000001</v>
      </c>
      <c r="R54" s="14">
        <f t="shared" si="8"/>
        <v>0.32500000000000001</v>
      </c>
      <c r="S54" s="14"/>
      <c r="T54" s="14"/>
      <c r="U54" s="191">
        <f t="shared" si="0"/>
        <v>0</v>
      </c>
      <c r="V54" s="14"/>
      <c r="W54" s="14"/>
      <c r="X54" s="14"/>
      <c r="Y54" s="14"/>
      <c r="Z54" s="14"/>
      <c r="AA54" s="14"/>
      <c r="AB54" s="14">
        <f t="shared" si="90"/>
        <v>0</v>
      </c>
      <c r="AC54" s="14"/>
      <c r="AE54" s="11"/>
      <c r="AG54" s="52">
        <f t="shared" si="9"/>
        <v>0.85000000000000009</v>
      </c>
      <c r="AH54" s="52">
        <f t="shared" si="10"/>
        <v>0</v>
      </c>
      <c r="AI54" s="193">
        <f t="shared" si="17"/>
        <v>0</v>
      </c>
      <c r="AJ54" s="194">
        <f t="shared" si="36"/>
        <v>0</v>
      </c>
      <c r="AK54" s="195">
        <f t="shared" si="37"/>
        <v>0.85000000000000009</v>
      </c>
      <c r="AL54" s="196">
        <f t="shared" si="37"/>
        <v>0</v>
      </c>
      <c r="AM54" s="52">
        <f t="shared" si="13"/>
        <v>0</v>
      </c>
      <c r="AN54" s="52">
        <f t="shared" si="14"/>
        <v>0</v>
      </c>
      <c r="AO54" s="52">
        <f t="shared" si="15"/>
        <v>1</v>
      </c>
      <c r="AP54" s="52">
        <f t="shared" si="16"/>
        <v>0</v>
      </c>
    </row>
    <row r="55" spans="1:42" ht="20.100000000000001" customHeight="1" x14ac:dyDescent="0.25">
      <c r="A55" s="129"/>
      <c r="B55" s="182" t="s">
        <v>101</v>
      </c>
      <c r="C55" s="183"/>
      <c r="E55" s="189" t="s">
        <v>623</v>
      </c>
      <c r="F55" s="14">
        <v>1</v>
      </c>
      <c r="G55" s="14">
        <v>1.8</v>
      </c>
      <c r="H55" s="14">
        <v>0.2</v>
      </c>
      <c r="I55" s="14">
        <v>0.45</v>
      </c>
      <c r="J55" s="11">
        <f t="shared" ref="J55" si="91">+PRODUCT(F55:I55)</f>
        <v>0.16200000000000003</v>
      </c>
      <c r="K55" s="11">
        <f t="shared" ref="K55" si="92">PRODUCT(F55,G55,H55)</f>
        <v>0.36000000000000004</v>
      </c>
      <c r="L55" s="11">
        <f t="shared" ref="L55" si="93">+O55+R55-AB55+U55</f>
        <v>1.1700000000000002</v>
      </c>
      <c r="M55" s="190">
        <v>0.125</v>
      </c>
      <c r="N55" s="14">
        <f t="shared" ref="N55" si="94">+I55-M55</f>
        <v>0.32500000000000001</v>
      </c>
      <c r="O55" s="14">
        <f t="shared" ref="O55" si="95">+PRODUCT(F55,G55,N55)</f>
        <v>0.58500000000000008</v>
      </c>
      <c r="P55" s="190">
        <v>0.125</v>
      </c>
      <c r="Q55" s="14">
        <f t="shared" ref="Q55" si="96">+I55-P55</f>
        <v>0.32500000000000001</v>
      </c>
      <c r="R55" s="14">
        <f t="shared" ref="R55" si="97">+PRODUCT(F55:G55,Q55)</f>
        <v>0.58500000000000008</v>
      </c>
      <c r="S55" s="14"/>
      <c r="T55" s="14"/>
      <c r="U55" s="191">
        <f t="shared" ref="U55" si="98">+SUM(S55:T55)*(N55+Q55)/2*2</f>
        <v>0</v>
      </c>
      <c r="V55" s="14"/>
      <c r="W55" s="14"/>
      <c r="X55" s="14"/>
      <c r="Y55" s="14"/>
      <c r="Z55" s="14"/>
      <c r="AA55" s="14"/>
      <c r="AB55" s="14">
        <f t="shared" si="90"/>
        <v>0</v>
      </c>
      <c r="AC55" s="14"/>
      <c r="AE55" s="11"/>
      <c r="AG55" s="52">
        <f t="shared" ref="AG55" si="99">+IF(I55&lt;0.75,(K55+L55),0)</f>
        <v>1.5300000000000002</v>
      </c>
      <c r="AH55" s="52">
        <f t="shared" ref="AH55" si="100">+IF(I55&lt;0.75,0,(K55+L55))</f>
        <v>0</v>
      </c>
      <c r="AI55" s="193">
        <f t="shared" ref="AI55" si="101">IF(P55=0,(+IF(I55&lt;0.75,(K55+L55),0)),0)</f>
        <v>0</v>
      </c>
      <c r="AJ55" s="194">
        <f t="shared" ref="AJ55" si="102">IF(P55=0,(+IF(I55&lt;0.75,0,(K55+L55))),0)</f>
        <v>0</v>
      </c>
      <c r="AK55" s="195">
        <f t="shared" ref="AK55" si="103">+AG55-AI55</f>
        <v>1.5300000000000002</v>
      </c>
      <c r="AL55" s="196">
        <f t="shared" ref="AL55" si="104">+AH55-AJ55</f>
        <v>0</v>
      </c>
      <c r="AM55" s="52">
        <f t="shared" ref="AM55" si="105">+IF(AI55=0,0,G55)</f>
        <v>0</v>
      </c>
      <c r="AN55" s="52">
        <f t="shared" ref="AN55" si="106">+IF(AJ55=0,0,G55)</f>
        <v>0</v>
      </c>
      <c r="AO55" s="52">
        <f t="shared" ref="AO55" si="107">+IF(AK55=0,0,G55)</f>
        <v>1.8</v>
      </c>
      <c r="AP55" s="52">
        <f t="shared" ref="AP55" si="108">+IF(AL55=0,0,G55)</f>
        <v>0</v>
      </c>
    </row>
    <row r="56" spans="1:42" ht="20.100000000000001" customHeight="1" x14ac:dyDescent="0.25">
      <c r="A56" s="129"/>
      <c r="B56" s="182" t="s">
        <v>101</v>
      </c>
      <c r="C56" s="183"/>
      <c r="E56" s="189" t="s">
        <v>129</v>
      </c>
      <c r="F56" s="14">
        <v>1</v>
      </c>
      <c r="G56" s="14">
        <v>1.85</v>
      </c>
      <c r="H56" s="14">
        <v>0.3</v>
      </c>
      <c r="I56" s="14">
        <v>0.45</v>
      </c>
      <c r="J56" s="11">
        <f t="shared" si="2"/>
        <v>0.24975000000000003</v>
      </c>
      <c r="K56" s="11">
        <f t="shared" si="3"/>
        <v>0.55500000000000005</v>
      </c>
      <c r="L56" s="11">
        <f t="shared" si="4"/>
        <v>1.2025000000000001</v>
      </c>
      <c r="M56" s="190">
        <v>0.125</v>
      </c>
      <c r="N56" s="14">
        <f t="shared" si="5"/>
        <v>0.32500000000000001</v>
      </c>
      <c r="O56" s="14">
        <f t="shared" si="6"/>
        <v>0.60125000000000006</v>
      </c>
      <c r="P56" s="190">
        <v>0.125</v>
      </c>
      <c r="Q56" s="14">
        <f t="shared" si="7"/>
        <v>0.32500000000000001</v>
      </c>
      <c r="R56" s="14">
        <f t="shared" si="8"/>
        <v>0.60125000000000006</v>
      </c>
      <c r="S56" s="14"/>
      <c r="T56" s="14"/>
      <c r="U56" s="191">
        <f t="shared" si="0"/>
        <v>0</v>
      </c>
      <c r="V56" s="14"/>
      <c r="W56" s="14"/>
      <c r="X56" s="14"/>
      <c r="Y56" s="14"/>
      <c r="Z56" s="14"/>
      <c r="AA56" s="14"/>
      <c r="AB56" s="14">
        <f t="shared" si="90"/>
        <v>0</v>
      </c>
      <c r="AC56" s="14"/>
      <c r="AE56" s="11"/>
      <c r="AG56" s="52">
        <f t="shared" si="9"/>
        <v>1.7575000000000003</v>
      </c>
      <c r="AH56" s="52">
        <f t="shared" si="10"/>
        <v>0</v>
      </c>
      <c r="AI56" s="193">
        <f t="shared" si="17"/>
        <v>0</v>
      </c>
      <c r="AJ56" s="194">
        <f t="shared" si="36"/>
        <v>0</v>
      </c>
      <c r="AK56" s="195">
        <f t="shared" si="37"/>
        <v>1.7575000000000003</v>
      </c>
      <c r="AL56" s="196">
        <f t="shared" si="37"/>
        <v>0</v>
      </c>
      <c r="AM56" s="52">
        <f t="shared" si="13"/>
        <v>0</v>
      </c>
      <c r="AN56" s="52">
        <f t="shared" si="14"/>
        <v>0</v>
      </c>
      <c r="AO56" s="52">
        <f t="shared" si="15"/>
        <v>1.85</v>
      </c>
      <c r="AP56" s="52">
        <f t="shared" si="16"/>
        <v>0</v>
      </c>
    </row>
    <row r="57" spans="1:42" ht="20.100000000000001" customHeight="1" x14ac:dyDescent="0.25">
      <c r="A57" s="129"/>
      <c r="B57" s="182" t="s">
        <v>101</v>
      </c>
      <c r="C57" s="183"/>
      <c r="E57" s="189" t="s">
        <v>131</v>
      </c>
      <c r="F57" s="14">
        <v>1</v>
      </c>
      <c r="G57" s="14">
        <v>1.175</v>
      </c>
      <c r="H57" s="14">
        <v>0.15</v>
      </c>
      <c r="I57" s="14">
        <v>0.45</v>
      </c>
      <c r="J57" s="11">
        <f t="shared" si="2"/>
        <v>7.9312499999999994E-2</v>
      </c>
      <c r="K57" s="11">
        <f t="shared" si="3"/>
        <v>0.17624999999999999</v>
      </c>
      <c r="L57" s="11">
        <f t="shared" si="4"/>
        <v>0.91062500000000002</v>
      </c>
      <c r="M57" s="190">
        <v>0.125</v>
      </c>
      <c r="N57" s="14">
        <f t="shared" si="5"/>
        <v>0.32500000000000001</v>
      </c>
      <c r="O57" s="14">
        <f t="shared" si="6"/>
        <v>0.38187500000000002</v>
      </c>
      <c r="P57" s="190"/>
      <c r="Q57" s="14">
        <f t="shared" si="7"/>
        <v>0.45</v>
      </c>
      <c r="R57" s="14">
        <f t="shared" si="8"/>
        <v>0.52875000000000005</v>
      </c>
      <c r="S57" s="14"/>
      <c r="T57" s="14"/>
      <c r="U57" s="191">
        <f t="shared" si="0"/>
        <v>0</v>
      </c>
      <c r="V57" s="14"/>
      <c r="W57" s="14"/>
      <c r="X57" s="14"/>
      <c r="Y57" s="14"/>
      <c r="Z57" s="14"/>
      <c r="AA57" s="14"/>
      <c r="AB57" s="14">
        <f t="shared" si="90"/>
        <v>0</v>
      </c>
      <c r="AC57" s="14"/>
      <c r="AE57" s="11"/>
      <c r="AG57" s="52">
        <f t="shared" si="9"/>
        <v>1.086875</v>
      </c>
      <c r="AH57" s="52">
        <f t="shared" si="10"/>
        <v>0</v>
      </c>
      <c r="AI57" s="193">
        <f t="shared" si="17"/>
        <v>1.086875</v>
      </c>
      <c r="AJ57" s="194">
        <f t="shared" si="36"/>
        <v>0</v>
      </c>
      <c r="AK57" s="195">
        <f t="shared" si="37"/>
        <v>0</v>
      </c>
      <c r="AL57" s="196">
        <f t="shared" si="37"/>
        <v>0</v>
      </c>
      <c r="AM57" s="52">
        <f t="shared" si="13"/>
        <v>1.175</v>
      </c>
      <c r="AN57" s="52">
        <f t="shared" si="14"/>
        <v>0</v>
      </c>
      <c r="AO57" s="52">
        <f t="shared" si="15"/>
        <v>0</v>
      </c>
      <c r="AP57" s="52">
        <f t="shared" si="16"/>
        <v>0</v>
      </c>
    </row>
    <row r="58" spans="1:42" ht="20.100000000000001" customHeight="1" x14ac:dyDescent="0.25">
      <c r="A58" s="129"/>
      <c r="B58" s="182" t="s">
        <v>101</v>
      </c>
      <c r="C58" s="183"/>
      <c r="E58" s="189" t="s">
        <v>624</v>
      </c>
      <c r="F58" s="14">
        <v>1</v>
      </c>
      <c r="G58" s="14">
        <v>0.55000000000000004</v>
      </c>
      <c r="H58" s="14">
        <v>0.15</v>
      </c>
      <c r="I58" s="14">
        <v>0.45</v>
      </c>
      <c r="J58" s="11">
        <f t="shared" si="2"/>
        <v>3.7125000000000005E-2</v>
      </c>
      <c r="K58" s="11">
        <f t="shared" si="3"/>
        <v>8.2500000000000004E-2</v>
      </c>
      <c r="L58" s="11">
        <f t="shared" si="4"/>
        <v>0.42625000000000002</v>
      </c>
      <c r="M58" s="190">
        <v>0.125</v>
      </c>
      <c r="N58" s="14">
        <f t="shared" si="5"/>
        <v>0.32500000000000001</v>
      </c>
      <c r="O58" s="14">
        <f t="shared" si="6"/>
        <v>0.17875000000000002</v>
      </c>
      <c r="P58" s="190"/>
      <c r="Q58" s="14">
        <f t="shared" si="7"/>
        <v>0.45</v>
      </c>
      <c r="R58" s="14">
        <f t="shared" si="8"/>
        <v>0.24750000000000003</v>
      </c>
      <c r="S58" s="14"/>
      <c r="T58" s="14"/>
      <c r="U58" s="191">
        <f t="shared" si="0"/>
        <v>0</v>
      </c>
      <c r="V58" s="14"/>
      <c r="W58" s="14"/>
      <c r="X58" s="14"/>
      <c r="Y58" s="14"/>
      <c r="Z58" s="14"/>
      <c r="AA58" s="14"/>
      <c r="AB58" s="14">
        <f t="shared" si="90"/>
        <v>0</v>
      </c>
      <c r="AC58" s="14"/>
      <c r="AE58" s="11"/>
      <c r="AG58" s="52">
        <f t="shared" si="9"/>
        <v>0.50875000000000004</v>
      </c>
      <c r="AH58" s="52">
        <f t="shared" si="10"/>
        <v>0</v>
      </c>
      <c r="AI58" s="193">
        <f t="shared" si="17"/>
        <v>0.50875000000000004</v>
      </c>
      <c r="AJ58" s="194">
        <f t="shared" si="36"/>
        <v>0</v>
      </c>
      <c r="AK58" s="195">
        <f t="shared" si="37"/>
        <v>0</v>
      </c>
      <c r="AL58" s="196">
        <f t="shared" si="37"/>
        <v>0</v>
      </c>
      <c r="AM58" s="52">
        <f t="shared" si="13"/>
        <v>0.55000000000000004</v>
      </c>
      <c r="AN58" s="52">
        <f t="shared" si="14"/>
        <v>0</v>
      </c>
      <c r="AO58" s="52">
        <f t="shared" si="15"/>
        <v>0</v>
      </c>
      <c r="AP58" s="52">
        <f t="shared" si="16"/>
        <v>0</v>
      </c>
    </row>
    <row r="59" spans="1:42" ht="20.100000000000001" customHeight="1" x14ac:dyDescent="0.25">
      <c r="A59" s="129"/>
      <c r="B59" s="182" t="s">
        <v>101</v>
      </c>
      <c r="C59" s="183"/>
      <c r="E59" s="189" t="s">
        <v>132</v>
      </c>
      <c r="F59" s="14">
        <v>0</v>
      </c>
      <c r="G59" s="14"/>
      <c r="H59" s="14"/>
      <c r="I59" s="14"/>
      <c r="J59" s="11">
        <f t="shared" si="2"/>
        <v>0</v>
      </c>
      <c r="K59" s="11">
        <f t="shared" si="3"/>
        <v>0</v>
      </c>
      <c r="L59" s="11">
        <f t="shared" si="4"/>
        <v>0</v>
      </c>
      <c r="M59" s="190"/>
      <c r="N59" s="14">
        <f t="shared" si="5"/>
        <v>0</v>
      </c>
      <c r="O59" s="14">
        <f t="shared" si="6"/>
        <v>0</v>
      </c>
      <c r="P59" s="190"/>
      <c r="Q59" s="14">
        <f t="shared" si="7"/>
        <v>0</v>
      </c>
      <c r="R59" s="14">
        <f t="shared" si="8"/>
        <v>0</v>
      </c>
      <c r="S59" s="14"/>
      <c r="T59" s="14"/>
      <c r="U59" s="191">
        <f t="shared" si="0"/>
        <v>0</v>
      </c>
      <c r="V59" s="14"/>
      <c r="W59" s="14"/>
      <c r="X59" s="14"/>
      <c r="Y59" s="14"/>
      <c r="Z59" s="14"/>
      <c r="AA59" s="14"/>
      <c r="AB59" s="14">
        <f t="shared" si="90"/>
        <v>0</v>
      </c>
      <c r="AC59" s="14"/>
      <c r="AE59" s="11"/>
      <c r="AG59" s="52">
        <f t="shared" si="9"/>
        <v>0</v>
      </c>
      <c r="AH59" s="52">
        <f t="shared" si="10"/>
        <v>0</v>
      </c>
      <c r="AI59" s="193">
        <f t="shared" si="17"/>
        <v>0</v>
      </c>
      <c r="AJ59" s="194">
        <f t="shared" si="36"/>
        <v>0</v>
      </c>
      <c r="AK59" s="195">
        <f t="shared" si="37"/>
        <v>0</v>
      </c>
      <c r="AL59" s="196">
        <f t="shared" si="37"/>
        <v>0</v>
      </c>
      <c r="AM59" s="52">
        <f t="shared" si="13"/>
        <v>0</v>
      </c>
      <c r="AN59" s="52">
        <f t="shared" si="14"/>
        <v>0</v>
      </c>
      <c r="AO59" s="52">
        <f t="shared" si="15"/>
        <v>0</v>
      </c>
      <c r="AP59" s="52">
        <f t="shared" si="16"/>
        <v>0</v>
      </c>
    </row>
    <row r="60" spans="1:42" ht="20.100000000000001" customHeight="1" x14ac:dyDescent="0.25">
      <c r="A60" s="129"/>
      <c r="B60" s="182" t="s">
        <v>101</v>
      </c>
      <c r="C60" s="183"/>
      <c r="E60" s="189" t="s">
        <v>133</v>
      </c>
      <c r="F60" s="14">
        <v>1</v>
      </c>
      <c r="G60" s="14">
        <v>2.8</v>
      </c>
      <c r="H60" s="14">
        <v>0.2</v>
      </c>
      <c r="I60" s="14">
        <v>0.45</v>
      </c>
      <c r="J60" s="11">
        <f t="shared" si="2"/>
        <v>0.252</v>
      </c>
      <c r="K60" s="11">
        <f t="shared" si="3"/>
        <v>0.55999999999999994</v>
      </c>
      <c r="L60" s="11">
        <f t="shared" si="4"/>
        <v>2.3125</v>
      </c>
      <c r="M60" s="190">
        <v>0.125</v>
      </c>
      <c r="N60" s="14">
        <f t="shared" si="5"/>
        <v>0.32500000000000001</v>
      </c>
      <c r="O60" s="14">
        <f t="shared" si="6"/>
        <v>0.90999999999999992</v>
      </c>
      <c r="P60" s="190">
        <v>0.15</v>
      </c>
      <c r="Q60" s="14">
        <f t="shared" si="7"/>
        <v>0.30000000000000004</v>
      </c>
      <c r="R60" s="14">
        <f t="shared" si="8"/>
        <v>0.84000000000000008</v>
      </c>
      <c r="S60" s="14">
        <v>0.45</v>
      </c>
      <c r="T60" s="14">
        <v>0.45</v>
      </c>
      <c r="U60" s="191">
        <f t="shared" si="0"/>
        <v>0.5625</v>
      </c>
      <c r="V60" s="14"/>
      <c r="W60" s="14"/>
      <c r="X60" s="14"/>
      <c r="Y60" s="14"/>
      <c r="Z60" s="14"/>
      <c r="AA60" s="14"/>
      <c r="AB60" s="14">
        <f t="shared" si="90"/>
        <v>0</v>
      </c>
      <c r="AC60" s="14"/>
      <c r="AE60" s="11"/>
      <c r="AG60" s="52">
        <f t="shared" si="9"/>
        <v>2.8725000000000001</v>
      </c>
      <c r="AH60" s="52">
        <f t="shared" si="10"/>
        <v>0</v>
      </c>
      <c r="AI60" s="193">
        <f t="shared" si="17"/>
        <v>0</v>
      </c>
      <c r="AJ60" s="194">
        <f t="shared" si="36"/>
        <v>0</v>
      </c>
      <c r="AK60" s="195">
        <f t="shared" si="37"/>
        <v>2.8725000000000001</v>
      </c>
      <c r="AL60" s="196">
        <f t="shared" si="37"/>
        <v>0</v>
      </c>
      <c r="AM60" s="52">
        <f t="shared" si="13"/>
        <v>0</v>
      </c>
      <c r="AN60" s="52">
        <f t="shared" si="14"/>
        <v>0</v>
      </c>
      <c r="AO60" s="52">
        <f t="shared" si="15"/>
        <v>2.8</v>
      </c>
      <c r="AP60" s="52">
        <f t="shared" si="16"/>
        <v>0</v>
      </c>
    </row>
    <row r="61" spans="1:42" ht="20.100000000000001" customHeight="1" x14ac:dyDescent="0.25">
      <c r="A61" s="129"/>
      <c r="B61" s="182" t="s">
        <v>101</v>
      </c>
      <c r="C61" s="183"/>
      <c r="E61" s="189" t="s">
        <v>134</v>
      </c>
      <c r="F61" s="14">
        <v>1</v>
      </c>
      <c r="G61" s="14">
        <v>3.6</v>
      </c>
      <c r="H61" s="14">
        <v>0.2</v>
      </c>
      <c r="I61" s="14">
        <v>0.45</v>
      </c>
      <c r="J61" s="11">
        <f t="shared" si="2"/>
        <v>0.32400000000000007</v>
      </c>
      <c r="K61" s="11">
        <f t="shared" si="3"/>
        <v>0.72000000000000008</v>
      </c>
      <c r="L61" s="11">
        <f t="shared" si="4"/>
        <v>2.7225000000000006</v>
      </c>
      <c r="M61" s="190">
        <v>0.125</v>
      </c>
      <c r="N61" s="14">
        <f t="shared" si="5"/>
        <v>0.32500000000000001</v>
      </c>
      <c r="O61" s="14">
        <f t="shared" si="6"/>
        <v>1.1700000000000002</v>
      </c>
      <c r="P61" s="190">
        <v>0.15</v>
      </c>
      <c r="Q61" s="14">
        <f t="shared" si="7"/>
        <v>0.30000000000000004</v>
      </c>
      <c r="R61" s="14">
        <f t="shared" si="8"/>
        <v>1.0800000000000003</v>
      </c>
      <c r="S61" s="14">
        <v>0.45</v>
      </c>
      <c r="T61" s="14">
        <v>0.45</v>
      </c>
      <c r="U61" s="191">
        <f t="shared" si="0"/>
        <v>0.5625</v>
      </c>
      <c r="V61" s="14" t="s">
        <v>158</v>
      </c>
      <c r="W61" s="14"/>
      <c r="X61" s="14"/>
      <c r="Y61" s="14"/>
      <c r="Z61" s="14"/>
      <c r="AA61" s="14"/>
      <c r="AB61" s="14">
        <f t="shared" si="90"/>
        <v>9.0000000000000011E-2</v>
      </c>
      <c r="AC61" s="14"/>
      <c r="AE61" s="11"/>
      <c r="AG61" s="52">
        <f t="shared" si="9"/>
        <v>3.4425000000000008</v>
      </c>
      <c r="AH61" s="52">
        <f t="shared" si="10"/>
        <v>0</v>
      </c>
      <c r="AI61" s="193">
        <f t="shared" si="17"/>
        <v>0</v>
      </c>
      <c r="AJ61" s="194">
        <f t="shared" si="36"/>
        <v>0</v>
      </c>
      <c r="AK61" s="195">
        <f t="shared" si="37"/>
        <v>3.4425000000000008</v>
      </c>
      <c r="AL61" s="196">
        <f t="shared" si="37"/>
        <v>0</v>
      </c>
      <c r="AM61" s="52">
        <f t="shared" si="13"/>
        <v>0</v>
      </c>
      <c r="AN61" s="52">
        <f t="shared" si="14"/>
        <v>0</v>
      </c>
      <c r="AO61" s="52">
        <f t="shared" si="15"/>
        <v>3.6</v>
      </c>
      <c r="AP61" s="52">
        <f t="shared" si="16"/>
        <v>0</v>
      </c>
    </row>
    <row r="62" spans="1:42" ht="20.100000000000001" customHeight="1" x14ac:dyDescent="0.25">
      <c r="A62" s="129"/>
      <c r="B62" s="182" t="s">
        <v>101</v>
      </c>
      <c r="C62" s="183"/>
      <c r="E62" s="336" t="s">
        <v>135</v>
      </c>
      <c r="F62" s="14">
        <v>1</v>
      </c>
      <c r="G62" s="14">
        <v>3.6</v>
      </c>
      <c r="H62" s="14">
        <v>0.2</v>
      </c>
      <c r="I62" s="14">
        <v>0.45</v>
      </c>
      <c r="J62" s="11">
        <f t="shared" si="2"/>
        <v>0.32400000000000007</v>
      </c>
      <c r="K62" s="11">
        <f t="shared" si="3"/>
        <v>0.72000000000000008</v>
      </c>
      <c r="L62" s="11">
        <f t="shared" si="4"/>
        <v>2.5312500000000004</v>
      </c>
      <c r="M62" s="190">
        <v>0.125</v>
      </c>
      <c r="N62" s="14">
        <f t="shared" si="5"/>
        <v>0.32500000000000001</v>
      </c>
      <c r="O62" s="14">
        <f t="shared" si="6"/>
        <v>1.1700000000000002</v>
      </c>
      <c r="P62" s="190">
        <v>0.15</v>
      </c>
      <c r="Q62" s="14">
        <f t="shared" si="7"/>
        <v>0.30000000000000004</v>
      </c>
      <c r="R62" s="14">
        <f t="shared" si="8"/>
        <v>1.0800000000000003</v>
      </c>
      <c r="S62" s="14">
        <v>0.45</v>
      </c>
      <c r="T62" s="14"/>
      <c r="U62" s="191">
        <f t="shared" si="0"/>
        <v>0.28125</v>
      </c>
      <c r="V62" s="14"/>
      <c r="W62" s="14"/>
      <c r="X62" s="14"/>
      <c r="Y62" s="14"/>
      <c r="Z62" s="14"/>
      <c r="AA62" s="14"/>
      <c r="AB62" s="14">
        <f t="shared" si="90"/>
        <v>0</v>
      </c>
      <c r="AC62" s="14"/>
      <c r="AE62" s="11"/>
      <c r="AG62" s="52">
        <f t="shared" si="9"/>
        <v>3.2512500000000006</v>
      </c>
      <c r="AH62" s="52">
        <f t="shared" si="10"/>
        <v>0</v>
      </c>
      <c r="AI62" s="193">
        <f t="shared" si="17"/>
        <v>0</v>
      </c>
      <c r="AJ62" s="194">
        <f t="shared" si="36"/>
        <v>0</v>
      </c>
      <c r="AK62" s="195">
        <f t="shared" si="37"/>
        <v>3.2512500000000006</v>
      </c>
      <c r="AL62" s="196">
        <f t="shared" si="37"/>
        <v>0</v>
      </c>
      <c r="AM62" s="52">
        <f t="shared" si="13"/>
        <v>0</v>
      </c>
      <c r="AN62" s="52">
        <f t="shared" si="14"/>
        <v>0</v>
      </c>
      <c r="AO62" s="52">
        <f t="shared" si="15"/>
        <v>3.6</v>
      </c>
      <c r="AP62" s="52">
        <f t="shared" si="16"/>
        <v>0</v>
      </c>
    </row>
    <row r="63" spans="1:42" ht="20.100000000000001" customHeight="1" x14ac:dyDescent="0.25">
      <c r="A63" s="129"/>
      <c r="B63" s="182" t="s">
        <v>101</v>
      </c>
      <c r="C63" s="183"/>
      <c r="E63" s="189" t="s">
        <v>136</v>
      </c>
      <c r="F63" s="14">
        <v>0</v>
      </c>
      <c r="G63" s="14"/>
      <c r="H63" s="14"/>
      <c r="I63" s="14"/>
      <c r="J63" s="11">
        <f t="shared" ref="J63" si="109">+PRODUCT(F63:I63)</f>
        <v>0</v>
      </c>
      <c r="K63" s="11">
        <f t="shared" ref="K63" si="110">PRODUCT(F63,G63,H63)</f>
        <v>0</v>
      </c>
      <c r="L63" s="11">
        <f t="shared" ref="L63" si="111">+O63+R63-AB63+U63</f>
        <v>0</v>
      </c>
      <c r="M63" s="190"/>
      <c r="N63" s="14">
        <f t="shared" ref="N63" si="112">+I63-M63</f>
        <v>0</v>
      </c>
      <c r="O63" s="14">
        <f t="shared" ref="O63" si="113">+PRODUCT(F63,G63,N63)</f>
        <v>0</v>
      </c>
      <c r="P63" s="190"/>
      <c r="Q63" s="14">
        <f t="shared" ref="Q63" si="114">+I63-P63</f>
        <v>0</v>
      </c>
      <c r="R63" s="14">
        <f t="shared" ref="R63" si="115">+PRODUCT(F63:G63,Q63)</f>
        <v>0</v>
      </c>
      <c r="S63" s="14"/>
      <c r="T63" s="14"/>
      <c r="U63" s="191">
        <f t="shared" ref="U63" si="116">+SUM(S63:T63)*(N63+Q63)/2*2</f>
        <v>0</v>
      </c>
      <c r="V63" s="14"/>
      <c r="W63" s="14"/>
      <c r="X63" s="14"/>
      <c r="Y63" s="14"/>
      <c r="Z63" s="14"/>
      <c r="AA63" s="14"/>
      <c r="AB63" s="14">
        <f t="shared" si="90"/>
        <v>0</v>
      </c>
      <c r="AC63" s="14"/>
      <c r="AE63" s="11"/>
      <c r="AG63" s="52">
        <f t="shared" ref="AG63" si="117">+IF(I63&lt;0.75,(K63+L63),0)</f>
        <v>0</v>
      </c>
      <c r="AH63" s="52">
        <f t="shared" ref="AH63" si="118">+IF(I63&lt;0.75,0,(K63+L63))</f>
        <v>0</v>
      </c>
      <c r="AI63" s="193">
        <f t="shared" ref="AI63" si="119">IF(P63=0,(+IF(I63&lt;0.75,(K63+L63),0)),0)</f>
        <v>0</v>
      </c>
      <c r="AJ63" s="194">
        <f t="shared" ref="AJ63" si="120">IF(P63=0,(+IF(I63&lt;0.75,0,(K63+L63))),0)</f>
        <v>0</v>
      </c>
      <c r="AK63" s="195">
        <f t="shared" ref="AK63" si="121">+AG63-AI63</f>
        <v>0</v>
      </c>
      <c r="AL63" s="196">
        <f t="shared" ref="AL63" si="122">+AH63-AJ63</f>
        <v>0</v>
      </c>
      <c r="AM63" s="52">
        <f t="shared" ref="AM63" si="123">+IF(AI63=0,0,G63)</f>
        <v>0</v>
      </c>
      <c r="AN63" s="52">
        <f t="shared" ref="AN63" si="124">+IF(AJ63=0,0,G63)</f>
        <v>0</v>
      </c>
      <c r="AO63" s="52">
        <f t="shared" ref="AO63" si="125">+IF(AK63=0,0,G63)</f>
        <v>0</v>
      </c>
      <c r="AP63" s="52">
        <f t="shared" ref="AP63" si="126">+IF(AL63=0,0,G63)</f>
        <v>0</v>
      </c>
    </row>
    <row r="64" spans="1:42" ht="20.100000000000001" customHeight="1" x14ac:dyDescent="0.25">
      <c r="A64" s="129"/>
      <c r="B64" s="182" t="s">
        <v>101</v>
      </c>
      <c r="C64" s="183"/>
      <c r="E64" s="189" t="s">
        <v>625</v>
      </c>
      <c r="F64" s="14">
        <v>1</v>
      </c>
      <c r="G64" s="14">
        <v>6.7949999999999999</v>
      </c>
      <c r="H64" s="14">
        <v>0.2</v>
      </c>
      <c r="I64" s="14">
        <v>0.45</v>
      </c>
      <c r="J64" s="11">
        <f t="shared" si="2"/>
        <v>0.61155000000000004</v>
      </c>
      <c r="K64" s="11">
        <f t="shared" si="3"/>
        <v>1.359</v>
      </c>
      <c r="L64" s="11">
        <f t="shared" si="4"/>
        <v>5.4337500000000007</v>
      </c>
      <c r="M64" s="190">
        <v>0.15</v>
      </c>
      <c r="N64" s="14">
        <f t="shared" si="5"/>
        <v>0.30000000000000004</v>
      </c>
      <c r="O64" s="14">
        <f t="shared" si="6"/>
        <v>2.0385000000000004</v>
      </c>
      <c r="P64" s="190"/>
      <c r="Q64" s="14">
        <f t="shared" si="7"/>
        <v>0.45</v>
      </c>
      <c r="R64" s="14">
        <f t="shared" si="8"/>
        <v>3.05775</v>
      </c>
      <c r="S64" s="14">
        <v>0.45</v>
      </c>
      <c r="T64" s="14"/>
      <c r="U64" s="191">
        <f t="shared" si="0"/>
        <v>0.33750000000000002</v>
      </c>
      <c r="V64" s="14"/>
      <c r="W64" s="14"/>
      <c r="X64" s="14"/>
      <c r="Y64" s="14"/>
      <c r="Z64" s="14"/>
      <c r="AA64" s="14"/>
      <c r="AB64" s="14">
        <f t="shared" si="90"/>
        <v>0</v>
      </c>
      <c r="AC64" s="14"/>
      <c r="AE64" s="11"/>
      <c r="AG64" s="52">
        <f t="shared" si="9"/>
        <v>6.7927500000000007</v>
      </c>
      <c r="AH64" s="52">
        <f t="shared" si="10"/>
        <v>0</v>
      </c>
      <c r="AI64" s="193">
        <f t="shared" si="17"/>
        <v>6.7927500000000007</v>
      </c>
      <c r="AJ64" s="194">
        <f t="shared" si="36"/>
        <v>0</v>
      </c>
      <c r="AK64" s="195">
        <f t="shared" si="37"/>
        <v>0</v>
      </c>
      <c r="AL64" s="196">
        <f t="shared" si="37"/>
        <v>0</v>
      </c>
      <c r="AM64" s="52">
        <f t="shared" si="13"/>
        <v>6.7949999999999999</v>
      </c>
      <c r="AN64" s="52">
        <f t="shared" si="14"/>
        <v>0</v>
      </c>
      <c r="AO64" s="52">
        <f t="shared" si="15"/>
        <v>0</v>
      </c>
      <c r="AP64" s="52">
        <f t="shared" si="16"/>
        <v>0</v>
      </c>
    </row>
    <row r="65" spans="1:42" ht="20.100000000000001" customHeight="1" x14ac:dyDescent="0.25">
      <c r="A65" s="129"/>
      <c r="B65" s="182" t="s">
        <v>101</v>
      </c>
      <c r="C65" s="183"/>
      <c r="E65" s="189" t="s">
        <v>138</v>
      </c>
      <c r="F65" s="14">
        <v>1</v>
      </c>
      <c r="G65" s="14">
        <v>2.8</v>
      </c>
      <c r="H65" s="14">
        <v>0.2</v>
      </c>
      <c r="I65" s="14">
        <v>0.45</v>
      </c>
      <c r="J65" s="11">
        <f t="shared" si="2"/>
        <v>0.252</v>
      </c>
      <c r="K65" s="11">
        <f t="shared" si="3"/>
        <v>0.55999999999999994</v>
      </c>
      <c r="L65" s="11">
        <f t="shared" si="4"/>
        <v>2.1124999999999998</v>
      </c>
      <c r="M65" s="190">
        <v>0.125</v>
      </c>
      <c r="N65" s="14">
        <f t="shared" si="5"/>
        <v>0.32500000000000001</v>
      </c>
      <c r="O65" s="14">
        <f t="shared" si="6"/>
        <v>0.90999999999999992</v>
      </c>
      <c r="P65" s="190">
        <v>0.125</v>
      </c>
      <c r="Q65" s="14">
        <f t="shared" si="7"/>
        <v>0.32500000000000001</v>
      </c>
      <c r="R65" s="14">
        <f t="shared" si="8"/>
        <v>0.90999999999999992</v>
      </c>
      <c r="S65" s="14">
        <v>0.45</v>
      </c>
      <c r="T65" s="14"/>
      <c r="U65" s="191">
        <f t="shared" si="0"/>
        <v>0.29250000000000004</v>
      </c>
      <c r="V65" s="14"/>
      <c r="W65" s="14"/>
      <c r="X65" s="14"/>
      <c r="Y65" s="14"/>
      <c r="Z65" s="14"/>
      <c r="AA65" s="14"/>
      <c r="AB65" s="14">
        <f t="shared" si="90"/>
        <v>0</v>
      </c>
      <c r="AC65" s="14"/>
      <c r="AE65" s="11"/>
      <c r="AG65" s="52">
        <f t="shared" si="9"/>
        <v>2.6724999999999999</v>
      </c>
      <c r="AH65" s="52">
        <f t="shared" si="10"/>
        <v>0</v>
      </c>
      <c r="AI65" s="193">
        <f t="shared" si="17"/>
        <v>0</v>
      </c>
      <c r="AJ65" s="194">
        <f t="shared" si="36"/>
        <v>0</v>
      </c>
      <c r="AK65" s="195">
        <f t="shared" si="37"/>
        <v>2.6724999999999999</v>
      </c>
      <c r="AL65" s="196">
        <f t="shared" si="37"/>
        <v>0</v>
      </c>
      <c r="AM65" s="52">
        <f t="shared" si="13"/>
        <v>0</v>
      </c>
      <c r="AN65" s="52">
        <f t="shared" si="14"/>
        <v>0</v>
      </c>
      <c r="AO65" s="52">
        <f t="shared" si="15"/>
        <v>2.8</v>
      </c>
      <c r="AP65" s="52">
        <f t="shared" si="16"/>
        <v>0</v>
      </c>
    </row>
    <row r="66" spans="1:42" ht="20.100000000000001" customHeight="1" x14ac:dyDescent="0.25">
      <c r="A66" s="129"/>
      <c r="B66" s="182" t="s">
        <v>101</v>
      </c>
      <c r="C66" s="183"/>
      <c r="E66" s="189" t="s">
        <v>139</v>
      </c>
      <c r="F66" s="14">
        <v>1</v>
      </c>
      <c r="G66" s="14">
        <v>3.6</v>
      </c>
      <c r="H66" s="14">
        <v>0.2</v>
      </c>
      <c r="I66" s="14">
        <v>0.45</v>
      </c>
      <c r="J66" s="11">
        <f t="shared" si="2"/>
        <v>0.32400000000000007</v>
      </c>
      <c r="K66" s="11">
        <f t="shared" si="3"/>
        <v>0.72000000000000008</v>
      </c>
      <c r="L66" s="11">
        <f t="shared" si="4"/>
        <v>2.5425000000000004</v>
      </c>
      <c r="M66" s="190">
        <v>0.125</v>
      </c>
      <c r="N66" s="14">
        <f t="shared" si="5"/>
        <v>0.32500000000000001</v>
      </c>
      <c r="O66" s="14">
        <f t="shared" si="6"/>
        <v>1.1700000000000002</v>
      </c>
      <c r="P66" s="190">
        <v>0.125</v>
      </c>
      <c r="Q66" s="14">
        <f t="shared" si="7"/>
        <v>0.32500000000000001</v>
      </c>
      <c r="R66" s="14">
        <f t="shared" si="8"/>
        <v>1.1700000000000002</v>
      </c>
      <c r="S66" s="14">
        <v>0.45</v>
      </c>
      <c r="T66" s="14"/>
      <c r="U66" s="191">
        <f t="shared" si="0"/>
        <v>0.29250000000000004</v>
      </c>
      <c r="V66" s="14" t="s">
        <v>177</v>
      </c>
      <c r="W66" s="14"/>
      <c r="X66" s="14"/>
      <c r="Y66" s="14"/>
      <c r="Z66" s="14"/>
      <c r="AA66" s="14"/>
      <c r="AB66" s="14">
        <f t="shared" si="90"/>
        <v>9.0000000000000011E-2</v>
      </c>
      <c r="AC66" s="14"/>
      <c r="AE66" s="11"/>
      <c r="AG66" s="52">
        <f t="shared" si="9"/>
        <v>3.2625000000000006</v>
      </c>
      <c r="AH66" s="52">
        <f t="shared" si="10"/>
        <v>0</v>
      </c>
      <c r="AI66" s="193">
        <f t="shared" si="17"/>
        <v>0</v>
      </c>
      <c r="AJ66" s="194">
        <f t="shared" si="36"/>
        <v>0</v>
      </c>
      <c r="AK66" s="195">
        <f t="shared" si="37"/>
        <v>3.2625000000000006</v>
      </c>
      <c r="AL66" s="196">
        <f t="shared" si="37"/>
        <v>0</v>
      </c>
      <c r="AM66" s="52">
        <f t="shared" si="13"/>
        <v>0</v>
      </c>
      <c r="AN66" s="52">
        <f t="shared" si="14"/>
        <v>0</v>
      </c>
      <c r="AO66" s="52">
        <f t="shared" si="15"/>
        <v>3.6</v>
      </c>
      <c r="AP66" s="52">
        <f t="shared" si="16"/>
        <v>0</v>
      </c>
    </row>
    <row r="67" spans="1:42" ht="20.100000000000001" customHeight="1" x14ac:dyDescent="0.25">
      <c r="A67" s="129"/>
      <c r="B67" s="182" t="s">
        <v>101</v>
      </c>
      <c r="C67" s="183"/>
      <c r="E67" s="189" t="s">
        <v>140</v>
      </c>
      <c r="F67" s="14">
        <v>1</v>
      </c>
      <c r="G67" s="14">
        <v>3.6150000000000002</v>
      </c>
      <c r="H67" s="14">
        <v>0.2</v>
      </c>
      <c r="I67" s="14">
        <v>0.45</v>
      </c>
      <c r="J67" s="11">
        <f t="shared" si="2"/>
        <v>0.32535000000000003</v>
      </c>
      <c r="K67" s="11">
        <f t="shared" si="3"/>
        <v>0.72300000000000009</v>
      </c>
      <c r="L67" s="11">
        <f t="shared" si="4"/>
        <v>2.6422500000000002</v>
      </c>
      <c r="M67" s="190">
        <v>0.125</v>
      </c>
      <c r="N67" s="14">
        <f t="shared" si="5"/>
        <v>0.32500000000000001</v>
      </c>
      <c r="O67" s="14">
        <f t="shared" si="6"/>
        <v>1.1748750000000001</v>
      </c>
      <c r="P67" s="190">
        <v>0.125</v>
      </c>
      <c r="Q67" s="14">
        <f t="shared" si="7"/>
        <v>0.32500000000000001</v>
      </c>
      <c r="R67" s="14">
        <f t="shared" si="8"/>
        <v>1.1748750000000001</v>
      </c>
      <c r="S67" s="14">
        <v>0.45</v>
      </c>
      <c r="T67" s="14"/>
      <c r="U67" s="191">
        <f t="shared" si="0"/>
        <v>0.29250000000000004</v>
      </c>
      <c r="V67" s="14"/>
      <c r="W67" s="14"/>
      <c r="X67" s="14"/>
      <c r="Y67" s="14"/>
      <c r="Z67" s="14"/>
      <c r="AA67" s="14"/>
      <c r="AB67" s="14">
        <f t="shared" si="90"/>
        <v>0</v>
      </c>
      <c r="AC67" s="14"/>
      <c r="AE67" s="11"/>
      <c r="AG67" s="52">
        <f t="shared" si="9"/>
        <v>3.3652500000000005</v>
      </c>
      <c r="AH67" s="52">
        <f t="shared" si="10"/>
        <v>0</v>
      </c>
      <c r="AI67" s="193">
        <f t="shared" si="17"/>
        <v>0</v>
      </c>
      <c r="AJ67" s="194">
        <f t="shared" si="36"/>
        <v>0</v>
      </c>
      <c r="AK67" s="195">
        <f t="shared" si="37"/>
        <v>3.3652500000000005</v>
      </c>
      <c r="AL67" s="196">
        <f t="shared" si="37"/>
        <v>0</v>
      </c>
      <c r="AM67" s="52">
        <f t="shared" si="13"/>
        <v>0</v>
      </c>
      <c r="AN67" s="52">
        <f t="shared" si="14"/>
        <v>0</v>
      </c>
      <c r="AO67" s="52">
        <f t="shared" si="15"/>
        <v>3.6150000000000002</v>
      </c>
      <c r="AP67" s="52">
        <f t="shared" si="16"/>
        <v>0</v>
      </c>
    </row>
    <row r="68" spans="1:42" ht="20.100000000000001" customHeight="1" x14ac:dyDescent="0.25">
      <c r="A68" s="129"/>
      <c r="B68" s="182" t="s">
        <v>101</v>
      </c>
      <c r="C68" s="183"/>
      <c r="E68" s="189" t="s">
        <v>141</v>
      </c>
      <c r="F68" s="14">
        <v>1</v>
      </c>
      <c r="G68" s="14">
        <v>1.5</v>
      </c>
      <c r="H68" s="14">
        <v>0.2</v>
      </c>
      <c r="I68" s="14">
        <v>0.45</v>
      </c>
      <c r="J68" s="11">
        <f t="shared" si="2"/>
        <v>0.13500000000000004</v>
      </c>
      <c r="K68" s="11">
        <f t="shared" si="3"/>
        <v>0.30000000000000004</v>
      </c>
      <c r="L68" s="11">
        <f t="shared" si="4"/>
        <v>0.97500000000000009</v>
      </c>
      <c r="M68" s="190">
        <v>0.125</v>
      </c>
      <c r="N68" s="14">
        <f t="shared" si="5"/>
        <v>0.32500000000000001</v>
      </c>
      <c r="O68" s="14">
        <f t="shared" si="6"/>
        <v>0.48750000000000004</v>
      </c>
      <c r="P68" s="190">
        <v>0.125</v>
      </c>
      <c r="Q68" s="14">
        <f t="shared" si="7"/>
        <v>0.32500000000000001</v>
      </c>
      <c r="R68" s="14">
        <f t="shared" si="8"/>
        <v>0.48750000000000004</v>
      </c>
      <c r="S68" s="14"/>
      <c r="T68" s="14"/>
      <c r="U68" s="191">
        <f t="shared" si="0"/>
        <v>0</v>
      </c>
      <c r="V68" s="14"/>
      <c r="W68" s="14"/>
      <c r="X68" s="14"/>
      <c r="Y68" s="14"/>
      <c r="Z68" s="14"/>
      <c r="AA68" s="14"/>
      <c r="AB68" s="14">
        <f t="shared" si="90"/>
        <v>0</v>
      </c>
      <c r="AC68" s="14"/>
      <c r="AE68" s="11"/>
      <c r="AG68" s="52">
        <f t="shared" si="9"/>
        <v>1.2750000000000001</v>
      </c>
      <c r="AH68" s="52">
        <f t="shared" si="10"/>
        <v>0</v>
      </c>
      <c r="AI68" s="193">
        <f t="shared" si="17"/>
        <v>0</v>
      </c>
      <c r="AJ68" s="194">
        <f t="shared" si="36"/>
        <v>0</v>
      </c>
      <c r="AK68" s="195">
        <f t="shared" si="37"/>
        <v>1.2750000000000001</v>
      </c>
      <c r="AL68" s="196">
        <f t="shared" si="37"/>
        <v>0</v>
      </c>
      <c r="AM68" s="52">
        <f t="shared" si="13"/>
        <v>0</v>
      </c>
      <c r="AN68" s="52">
        <f t="shared" si="14"/>
        <v>0</v>
      </c>
      <c r="AO68" s="52">
        <f t="shared" si="15"/>
        <v>1.5</v>
      </c>
      <c r="AP68" s="52">
        <f t="shared" si="16"/>
        <v>0</v>
      </c>
    </row>
    <row r="69" spans="1:42" ht="20.100000000000001" customHeight="1" x14ac:dyDescent="0.25">
      <c r="A69" s="129"/>
      <c r="B69" s="182" t="s">
        <v>101</v>
      </c>
      <c r="C69" s="183"/>
      <c r="E69" s="189" t="s">
        <v>142</v>
      </c>
      <c r="F69" s="14">
        <v>1</v>
      </c>
      <c r="G69" s="14">
        <v>6.4130000000000003</v>
      </c>
      <c r="H69" s="14">
        <v>0.2</v>
      </c>
      <c r="I69" s="14">
        <v>0.45</v>
      </c>
      <c r="J69" s="11">
        <f t="shared" si="2"/>
        <v>0.57717000000000007</v>
      </c>
      <c r="K69" s="11">
        <f t="shared" si="3"/>
        <v>1.2826000000000002</v>
      </c>
      <c r="L69" s="11">
        <f t="shared" si="4"/>
        <v>5.4875749999999996</v>
      </c>
      <c r="M69" s="190">
        <v>0.125</v>
      </c>
      <c r="N69" s="14">
        <f t="shared" si="5"/>
        <v>0.32500000000000001</v>
      </c>
      <c r="O69" s="14">
        <f t="shared" si="6"/>
        <v>2.084225</v>
      </c>
      <c r="P69" s="190"/>
      <c r="Q69" s="14">
        <f t="shared" si="7"/>
        <v>0.45</v>
      </c>
      <c r="R69" s="14">
        <f t="shared" si="8"/>
        <v>2.88585</v>
      </c>
      <c r="S69" s="14">
        <v>0.45</v>
      </c>
      <c r="T69" s="14">
        <v>0.45</v>
      </c>
      <c r="U69" s="191">
        <f t="shared" si="0"/>
        <v>0.69750000000000001</v>
      </c>
      <c r="V69" s="14" t="s">
        <v>148</v>
      </c>
      <c r="W69" s="14" t="s">
        <v>178</v>
      </c>
      <c r="X69" s="14"/>
      <c r="Y69" s="14"/>
      <c r="Z69" s="14"/>
      <c r="AA69" s="14"/>
      <c r="AB69" s="14">
        <f t="shared" si="90"/>
        <v>0.18000000000000002</v>
      </c>
      <c r="AC69" s="14"/>
      <c r="AE69" s="11"/>
      <c r="AG69" s="52">
        <f t="shared" si="9"/>
        <v>6.7701750000000001</v>
      </c>
      <c r="AH69" s="52">
        <f t="shared" si="10"/>
        <v>0</v>
      </c>
      <c r="AI69" s="193">
        <f t="shared" si="17"/>
        <v>6.7701750000000001</v>
      </c>
      <c r="AJ69" s="194">
        <f t="shared" si="36"/>
        <v>0</v>
      </c>
      <c r="AK69" s="195">
        <f t="shared" si="37"/>
        <v>0</v>
      </c>
      <c r="AL69" s="196">
        <f t="shared" si="37"/>
        <v>0</v>
      </c>
      <c r="AM69" s="52">
        <f t="shared" si="13"/>
        <v>6.4130000000000003</v>
      </c>
      <c r="AN69" s="52">
        <f t="shared" si="14"/>
        <v>0</v>
      </c>
      <c r="AO69" s="52">
        <f t="shared" si="15"/>
        <v>0</v>
      </c>
      <c r="AP69" s="52">
        <f t="shared" si="16"/>
        <v>0</v>
      </c>
    </row>
    <row r="70" spans="1:42" ht="20.100000000000001" customHeight="1" x14ac:dyDescent="0.25">
      <c r="A70" s="129"/>
      <c r="B70" s="182" t="s">
        <v>101</v>
      </c>
      <c r="C70" s="183"/>
      <c r="E70" s="189" t="s">
        <v>179</v>
      </c>
      <c r="F70" s="14">
        <v>1</v>
      </c>
      <c r="G70" s="14">
        <v>7.4530000000000003</v>
      </c>
      <c r="H70" s="14">
        <v>0.2</v>
      </c>
      <c r="I70" s="14">
        <v>0.45</v>
      </c>
      <c r="J70" s="11">
        <f t="shared" si="2"/>
        <v>0.67077000000000009</v>
      </c>
      <c r="K70" s="11">
        <f t="shared" si="3"/>
        <v>1.4906000000000001</v>
      </c>
      <c r="L70" s="11">
        <f t="shared" si="4"/>
        <v>5.9448250000000007</v>
      </c>
      <c r="M70" s="190">
        <v>0.125</v>
      </c>
      <c r="N70" s="14">
        <f t="shared" si="5"/>
        <v>0.32500000000000001</v>
      </c>
      <c r="O70" s="14">
        <f t="shared" si="6"/>
        <v>2.4222250000000001</v>
      </c>
      <c r="P70" s="190"/>
      <c r="Q70" s="14">
        <f t="shared" si="7"/>
        <v>0.45</v>
      </c>
      <c r="R70" s="14">
        <f t="shared" si="8"/>
        <v>3.35385</v>
      </c>
      <c r="S70" s="14">
        <v>0.45</v>
      </c>
      <c r="T70" s="14"/>
      <c r="U70" s="191">
        <f t="shared" si="0"/>
        <v>0.34875</v>
      </c>
      <c r="V70" s="14" t="s">
        <v>180</v>
      </c>
      <c r="W70" s="14" t="s">
        <v>181</v>
      </c>
      <c r="X70" s="14"/>
      <c r="Y70" s="14"/>
      <c r="Z70" s="14"/>
      <c r="AA70" s="14"/>
      <c r="AB70" s="14">
        <f t="shared" si="90"/>
        <v>0.18000000000000002</v>
      </c>
      <c r="AC70" s="14"/>
      <c r="AE70" s="11"/>
      <c r="AG70" s="52">
        <f t="shared" si="9"/>
        <v>7.4354250000000004</v>
      </c>
      <c r="AH70" s="52">
        <f t="shared" si="10"/>
        <v>0</v>
      </c>
      <c r="AI70" s="193">
        <f t="shared" si="17"/>
        <v>7.4354250000000004</v>
      </c>
      <c r="AJ70" s="194">
        <f t="shared" si="36"/>
        <v>0</v>
      </c>
      <c r="AK70" s="195">
        <f t="shared" si="37"/>
        <v>0</v>
      </c>
      <c r="AL70" s="196">
        <f t="shared" si="37"/>
        <v>0</v>
      </c>
      <c r="AM70" s="52">
        <f t="shared" si="13"/>
        <v>7.4530000000000003</v>
      </c>
      <c r="AN70" s="52">
        <f t="shared" si="14"/>
        <v>0</v>
      </c>
      <c r="AO70" s="52">
        <f t="shared" si="15"/>
        <v>0</v>
      </c>
      <c r="AP70" s="52">
        <f t="shared" si="16"/>
        <v>0</v>
      </c>
    </row>
    <row r="71" spans="1:42" ht="20.100000000000001" customHeight="1" x14ac:dyDescent="0.25">
      <c r="A71" s="129"/>
      <c r="B71" s="182" t="s">
        <v>101</v>
      </c>
      <c r="C71" s="183"/>
      <c r="E71" s="189" t="s">
        <v>143</v>
      </c>
      <c r="F71" s="14">
        <v>0</v>
      </c>
      <c r="G71" s="14"/>
      <c r="H71" s="14"/>
      <c r="I71" s="14"/>
      <c r="J71" s="11">
        <f t="shared" si="2"/>
        <v>0</v>
      </c>
      <c r="K71" s="11">
        <f t="shared" si="3"/>
        <v>0</v>
      </c>
      <c r="L71" s="11">
        <f t="shared" si="4"/>
        <v>0</v>
      </c>
      <c r="M71" s="190"/>
      <c r="N71" s="14">
        <f t="shared" si="5"/>
        <v>0</v>
      </c>
      <c r="O71" s="14">
        <f t="shared" si="6"/>
        <v>0</v>
      </c>
      <c r="P71" s="190"/>
      <c r="Q71" s="14">
        <f t="shared" si="7"/>
        <v>0</v>
      </c>
      <c r="R71" s="14">
        <f t="shared" si="8"/>
        <v>0</v>
      </c>
      <c r="S71" s="14"/>
      <c r="T71" s="14"/>
      <c r="U71" s="191">
        <f t="shared" si="0"/>
        <v>0</v>
      </c>
      <c r="V71" s="14"/>
      <c r="W71" s="14"/>
      <c r="X71" s="14"/>
      <c r="Y71" s="14"/>
      <c r="Z71" s="14"/>
      <c r="AA71" s="14"/>
      <c r="AB71" s="14">
        <f t="shared" si="90"/>
        <v>0</v>
      </c>
      <c r="AC71" s="14"/>
      <c r="AE71" s="11"/>
      <c r="AG71" s="52">
        <f t="shared" si="9"/>
        <v>0</v>
      </c>
      <c r="AH71" s="52">
        <f t="shared" si="10"/>
        <v>0</v>
      </c>
      <c r="AI71" s="193">
        <f t="shared" si="17"/>
        <v>0</v>
      </c>
      <c r="AJ71" s="194">
        <f t="shared" si="36"/>
        <v>0</v>
      </c>
      <c r="AK71" s="195">
        <f t="shared" si="37"/>
        <v>0</v>
      </c>
      <c r="AL71" s="196">
        <f t="shared" si="37"/>
        <v>0</v>
      </c>
      <c r="AM71" s="52">
        <f t="shared" si="13"/>
        <v>0</v>
      </c>
      <c r="AN71" s="52">
        <f t="shared" si="14"/>
        <v>0</v>
      </c>
      <c r="AO71" s="52">
        <f t="shared" si="15"/>
        <v>0</v>
      </c>
      <c r="AP71" s="52">
        <f t="shared" si="16"/>
        <v>0</v>
      </c>
    </row>
    <row r="72" spans="1:42" ht="20.100000000000001" customHeight="1" x14ac:dyDescent="0.25">
      <c r="A72" s="129"/>
      <c r="B72" s="182" t="s">
        <v>101</v>
      </c>
      <c r="C72" s="183"/>
      <c r="E72" s="189" t="s">
        <v>144</v>
      </c>
      <c r="F72" s="14">
        <v>1</v>
      </c>
      <c r="G72" s="14">
        <v>4.1619999999999999</v>
      </c>
      <c r="H72" s="14">
        <v>0.2</v>
      </c>
      <c r="I72" s="14">
        <v>0.45</v>
      </c>
      <c r="J72" s="11">
        <f t="shared" si="2"/>
        <v>0.37458000000000002</v>
      </c>
      <c r="K72" s="11">
        <f t="shared" si="3"/>
        <v>0.83240000000000003</v>
      </c>
      <c r="L72" s="11">
        <f t="shared" si="4"/>
        <v>3.5743</v>
      </c>
      <c r="M72" s="190">
        <v>0.125</v>
      </c>
      <c r="N72" s="14">
        <f t="shared" si="5"/>
        <v>0.32500000000000001</v>
      </c>
      <c r="O72" s="14">
        <f t="shared" si="6"/>
        <v>1.3526500000000001</v>
      </c>
      <c r="P72" s="190"/>
      <c r="Q72" s="14">
        <f t="shared" si="7"/>
        <v>0.45</v>
      </c>
      <c r="R72" s="14">
        <f t="shared" si="8"/>
        <v>1.8729</v>
      </c>
      <c r="S72" s="14">
        <v>0.45</v>
      </c>
      <c r="T72" s="14"/>
      <c r="U72" s="191">
        <f t="shared" si="0"/>
        <v>0.34875</v>
      </c>
      <c r="V72" s="14" t="s">
        <v>137</v>
      </c>
      <c r="W72" s="14"/>
      <c r="X72" s="14"/>
      <c r="Y72" s="14"/>
      <c r="Z72" s="14"/>
      <c r="AA72" s="14"/>
      <c r="AB72" s="14">
        <f t="shared" si="90"/>
        <v>0</v>
      </c>
      <c r="AC72" s="14"/>
      <c r="AE72" s="11"/>
      <c r="AG72" s="52">
        <f t="shared" si="9"/>
        <v>4.4066999999999998</v>
      </c>
      <c r="AH72" s="52">
        <f t="shared" si="10"/>
        <v>0</v>
      </c>
      <c r="AI72" s="193">
        <f t="shared" si="17"/>
        <v>4.4066999999999998</v>
      </c>
      <c r="AJ72" s="194">
        <f t="shared" si="36"/>
        <v>0</v>
      </c>
      <c r="AK72" s="195">
        <f t="shared" si="37"/>
        <v>0</v>
      </c>
      <c r="AL72" s="196">
        <f t="shared" si="37"/>
        <v>0</v>
      </c>
      <c r="AM72" s="52">
        <f t="shared" si="13"/>
        <v>4.1619999999999999</v>
      </c>
      <c r="AN72" s="52">
        <f t="shared" si="14"/>
        <v>0</v>
      </c>
      <c r="AO72" s="52">
        <f t="shared" si="15"/>
        <v>0</v>
      </c>
      <c r="AP72" s="52">
        <f t="shared" si="16"/>
        <v>0</v>
      </c>
    </row>
    <row r="73" spans="1:42" ht="20.100000000000001" customHeight="1" x14ac:dyDescent="0.25">
      <c r="A73" s="129"/>
      <c r="B73" s="182" t="s">
        <v>101</v>
      </c>
      <c r="C73" s="183"/>
      <c r="E73" s="189" t="s">
        <v>145</v>
      </c>
      <c r="F73" s="14">
        <v>1</v>
      </c>
      <c r="G73" s="14">
        <v>9.0280000000000005</v>
      </c>
      <c r="H73" s="14">
        <v>0.2</v>
      </c>
      <c r="I73" s="14">
        <v>0.45</v>
      </c>
      <c r="J73" s="11">
        <f t="shared" si="2"/>
        <v>0.81252000000000002</v>
      </c>
      <c r="K73" s="11">
        <f t="shared" si="3"/>
        <v>1.8056000000000001</v>
      </c>
      <c r="L73" s="11">
        <f t="shared" si="4"/>
        <v>7.3454500000000005</v>
      </c>
      <c r="M73" s="190">
        <v>0.125</v>
      </c>
      <c r="N73" s="14">
        <f t="shared" si="5"/>
        <v>0.32500000000000001</v>
      </c>
      <c r="O73" s="14">
        <f t="shared" si="6"/>
        <v>2.9341000000000004</v>
      </c>
      <c r="P73" s="190"/>
      <c r="Q73" s="14">
        <f t="shared" si="7"/>
        <v>0.45</v>
      </c>
      <c r="R73" s="14">
        <f t="shared" si="8"/>
        <v>4.0626000000000007</v>
      </c>
      <c r="S73" s="14">
        <v>0.45</v>
      </c>
      <c r="T73" s="14"/>
      <c r="U73" s="191">
        <f t="shared" si="0"/>
        <v>0.34875</v>
      </c>
      <c r="V73" s="14" t="s">
        <v>118</v>
      </c>
      <c r="W73" s="14" t="s">
        <v>126</v>
      </c>
      <c r="X73" s="14"/>
      <c r="Y73" s="14"/>
      <c r="Z73" s="14"/>
      <c r="AA73" s="14"/>
      <c r="AB73" s="14">
        <f t="shared" si="90"/>
        <v>0</v>
      </c>
      <c r="AC73" s="14"/>
      <c r="AE73" s="11"/>
      <c r="AG73" s="52">
        <f t="shared" si="9"/>
        <v>9.1510500000000015</v>
      </c>
      <c r="AH73" s="52">
        <f t="shared" si="10"/>
        <v>0</v>
      </c>
      <c r="AI73" s="193">
        <f t="shared" si="17"/>
        <v>9.1510500000000015</v>
      </c>
      <c r="AJ73" s="194">
        <f t="shared" si="36"/>
        <v>0</v>
      </c>
      <c r="AK73" s="195">
        <f t="shared" si="37"/>
        <v>0</v>
      </c>
      <c r="AL73" s="196">
        <f t="shared" si="37"/>
        <v>0</v>
      </c>
      <c r="AM73" s="52">
        <f t="shared" si="13"/>
        <v>9.0280000000000005</v>
      </c>
      <c r="AN73" s="52">
        <f t="shared" si="14"/>
        <v>0</v>
      </c>
      <c r="AO73" s="52">
        <f t="shared" si="15"/>
        <v>0</v>
      </c>
      <c r="AP73" s="52">
        <f t="shared" si="16"/>
        <v>0</v>
      </c>
    </row>
    <row r="74" spans="1:42" ht="20.100000000000001" customHeight="1" x14ac:dyDescent="0.25">
      <c r="A74" s="129"/>
      <c r="B74" s="182" t="s">
        <v>101</v>
      </c>
      <c r="C74" s="183"/>
      <c r="E74" s="189" t="s">
        <v>146</v>
      </c>
      <c r="F74" s="14">
        <v>1</v>
      </c>
      <c r="G74" s="14">
        <v>5.3</v>
      </c>
      <c r="H74" s="14">
        <v>0.2</v>
      </c>
      <c r="I74" s="14">
        <v>0.45</v>
      </c>
      <c r="J74" s="11">
        <f t="shared" si="2"/>
        <v>0.47700000000000004</v>
      </c>
      <c r="K74" s="11">
        <f t="shared" si="3"/>
        <v>1.06</v>
      </c>
      <c r="L74" s="11">
        <f t="shared" si="4"/>
        <v>4.1074999999999999</v>
      </c>
      <c r="M74" s="190">
        <v>0.125</v>
      </c>
      <c r="N74" s="14">
        <f t="shared" si="5"/>
        <v>0.32500000000000001</v>
      </c>
      <c r="O74" s="14">
        <f t="shared" si="6"/>
        <v>1.7224999999999999</v>
      </c>
      <c r="P74" s="190"/>
      <c r="Q74" s="14">
        <f t="shared" si="7"/>
        <v>0.45</v>
      </c>
      <c r="R74" s="14">
        <f t="shared" si="8"/>
        <v>2.3849999999999998</v>
      </c>
      <c r="S74" s="14"/>
      <c r="T74" s="14"/>
      <c r="U74" s="191">
        <f t="shared" si="0"/>
        <v>0</v>
      </c>
      <c r="V74" s="14" t="s">
        <v>103</v>
      </c>
      <c r="W74" s="14"/>
      <c r="X74" s="14"/>
      <c r="Y74" s="14"/>
      <c r="Z74" s="14"/>
      <c r="AA74" s="14"/>
      <c r="AB74" s="14">
        <f t="shared" si="90"/>
        <v>0</v>
      </c>
      <c r="AC74" s="14"/>
      <c r="AE74" s="11"/>
      <c r="AG74" s="52">
        <f t="shared" si="9"/>
        <v>5.1675000000000004</v>
      </c>
      <c r="AH74" s="52">
        <f t="shared" si="10"/>
        <v>0</v>
      </c>
      <c r="AI74" s="193">
        <f t="shared" si="17"/>
        <v>5.1675000000000004</v>
      </c>
      <c r="AJ74" s="194">
        <f t="shared" si="36"/>
        <v>0</v>
      </c>
      <c r="AK74" s="195">
        <f t="shared" si="37"/>
        <v>0</v>
      </c>
      <c r="AL74" s="196">
        <f t="shared" si="37"/>
        <v>0</v>
      </c>
      <c r="AM74" s="52">
        <f t="shared" si="13"/>
        <v>5.3</v>
      </c>
      <c r="AN74" s="52">
        <f t="shared" si="14"/>
        <v>0</v>
      </c>
      <c r="AO74" s="52">
        <f t="shared" si="15"/>
        <v>0</v>
      </c>
      <c r="AP74" s="52">
        <f t="shared" si="16"/>
        <v>0</v>
      </c>
    </row>
    <row r="75" spans="1:42" ht="20.100000000000001" customHeight="1" x14ac:dyDescent="0.25">
      <c r="A75" s="129"/>
      <c r="B75" s="182" t="s">
        <v>101</v>
      </c>
      <c r="C75" s="183"/>
      <c r="E75" s="189" t="s">
        <v>147</v>
      </c>
      <c r="F75" s="14">
        <v>1</v>
      </c>
      <c r="G75" s="14">
        <v>4</v>
      </c>
      <c r="H75" s="14">
        <v>0.2</v>
      </c>
      <c r="I75" s="14">
        <v>0.45</v>
      </c>
      <c r="J75" s="11">
        <f t="shared" si="2"/>
        <v>0.36000000000000004</v>
      </c>
      <c r="K75" s="11">
        <f t="shared" si="3"/>
        <v>0.8</v>
      </c>
      <c r="L75" s="11">
        <f t="shared" si="4"/>
        <v>2.5325000000000002</v>
      </c>
      <c r="M75" s="190">
        <v>0.125</v>
      </c>
      <c r="N75" s="14">
        <f t="shared" si="5"/>
        <v>0.32500000000000001</v>
      </c>
      <c r="O75" s="14">
        <f t="shared" si="6"/>
        <v>1.3</v>
      </c>
      <c r="P75" s="190">
        <v>0.125</v>
      </c>
      <c r="Q75" s="14">
        <f t="shared" si="7"/>
        <v>0.32500000000000001</v>
      </c>
      <c r="R75" s="14">
        <f t="shared" si="8"/>
        <v>1.3</v>
      </c>
      <c r="S75" s="14"/>
      <c r="T75" s="14"/>
      <c r="U75" s="191">
        <f t="shared" si="0"/>
        <v>0</v>
      </c>
      <c r="V75" s="14" t="s">
        <v>132</v>
      </c>
      <c r="W75" s="14" t="s">
        <v>131</v>
      </c>
      <c r="X75" s="14"/>
      <c r="Y75" s="14"/>
      <c r="Z75" s="14"/>
      <c r="AA75" s="14"/>
      <c r="AB75" s="14">
        <f t="shared" si="90"/>
        <v>6.7500000000000004E-2</v>
      </c>
      <c r="AC75" s="14"/>
      <c r="AE75" s="11"/>
      <c r="AG75" s="52">
        <f t="shared" si="9"/>
        <v>3.3325000000000005</v>
      </c>
      <c r="AH75" s="52">
        <f t="shared" si="10"/>
        <v>0</v>
      </c>
      <c r="AI75" s="193">
        <f t="shared" si="17"/>
        <v>0</v>
      </c>
      <c r="AJ75" s="194">
        <f t="shared" si="36"/>
        <v>0</v>
      </c>
      <c r="AK75" s="195">
        <f t="shared" si="37"/>
        <v>3.3325000000000005</v>
      </c>
      <c r="AL75" s="196">
        <f t="shared" si="37"/>
        <v>0</v>
      </c>
      <c r="AM75" s="52">
        <f t="shared" si="13"/>
        <v>0</v>
      </c>
      <c r="AN75" s="52">
        <f t="shared" si="14"/>
        <v>0</v>
      </c>
      <c r="AO75" s="52">
        <f t="shared" si="15"/>
        <v>4</v>
      </c>
      <c r="AP75" s="52">
        <f t="shared" si="16"/>
        <v>0</v>
      </c>
    </row>
    <row r="76" spans="1:42" ht="20.100000000000001" customHeight="1" x14ac:dyDescent="0.25">
      <c r="A76" s="129"/>
      <c r="B76" s="182" t="s">
        <v>101</v>
      </c>
      <c r="C76" s="183"/>
      <c r="E76" s="189" t="s">
        <v>148</v>
      </c>
      <c r="F76" s="14">
        <v>1</v>
      </c>
      <c r="G76" s="14">
        <v>1.5</v>
      </c>
      <c r="H76" s="14">
        <v>0.2</v>
      </c>
      <c r="I76" s="14">
        <v>0.45</v>
      </c>
      <c r="J76" s="11">
        <f t="shared" si="2"/>
        <v>0.13500000000000004</v>
      </c>
      <c r="K76" s="11">
        <f t="shared" si="3"/>
        <v>0.30000000000000004</v>
      </c>
      <c r="L76" s="11">
        <f t="shared" si="4"/>
        <v>0.97500000000000009</v>
      </c>
      <c r="M76" s="190">
        <v>0.125</v>
      </c>
      <c r="N76" s="14">
        <f t="shared" si="5"/>
        <v>0.32500000000000001</v>
      </c>
      <c r="O76" s="14">
        <f t="shared" si="6"/>
        <v>0.48750000000000004</v>
      </c>
      <c r="P76" s="190">
        <v>0.125</v>
      </c>
      <c r="Q76" s="14">
        <f t="shared" si="7"/>
        <v>0.32500000000000001</v>
      </c>
      <c r="R76" s="14">
        <f t="shared" si="8"/>
        <v>0.48750000000000004</v>
      </c>
      <c r="S76" s="14"/>
      <c r="T76" s="14"/>
      <c r="U76" s="191">
        <f t="shared" si="0"/>
        <v>0</v>
      </c>
      <c r="V76" s="14"/>
      <c r="W76" s="14"/>
      <c r="X76" s="14"/>
      <c r="Y76" s="14"/>
      <c r="Z76" s="14"/>
      <c r="AA76" s="14"/>
      <c r="AB76" s="14">
        <f t="shared" si="90"/>
        <v>0</v>
      </c>
      <c r="AC76" s="14"/>
      <c r="AE76" s="11"/>
      <c r="AG76" s="52">
        <f t="shared" si="9"/>
        <v>1.2750000000000001</v>
      </c>
      <c r="AH76" s="52">
        <f t="shared" si="10"/>
        <v>0</v>
      </c>
      <c r="AI76" s="193">
        <f t="shared" si="17"/>
        <v>0</v>
      </c>
      <c r="AJ76" s="194">
        <f t="shared" si="36"/>
        <v>0</v>
      </c>
      <c r="AK76" s="195">
        <f t="shared" si="37"/>
        <v>1.2750000000000001</v>
      </c>
      <c r="AL76" s="196">
        <f t="shared" si="37"/>
        <v>0</v>
      </c>
      <c r="AM76" s="52">
        <f t="shared" si="13"/>
        <v>0</v>
      </c>
      <c r="AN76" s="52">
        <f t="shared" si="14"/>
        <v>0</v>
      </c>
      <c r="AO76" s="52">
        <f t="shared" si="15"/>
        <v>1.5</v>
      </c>
      <c r="AP76" s="52">
        <f t="shared" si="16"/>
        <v>0</v>
      </c>
    </row>
    <row r="77" spans="1:42" ht="20.100000000000001" customHeight="1" x14ac:dyDescent="0.25">
      <c r="A77" s="129"/>
      <c r="B77" s="182" t="s">
        <v>101</v>
      </c>
      <c r="C77" s="183"/>
      <c r="E77" s="189" t="s">
        <v>149</v>
      </c>
      <c r="F77" s="14">
        <v>1</v>
      </c>
      <c r="G77" s="14">
        <v>3.75</v>
      </c>
      <c r="H77" s="14">
        <v>0.2</v>
      </c>
      <c r="I77" s="14">
        <v>0.45</v>
      </c>
      <c r="J77" s="11">
        <f t="shared" si="2"/>
        <v>0.33750000000000002</v>
      </c>
      <c r="K77" s="11">
        <f t="shared" si="3"/>
        <v>0.75</v>
      </c>
      <c r="L77" s="11">
        <f t="shared" si="4"/>
        <v>2.73</v>
      </c>
      <c r="M77" s="190">
        <v>0.125</v>
      </c>
      <c r="N77" s="14">
        <f t="shared" si="5"/>
        <v>0.32500000000000001</v>
      </c>
      <c r="O77" s="14">
        <f t="shared" si="6"/>
        <v>1.21875</v>
      </c>
      <c r="P77" s="190">
        <v>0.125</v>
      </c>
      <c r="Q77" s="14">
        <f t="shared" si="7"/>
        <v>0.32500000000000001</v>
      </c>
      <c r="R77" s="14">
        <f t="shared" si="8"/>
        <v>1.21875</v>
      </c>
      <c r="S77" s="14">
        <v>0.45</v>
      </c>
      <c r="T77" s="14"/>
      <c r="U77" s="191">
        <f t="shared" si="0"/>
        <v>0.29250000000000004</v>
      </c>
      <c r="V77" s="14"/>
      <c r="W77" s="14"/>
      <c r="X77" s="14"/>
      <c r="Y77" s="14"/>
      <c r="Z77" s="14"/>
      <c r="AA77" s="14"/>
      <c r="AB77" s="14">
        <f t="shared" si="90"/>
        <v>0</v>
      </c>
      <c r="AC77" s="14"/>
      <c r="AE77" s="11"/>
      <c r="AG77" s="52">
        <f t="shared" si="9"/>
        <v>3.48</v>
      </c>
      <c r="AH77" s="52">
        <f t="shared" si="10"/>
        <v>0</v>
      </c>
      <c r="AI77" s="193">
        <f t="shared" si="17"/>
        <v>0</v>
      </c>
      <c r="AJ77" s="194">
        <f t="shared" si="36"/>
        <v>0</v>
      </c>
      <c r="AK77" s="195">
        <f t="shared" si="37"/>
        <v>3.48</v>
      </c>
      <c r="AL77" s="196">
        <f t="shared" si="37"/>
        <v>0</v>
      </c>
      <c r="AM77" s="52">
        <f t="shared" si="13"/>
        <v>0</v>
      </c>
      <c r="AN77" s="52">
        <f t="shared" si="14"/>
        <v>0</v>
      </c>
      <c r="AO77" s="52">
        <f t="shared" si="15"/>
        <v>3.75</v>
      </c>
      <c r="AP77" s="52">
        <f t="shared" si="16"/>
        <v>0</v>
      </c>
    </row>
    <row r="78" spans="1:42" ht="20.100000000000001" customHeight="1" x14ac:dyDescent="0.25">
      <c r="A78" s="129"/>
      <c r="B78" s="182" t="s">
        <v>101</v>
      </c>
      <c r="C78" s="183"/>
      <c r="E78" s="189" t="s">
        <v>150</v>
      </c>
      <c r="F78" s="14">
        <v>1</v>
      </c>
      <c r="G78" s="14">
        <v>3.34</v>
      </c>
      <c r="H78" s="14">
        <v>0.2</v>
      </c>
      <c r="I78" s="14">
        <v>0.45</v>
      </c>
      <c r="J78" s="11">
        <f t="shared" si="2"/>
        <v>0.30060000000000003</v>
      </c>
      <c r="K78" s="11">
        <f t="shared" si="3"/>
        <v>0.66800000000000004</v>
      </c>
      <c r="L78" s="11">
        <f t="shared" si="4"/>
        <v>2.5934999999999997</v>
      </c>
      <c r="M78" s="190">
        <v>0.125</v>
      </c>
      <c r="N78" s="14">
        <f t="shared" si="5"/>
        <v>0.32500000000000001</v>
      </c>
      <c r="O78" s="14">
        <f t="shared" si="6"/>
        <v>1.0854999999999999</v>
      </c>
      <c r="P78" s="190">
        <v>0.125</v>
      </c>
      <c r="Q78" s="14">
        <f t="shared" si="7"/>
        <v>0.32500000000000001</v>
      </c>
      <c r="R78" s="14">
        <f t="shared" si="8"/>
        <v>1.0854999999999999</v>
      </c>
      <c r="S78" s="14">
        <v>0.65</v>
      </c>
      <c r="T78" s="14"/>
      <c r="U78" s="191">
        <f t="shared" si="0"/>
        <v>0.42250000000000004</v>
      </c>
      <c r="V78" s="14"/>
      <c r="W78" s="14"/>
      <c r="X78" s="14"/>
      <c r="Y78" s="14"/>
      <c r="Z78" s="14"/>
      <c r="AA78" s="14"/>
      <c r="AB78" s="14">
        <f t="shared" si="90"/>
        <v>0</v>
      </c>
      <c r="AC78" s="14"/>
      <c r="AE78" s="11"/>
      <c r="AG78" s="52">
        <f t="shared" si="9"/>
        <v>3.2614999999999998</v>
      </c>
      <c r="AH78" s="52">
        <f t="shared" si="10"/>
        <v>0</v>
      </c>
      <c r="AI78" s="193">
        <f t="shared" si="17"/>
        <v>0</v>
      </c>
      <c r="AJ78" s="194">
        <f t="shared" si="36"/>
        <v>0</v>
      </c>
      <c r="AK78" s="195">
        <f t="shared" si="37"/>
        <v>3.2614999999999998</v>
      </c>
      <c r="AL78" s="196">
        <f t="shared" si="37"/>
        <v>0</v>
      </c>
      <c r="AM78" s="52">
        <f t="shared" si="13"/>
        <v>0</v>
      </c>
      <c r="AN78" s="52">
        <f t="shared" si="14"/>
        <v>0</v>
      </c>
      <c r="AO78" s="52">
        <f t="shared" si="15"/>
        <v>3.34</v>
      </c>
      <c r="AP78" s="52">
        <f t="shared" si="16"/>
        <v>0</v>
      </c>
    </row>
    <row r="79" spans="1:42" ht="20.100000000000001" customHeight="1" x14ac:dyDescent="0.25">
      <c r="A79" s="129"/>
      <c r="B79" s="182" t="s">
        <v>101</v>
      </c>
      <c r="C79" s="183"/>
      <c r="E79" s="189" t="s">
        <v>151</v>
      </c>
      <c r="F79" s="14">
        <v>1</v>
      </c>
      <c r="G79" s="14">
        <v>3.55</v>
      </c>
      <c r="H79" s="14">
        <v>0.2</v>
      </c>
      <c r="I79" s="14">
        <v>0.45</v>
      </c>
      <c r="J79" s="11">
        <f t="shared" si="2"/>
        <v>0.31950000000000001</v>
      </c>
      <c r="K79" s="11">
        <f t="shared" si="3"/>
        <v>0.71</v>
      </c>
      <c r="L79" s="11">
        <f t="shared" si="4"/>
        <v>2.3075000000000001</v>
      </c>
      <c r="M79" s="190">
        <v>0.125</v>
      </c>
      <c r="N79" s="14">
        <f t="shared" si="5"/>
        <v>0.32500000000000001</v>
      </c>
      <c r="O79" s="14">
        <f t="shared" si="6"/>
        <v>1.1537500000000001</v>
      </c>
      <c r="P79" s="190">
        <v>0.125</v>
      </c>
      <c r="Q79" s="14">
        <f t="shared" si="7"/>
        <v>0.32500000000000001</v>
      </c>
      <c r="R79" s="14">
        <f t="shared" si="8"/>
        <v>1.1537500000000001</v>
      </c>
      <c r="S79" s="14"/>
      <c r="T79" s="14"/>
      <c r="U79" s="191">
        <f t="shared" si="0"/>
        <v>0</v>
      </c>
      <c r="V79" s="14"/>
      <c r="W79" s="14"/>
      <c r="X79" s="14"/>
      <c r="Y79" s="14"/>
      <c r="Z79" s="14"/>
      <c r="AA79" s="14"/>
      <c r="AB79" s="14">
        <f t="shared" si="90"/>
        <v>0</v>
      </c>
      <c r="AC79" s="14"/>
      <c r="AE79" s="11"/>
      <c r="AG79" s="52">
        <f t="shared" si="9"/>
        <v>3.0175000000000001</v>
      </c>
      <c r="AH79" s="52">
        <f t="shared" si="10"/>
        <v>0</v>
      </c>
      <c r="AI79" s="193">
        <f t="shared" si="17"/>
        <v>0</v>
      </c>
      <c r="AJ79" s="194">
        <f t="shared" si="36"/>
        <v>0</v>
      </c>
      <c r="AK79" s="195">
        <f t="shared" si="37"/>
        <v>3.0175000000000001</v>
      </c>
      <c r="AL79" s="196">
        <f t="shared" si="37"/>
        <v>0</v>
      </c>
      <c r="AM79" s="52">
        <f t="shared" si="13"/>
        <v>0</v>
      </c>
      <c r="AN79" s="52">
        <f t="shared" si="14"/>
        <v>0</v>
      </c>
      <c r="AO79" s="52">
        <f t="shared" si="15"/>
        <v>3.55</v>
      </c>
      <c r="AP79" s="52">
        <f t="shared" si="16"/>
        <v>0</v>
      </c>
    </row>
    <row r="80" spans="1:42" ht="20.100000000000001" customHeight="1" x14ac:dyDescent="0.25">
      <c r="A80" s="129"/>
      <c r="B80" s="182" t="s">
        <v>101</v>
      </c>
      <c r="C80" s="183"/>
      <c r="E80" s="189" t="s">
        <v>152</v>
      </c>
      <c r="F80" s="14">
        <v>1</v>
      </c>
      <c r="G80" s="14">
        <v>1.5</v>
      </c>
      <c r="H80" s="14">
        <v>0.2</v>
      </c>
      <c r="I80" s="14">
        <v>0.45</v>
      </c>
      <c r="J80" s="11">
        <f t="shared" si="2"/>
        <v>0.13500000000000004</v>
      </c>
      <c r="K80" s="11">
        <f t="shared" si="3"/>
        <v>0.30000000000000004</v>
      </c>
      <c r="L80" s="11">
        <f t="shared" si="4"/>
        <v>0.97500000000000009</v>
      </c>
      <c r="M80" s="190">
        <v>0.125</v>
      </c>
      <c r="N80" s="14">
        <f t="shared" si="5"/>
        <v>0.32500000000000001</v>
      </c>
      <c r="O80" s="14">
        <f t="shared" si="6"/>
        <v>0.48750000000000004</v>
      </c>
      <c r="P80" s="190">
        <v>0.125</v>
      </c>
      <c r="Q80" s="14">
        <f t="shared" si="7"/>
        <v>0.32500000000000001</v>
      </c>
      <c r="R80" s="14">
        <f t="shared" si="8"/>
        <v>0.48750000000000004</v>
      </c>
      <c r="S80" s="14"/>
      <c r="T80" s="14"/>
      <c r="U80" s="191">
        <f t="shared" si="0"/>
        <v>0</v>
      </c>
      <c r="V80" s="14"/>
      <c r="W80" s="14"/>
      <c r="X80" s="14"/>
      <c r="Y80" s="14"/>
      <c r="Z80" s="14"/>
      <c r="AA80" s="14"/>
      <c r="AB80" s="14">
        <f t="shared" si="90"/>
        <v>0</v>
      </c>
      <c r="AC80" s="14"/>
      <c r="AE80" s="11"/>
      <c r="AG80" s="52">
        <f t="shared" si="9"/>
        <v>1.2750000000000001</v>
      </c>
      <c r="AH80" s="52">
        <f t="shared" si="10"/>
        <v>0</v>
      </c>
      <c r="AI80" s="193">
        <f t="shared" si="17"/>
        <v>0</v>
      </c>
      <c r="AJ80" s="194">
        <f t="shared" si="36"/>
        <v>0</v>
      </c>
      <c r="AK80" s="195">
        <f t="shared" si="37"/>
        <v>1.2750000000000001</v>
      </c>
      <c r="AL80" s="196">
        <f t="shared" si="37"/>
        <v>0</v>
      </c>
      <c r="AM80" s="52">
        <f t="shared" si="13"/>
        <v>0</v>
      </c>
      <c r="AN80" s="52">
        <f t="shared" si="14"/>
        <v>0</v>
      </c>
      <c r="AO80" s="52">
        <f t="shared" si="15"/>
        <v>1.5</v>
      </c>
      <c r="AP80" s="52">
        <f t="shared" si="16"/>
        <v>0</v>
      </c>
    </row>
    <row r="81" spans="1:42" ht="20.100000000000001" customHeight="1" x14ac:dyDescent="0.25">
      <c r="A81" s="129"/>
      <c r="B81" s="182" t="s">
        <v>101</v>
      </c>
      <c r="C81" s="183"/>
      <c r="E81" s="189" t="s">
        <v>153</v>
      </c>
      <c r="F81" s="14">
        <v>1</v>
      </c>
      <c r="G81" s="14">
        <v>3.49</v>
      </c>
      <c r="H81" s="14">
        <v>0.2</v>
      </c>
      <c r="I81" s="14">
        <v>0.45</v>
      </c>
      <c r="J81" s="11">
        <f t="shared" si="2"/>
        <v>0.31410000000000005</v>
      </c>
      <c r="K81" s="11">
        <f t="shared" si="3"/>
        <v>0.69800000000000006</v>
      </c>
      <c r="L81" s="11">
        <f t="shared" si="4"/>
        <v>3.0535000000000005</v>
      </c>
      <c r="M81" s="190">
        <v>0.125</v>
      </c>
      <c r="N81" s="14">
        <f t="shared" si="5"/>
        <v>0.32500000000000001</v>
      </c>
      <c r="O81" s="14">
        <f t="shared" si="6"/>
        <v>1.1342500000000002</v>
      </c>
      <c r="P81" s="190"/>
      <c r="Q81" s="14">
        <f t="shared" si="7"/>
        <v>0.45</v>
      </c>
      <c r="R81" s="14">
        <f t="shared" si="8"/>
        <v>1.5705000000000002</v>
      </c>
      <c r="S81" s="14">
        <v>0.45</v>
      </c>
      <c r="T81" s="14"/>
      <c r="U81" s="191">
        <f t="shared" si="0"/>
        <v>0.34875</v>
      </c>
      <c r="V81" s="14"/>
      <c r="W81" s="14"/>
      <c r="X81" s="14"/>
      <c r="Y81" s="14"/>
      <c r="Z81" s="14"/>
      <c r="AA81" s="14"/>
      <c r="AB81" s="14">
        <f t="shared" si="90"/>
        <v>0</v>
      </c>
      <c r="AC81" s="14"/>
      <c r="AE81" s="11"/>
      <c r="AG81" s="52">
        <f t="shared" si="9"/>
        <v>3.7515000000000005</v>
      </c>
      <c r="AH81" s="52">
        <f t="shared" si="10"/>
        <v>0</v>
      </c>
      <c r="AI81" s="193">
        <f t="shared" si="17"/>
        <v>3.7515000000000005</v>
      </c>
      <c r="AJ81" s="194">
        <f t="shared" si="36"/>
        <v>0</v>
      </c>
      <c r="AK81" s="195">
        <f t="shared" si="37"/>
        <v>0</v>
      </c>
      <c r="AL81" s="196">
        <f t="shared" si="37"/>
        <v>0</v>
      </c>
      <c r="AM81" s="52">
        <f t="shared" si="13"/>
        <v>3.49</v>
      </c>
      <c r="AN81" s="52">
        <f t="shared" si="14"/>
        <v>0</v>
      </c>
      <c r="AO81" s="52">
        <f t="shared" si="15"/>
        <v>0</v>
      </c>
      <c r="AP81" s="52">
        <f t="shared" si="16"/>
        <v>0</v>
      </c>
    </row>
    <row r="82" spans="1:42" ht="20.100000000000001" customHeight="1" x14ac:dyDescent="0.25">
      <c r="A82" s="129"/>
      <c r="B82" s="182" t="s">
        <v>101</v>
      </c>
      <c r="C82" s="183"/>
      <c r="E82" s="189" t="s">
        <v>154</v>
      </c>
      <c r="F82" s="14">
        <v>1</v>
      </c>
      <c r="G82" s="14">
        <v>3.6</v>
      </c>
      <c r="H82" s="14">
        <v>0.2</v>
      </c>
      <c r="I82" s="14">
        <v>0.45</v>
      </c>
      <c r="J82" s="11">
        <f t="shared" si="2"/>
        <v>0.32400000000000007</v>
      </c>
      <c r="K82" s="11">
        <f t="shared" si="3"/>
        <v>0.72000000000000008</v>
      </c>
      <c r="L82" s="11">
        <f t="shared" si="4"/>
        <v>2.3400000000000003</v>
      </c>
      <c r="M82" s="190">
        <v>0.125</v>
      </c>
      <c r="N82" s="14">
        <f t="shared" si="5"/>
        <v>0.32500000000000001</v>
      </c>
      <c r="O82" s="14">
        <f t="shared" si="6"/>
        <v>1.1700000000000002</v>
      </c>
      <c r="P82" s="190">
        <v>0.125</v>
      </c>
      <c r="Q82" s="14">
        <f t="shared" si="7"/>
        <v>0.32500000000000001</v>
      </c>
      <c r="R82" s="14">
        <f t="shared" si="8"/>
        <v>1.1700000000000002</v>
      </c>
      <c r="S82" s="14"/>
      <c r="T82" s="14"/>
      <c r="U82" s="191">
        <f t="shared" si="0"/>
        <v>0</v>
      </c>
      <c r="V82" s="14"/>
      <c r="W82" s="14"/>
      <c r="X82" s="14"/>
      <c r="Y82" s="14"/>
      <c r="Z82" s="14"/>
      <c r="AA82" s="14"/>
      <c r="AB82" s="14">
        <f t="shared" si="90"/>
        <v>0</v>
      </c>
      <c r="AC82" s="14"/>
      <c r="AE82" s="11"/>
      <c r="AG82" s="52">
        <f t="shared" si="9"/>
        <v>3.0600000000000005</v>
      </c>
      <c r="AH82" s="52">
        <f t="shared" si="10"/>
        <v>0</v>
      </c>
      <c r="AI82" s="193">
        <f t="shared" si="17"/>
        <v>0</v>
      </c>
      <c r="AJ82" s="194">
        <f t="shared" si="36"/>
        <v>0</v>
      </c>
      <c r="AK82" s="195">
        <f t="shared" si="37"/>
        <v>3.0600000000000005</v>
      </c>
      <c r="AL82" s="196">
        <f t="shared" si="37"/>
        <v>0</v>
      </c>
      <c r="AM82" s="52">
        <f t="shared" si="13"/>
        <v>0</v>
      </c>
      <c r="AN82" s="52">
        <f t="shared" si="14"/>
        <v>0</v>
      </c>
      <c r="AO82" s="52">
        <f t="shared" si="15"/>
        <v>3.6</v>
      </c>
      <c r="AP82" s="52">
        <f t="shared" si="16"/>
        <v>0</v>
      </c>
    </row>
    <row r="83" spans="1:42" ht="20.100000000000001" customHeight="1" x14ac:dyDescent="0.25">
      <c r="A83" s="129"/>
      <c r="B83" s="182" t="s">
        <v>101</v>
      </c>
      <c r="C83" s="183"/>
      <c r="E83" s="189" t="s">
        <v>155</v>
      </c>
      <c r="F83" s="14">
        <v>1</v>
      </c>
      <c r="G83" s="14">
        <v>4</v>
      </c>
      <c r="H83" s="14">
        <v>0.2</v>
      </c>
      <c r="I83" s="14">
        <v>0.45</v>
      </c>
      <c r="J83" s="11">
        <f t="shared" si="2"/>
        <v>0.36000000000000004</v>
      </c>
      <c r="K83" s="11">
        <f t="shared" si="3"/>
        <v>0.8</v>
      </c>
      <c r="L83" s="11">
        <f t="shared" si="4"/>
        <v>2.5100000000000002</v>
      </c>
      <c r="M83" s="190">
        <v>0.125</v>
      </c>
      <c r="N83" s="14">
        <f t="shared" ref="N83:N105" si="127">+I83-M83</f>
        <v>0.32500000000000001</v>
      </c>
      <c r="O83" s="14">
        <f t="shared" ref="O83:O105" si="128">+PRODUCT(F83,G83,N83)</f>
        <v>1.3</v>
      </c>
      <c r="P83" s="190">
        <v>0.125</v>
      </c>
      <c r="Q83" s="14">
        <f t="shared" ref="Q83:Q105" si="129">+I83-P83</f>
        <v>0.32500000000000001</v>
      </c>
      <c r="R83" s="14">
        <f t="shared" ref="R83:R105" si="130">+PRODUCT(F83:G83,Q83)</f>
        <v>1.3</v>
      </c>
      <c r="S83" s="14"/>
      <c r="T83" s="14"/>
      <c r="U83" s="191">
        <f t="shared" si="0"/>
        <v>0</v>
      </c>
      <c r="V83" s="14" t="s">
        <v>133</v>
      </c>
      <c r="W83" s="14"/>
      <c r="X83" s="14"/>
      <c r="Y83" s="14"/>
      <c r="Z83" s="14"/>
      <c r="AA83" s="14"/>
      <c r="AB83" s="14">
        <f t="shared" si="90"/>
        <v>9.0000000000000011E-2</v>
      </c>
      <c r="AC83" s="14"/>
      <c r="AE83" s="11"/>
      <c r="AG83" s="52">
        <f t="shared" si="9"/>
        <v>3.3100000000000005</v>
      </c>
      <c r="AH83" s="52">
        <f t="shared" si="10"/>
        <v>0</v>
      </c>
      <c r="AI83" s="193">
        <f t="shared" si="17"/>
        <v>0</v>
      </c>
      <c r="AJ83" s="194">
        <f t="shared" si="36"/>
        <v>0</v>
      </c>
      <c r="AK83" s="195">
        <f t="shared" si="37"/>
        <v>3.3100000000000005</v>
      </c>
      <c r="AL83" s="196">
        <f t="shared" si="37"/>
        <v>0</v>
      </c>
      <c r="AM83" s="52">
        <f t="shared" si="13"/>
        <v>0</v>
      </c>
      <c r="AN83" s="52">
        <f t="shared" si="14"/>
        <v>0</v>
      </c>
      <c r="AO83" s="52">
        <f t="shared" si="15"/>
        <v>4</v>
      </c>
      <c r="AP83" s="52">
        <f t="shared" si="16"/>
        <v>0</v>
      </c>
    </row>
    <row r="84" spans="1:42" ht="20.100000000000001" customHeight="1" x14ac:dyDescent="0.25">
      <c r="A84" s="129"/>
      <c r="B84" s="182" t="s">
        <v>101</v>
      </c>
      <c r="C84" s="183"/>
      <c r="E84" s="189" t="s">
        <v>178</v>
      </c>
      <c r="F84" s="14">
        <v>1</v>
      </c>
      <c r="G84" s="14">
        <v>1.5</v>
      </c>
      <c r="H84" s="14">
        <v>0.2</v>
      </c>
      <c r="I84" s="14">
        <v>0.45</v>
      </c>
      <c r="J84" s="11">
        <f t="shared" ref="J84" si="131">+PRODUCT(F84:I84)</f>
        <v>0.13500000000000004</v>
      </c>
      <c r="K84" s="11">
        <f t="shared" ref="K84" si="132">PRODUCT(F84,G84,H84)</f>
        <v>0.30000000000000004</v>
      </c>
      <c r="L84" s="11">
        <f t="shared" ref="L84" si="133">+O84+R84-AB84+U84</f>
        <v>0.97500000000000009</v>
      </c>
      <c r="M84" s="190">
        <v>0.125</v>
      </c>
      <c r="N84" s="14">
        <f t="shared" ref="N84" si="134">+I84-M84</f>
        <v>0.32500000000000001</v>
      </c>
      <c r="O84" s="14">
        <f t="shared" ref="O84" si="135">+PRODUCT(F84,G84,N84)</f>
        <v>0.48750000000000004</v>
      </c>
      <c r="P84" s="190">
        <v>0.125</v>
      </c>
      <c r="Q84" s="14">
        <f t="shared" ref="Q84" si="136">+I84-P84</f>
        <v>0.32500000000000001</v>
      </c>
      <c r="R84" s="14">
        <f t="shared" ref="R84" si="137">+PRODUCT(F84:G84,Q84)</f>
        <v>0.48750000000000004</v>
      </c>
      <c r="S84" s="14"/>
      <c r="T84" s="14"/>
      <c r="U84" s="191">
        <f t="shared" ref="U84" si="138">+SUM(S84:T84)*(N84+Q84)/2*2</f>
        <v>0</v>
      </c>
      <c r="V84" s="14"/>
      <c r="W84" s="14"/>
      <c r="X84" s="14"/>
      <c r="Y84" s="14"/>
      <c r="Z84" s="14"/>
      <c r="AA84" s="14"/>
      <c r="AB84" s="14">
        <f t="shared" ref="AB84:AB110" si="139">IFERROR(VLOOKUP(V84,$E$19:$I$625,4,FALSE)*VLOOKUP(V84,$E$19:$I$625,5,FALSE),)+IFERROR(VLOOKUP(W84,$E$19:$I$625,4,FALSE)*VLOOKUP(W84,$E$19:$I$625,5,FALSE),)+IFERROR(VLOOKUP(X84,$E$19:$I$625,4,FALSE)*VLOOKUP(X84,$E$19:$I$625,5,FALSE),)+IFERROR(VLOOKUP(Y84,$E$19:$I$625,4,FALSE)*VLOOKUP(Y84,$E$19:$I$625,5,FALSE),)+IFERROR(VLOOKUP(Z84,$E$19:$I$625,4,FALSE)*VLOOKUP(Z84,$E$19:$I$625,5,FALSE),)+IFERROR(VLOOKUP(AA84,$E$19:$I$625,4,FALSE)*VLOOKUP(AA84,$E$19:$I$625,5,FALSE),)</f>
        <v>0</v>
      </c>
      <c r="AC84" s="14"/>
      <c r="AE84" s="11"/>
      <c r="AG84" s="52">
        <f t="shared" ref="AG84" si="140">+IF(I84&lt;0.75,(K84+L84),0)</f>
        <v>1.2750000000000001</v>
      </c>
      <c r="AH84" s="52">
        <f t="shared" ref="AH84" si="141">+IF(I84&lt;0.75,0,(K84+L84))</f>
        <v>0</v>
      </c>
      <c r="AI84" s="193">
        <f t="shared" ref="AI84" si="142">IF(P84=0,(+IF(I84&lt;0.75,(K84+L84),0)),0)</f>
        <v>0</v>
      </c>
      <c r="AJ84" s="194">
        <f t="shared" ref="AJ84" si="143">IF(P84=0,(+IF(I84&lt;0.75,0,(K84+L84))),0)</f>
        <v>0</v>
      </c>
      <c r="AK84" s="195">
        <f t="shared" ref="AK84" si="144">+AG84-AI84</f>
        <v>1.2750000000000001</v>
      </c>
      <c r="AL84" s="196">
        <f t="shared" ref="AL84" si="145">+AH84-AJ84</f>
        <v>0</v>
      </c>
      <c r="AM84" s="52">
        <f t="shared" ref="AM84" si="146">+IF(AI84=0,0,G84)</f>
        <v>0</v>
      </c>
      <c r="AN84" s="52">
        <f t="shared" ref="AN84" si="147">+IF(AJ84=0,0,G84)</f>
        <v>0</v>
      </c>
      <c r="AO84" s="52">
        <f t="shared" ref="AO84" si="148">+IF(AK84=0,0,G84)</f>
        <v>1.5</v>
      </c>
      <c r="AP84" s="52">
        <f t="shared" ref="AP84" si="149">+IF(AL84=0,0,G84)</f>
        <v>0</v>
      </c>
    </row>
    <row r="85" spans="1:42" ht="20.100000000000001" customHeight="1" x14ac:dyDescent="0.25">
      <c r="A85" s="129"/>
      <c r="B85" s="182" t="s">
        <v>101</v>
      </c>
      <c r="C85" s="183"/>
      <c r="D85" s="188" t="s">
        <v>100</v>
      </c>
      <c r="E85" s="189" t="s">
        <v>156</v>
      </c>
      <c r="F85" s="14">
        <v>1</v>
      </c>
      <c r="G85" s="14">
        <v>1.5</v>
      </c>
      <c r="H85" s="14">
        <v>0.2</v>
      </c>
      <c r="I85" s="14">
        <v>0.45</v>
      </c>
      <c r="J85" s="11">
        <f t="shared" si="2"/>
        <v>0.13500000000000004</v>
      </c>
      <c r="K85" s="11">
        <f t="shared" si="3"/>
        <v>0.30000000000000004</v>
      </c>
      <c r="L85" s="11">
        <f t="shared" si="4"/>
        <v>0.97500000000000009</v>
      </c>
      <c r="M85" s="190">
        <v>0.125</v>
      </c>
      <c r="N85" s="14">
        <f t="shared" si="127"/>
        <v>0.32500000000000001</v>
      </c>
      <c r="O85" s="14">
        <f t="shared" si="128"/>
        <v>0.48750000000000004</v>
      </c>
      <c r="P85" s="190">
        <v>0.125</v>
      </c>
      <c r="Q85" s="14">
        <f t="shared" si="129"/>
        <v>0.32500000000000001</v>
      </c>
      <c r="R85" s="14">
        <f t="shared" si="130"/>
        <v>0.48750000000000004</v>
      </c>
      <c r="S85" s="14"/>
      <c r="T85" s="14"/>
      <c r="U85" s="191">
        <f t="shared" si="0"/>
        <v>0</v>
      </c>
      <c r="V85" s="14"/>
      <c r="W85" s="14"/>
      <c r="X85" s="14"/>
      <c r="Y85" s="14"/>
      <c r="Z85" s="14"/>
      <c r="AA85" s="14"/>
      <c r="AB85" s="14">
        <f t="shared" si="139"/>
        <v>0</v>
      </c>
      <c r="AC85" s="14"/>
      <c r="AE85" s="11"/>
      <c r="AG85" s="52">
        <f t="shared" si="9"/>
        <v>1.2750000000000001</v>
      </c>
      <c r="AH85" s="52">
        <f t="shared" si="10"/>
        <v>0</v>
      </c>
      <c r="AI85" s="193">
        <f t="shared" si="17"/>
        <v>0</v>
      </c>
      <c r="AJ85" s="194">
        <f t="shared" si="36"/>
        <v>0</v>
      </c>
      <c r="AK85" s="195">
        <f t="shared" si="37"/>
        <v>1.2750000000000001</v>
      </c>
      <c r="AL85" s="196">
        <f t="shared" si="37"/>
        <v>0</v>
      </c>
      <c r="AM85" s="52">
        <f t="shared" si="13"/>
        <v>0</v>
      </c>
      <c r="AN85" s="52">
        <f t="shared" si="14"/>
        <v>0</v>
      </c>
      <c r="AO85" s="52">
        <f t="shared" si="15"/>
        <v>1.5</v>
      </c>
      <c r="AP85" s="52">
        <f t="shared" si="16"/>
        <v>0</v>
      </c>
    </row>
    <row r="86" spans="1:42" ht="20.100000000000001" customHeight="1" x14ac:dyDescent="0.25">
      <c r="A86" s="129"/>
      <c r="B86" s="182" t="s">
        <v>101</v>
      </c>
      <c r="C86" s="183"/>
      <c r="E86" s="189" t="s">
        <v>157</v>
      </c>
      <c r="F86" s="14">
        <v>1</v>
      </c>
      <c r="G86" s="14">
        <v>4</v>
      </c>
      <c r="H86" s="14">
        <v>0.2</v>
      </c>
      <c r="I86" s="14">
        <v>0.45</v>
      </c>
      <c r="J86" s="11">
        <f t="shared" si="2"/>
        <v>0.36000000000000004</v>
      </c>
      <c r="K86" s="11">
        <f t="shared" si="3"/>
        <v>0.8</v>
      </c>
      <c r="L86" s="11">
        <f t="shared" si="4"/>
        <v>2.5100000000000002</v>
      </c>
      <c r="M86" s="190">
        <v>0.125</v>
      </c>
      <c r="N86" s="14">
        <f t="shared" si="127"/>
        <v>0.32500000000000001</v>
      </c>
      <c r="O86" s="14">
        <f t="shared" si="128"/>
        <v>1.3</v>
      </c>
      <c r="P86" s="190">
        <v>0.125</v>
      </c>
      <c r="Q86" s="14">
        <f t="shared" si="129"/>
        <v>0.32500000000000001</v>
      </c>
      <c r="R86" s="14">
        <f t="shared" si="130"/>
        <v>1.3</v>
      </c>
      <c r="S86" s="14"/>
      <c r="T86" s="14"/>
      <c r="U86" s="191">
        <f t="shared" si="0"/>
        <v>0</v>
      </c>
      <c r="V86" s="14" t="s">
        <v>134</v>
      </c>
      <c r="W86" s="14"/>
      <c r="X86" s="14"/>
      <c r="Y86" s="14"/>
      <c r="Z86" s="14"/>
      <c r="AA86" s="14"/>
      <c r="AB86" s="14">
        <f t="shared" si="139"/>
        <v>9.0000000000000011E-2</v>
      </c>
      <c r="AC86" s="14"/>
      <c r="AE86" s="11"/>
      <c r="AG86" s="52">
        <f t="shared" si="9"/>
        <v>3.3100000000000005</v>
      </c>
      <c r="AH86" s="52">
        <f t="shared" si="10"/>
        <v>0</v>
      </c>
      <c r="AI86" s="193">
        <f t="shared" si="17"/>
        <v>0</v>
      </c>
      <c r="AJ86" s="194">
        <f t="shared" si="36"/>
        <v>0</v>
      </c>
      <c r="AK86" s="195">
        <f t="shared" si="37"/>
        <v>3.3100000000000005</v>
      </c>
      <c r="AL86" s="196">
        <f t="shared" si="37"/>
        <v>0</v>
      </c>
      <c r="AM86" s="52">
        <f t="shared" si="13"/>
        <v>0</v>
      </c>
      <c r="AN86" s="52">
        <f t="shared" si="14"/>
        <v>0</v>
      </c>
      <c r="AO86" s="52">
        <f t="shared" si="15"/>
        <v>4</v>
      </c>
      <c r="AP86" s="52">
        <f t="shared" si="16"/>
        <v>0</v>
      </c>
    </row>
    <row r="87" spans="1:42" ht="20.100000000000001" customHeight="1" x14ac:dyDescent="0.25">
      <c r="A87" s="129"/>
      <c r="B87" s="182" t="s">
        <v>101</v>
      </c>
      <c r="C87" s="183"/>
      <c r="E87" s="189" t="s">
        <v>177</v>
      </c>
      <c r="F87" s="14">
        <v>1</v>
      </c>
      <c r="G87" s="14">
        <v>1.5</v>
      </c>
      <c r="H87" s="14">
        <v>0.2</v>
      </c>
      <c r="I87" s="14">
        <v>0.45</v>
      </c>
      <c r="J87" s="11">
        <f t="shared" si="2"/>
        <v>0.13500000000000004</v>
      </c>
      <c r="K87" s="11">
        <f t="shared" si="3"/>
        <v>0.30000000000000004</v>
      </c>
      <c r="L87" s="11">
        <f t="shared" si="4"/>
        <v>0.97500000000000009</v>
      </c>
      <c r="M87" s="190">
        <v>0.125</v>
      </c>
      <c r="N87" s="14">
        <f t="shared" si="127"/>
        <v>0.32500000000000001</v>
      </c>
      <c r="O87" s="14">
        <f t="shared" si="128"/>
        <v>0.48750000000000004</v>
      </c>
      <c r="P87" s="190">
        <v>0.125</v>
      </c>
      <c r="Q87" s="14">
        <f t="shared" si="129"/>
        <v>0.32500000000000001</v>
      </c>
      <c r="R87" s="14">
        <f t="shared" si="130"/>
        <v>0.48750000000000004</v>
      </c>
      <c r="S87" s="14"/>
      <c r="T87" s="14"/>
      <c r="U87" s="191">
        <f t="shared" si="0"/>
        <v>0</v>
      </c>
      <c r="V87" s="14"/>
      <c r="W87" s="14"/>
      <c r="X87" s="14"/>
      <c r="Y87" s="14"/>
      <c r="Z87" s="14"/>
      <c r="AA87" s="14"/>
      <c r="AB87" s="14">
        <f t="shared" si="139"/>
        <v>0</v>
      </c>
      <c r="AC87" s="14"/>
      <c r="AE87" s="11"/>
      <c r="AG87" s="52">
        <f t="shared" si="9"/>
        <v>1.2750000000000001</v>
      </c>
      <c r="AH87" s="52">
        <f t="shared" si="10"/>
        <v>0</v>
      </c>
      <c r="AI87" s="193">
        <f t="shared" si="17"/>
        <v>0</v>
      </c>
      <c r="AJ87" s="194">
        <f t="shared" si="36"/>
        <v>0</v>
      </c>
      <c r="AK87" s="195">
        <f t="shared" si="37"/>
        <v>1.2750000000000001</v>
      </c>
      <c r="AL87" s="196">
        <f t="shared" si="37"/>
        <v>0</v>
      </c>
      <c r="AM87" s="52">
        <f t="shared" si="13"/>
        <v>0</v>
      </c>
      <c r="AN87" s="52">
        <f t="shared" si="14"/>
        <v>0</v>
      </c>
      <c r="AO87" s="52">
        <f t="shared" si="15"/>
        <v>1.5</v>
      </c>
      <c r="AP87" s="52">
        <f t="shared" si="16"/>
        <v>0</v>
      </c>
    </row>
    <row r="88" spans="1:42" ht="20.100000000000001" customHeight="1" x14ac:dyDescent="0.25">
      <c r="A88" s="129"/>
      <c r="B88" s="182" t="s">
        <v>101</v>
      </c>
      <c r="C88" s="183"/>
      <c r="D88" s="188" t="s">
        <v>100</v>
      </c>
      <c r="E88" s="189" t="s">
        <v>158</v>
      </c>
      <c r="F88" s="14">
        <v>1</v>
      </c>
      <c r="G88" s="14">
        <v>4</v>
      </c>
      <c r="H88" s="14">
        <v>0.2</v>
      </c>
      <c r="I88" s="14">
        <v>0.45</v>
      </c>
      <c r="J88" s="11">
        <f t="shared" si="2"/>
        <v>0.36000000000000004</v>
      </c>
      <c r="K88" s="11">
        <f t="shared" si="3"/>
        <v>0.8</v>
      </c>
      <c r="L88" s="11">
        <f t="shared" si="4"/>
        <v>2.6</v>
      </c>
      <c r="M88" s="190">
        <v>0.125</v>
      </c>
      <c r="N88" s="14">
        <f t="shared" si="127"/>
        <v>0.32500000000000001</v>
      </c>
      <c r="O88" s="14">
        <f t="shared" si="128"/>
        <v>1.3</v>
      </c>
      <c r="P88" s="190">
        <v>0.125</v>
      </c>
      <c r="Q88" s="14">
        <f t="shared" si="129"/>
        <v>0.32500000000000001</v>
      </c>
      <c r="R88" s="14">
        <f t="shared" si="130"/>
        <v>1.3</v>
      </c>
      <c r="S88" s="14"/>
      <c r="T88" s="14"/>
      <c r="U88" s="191">
        <f t="shared" si="0"/>
        <v>0</v>
      </c>
      <c r="V88" s="14"/>
      <c r="W88" s="14"/>
      <c r="X88" s="14"/>
      <c r="Y88" s="14"/>
      <c r="Z88" s="14"/>
      <c r="AA88" s="14"/>
      <c r="AB88" s="14">
        <f t="shared" si="139"/>
        <v>0</v>
      </c>
      <c r="AC88" s="14"/>
      <c r="AE88" s="11"/>
      <c r="AG88" s="52">
        <f t="shared" si="9"/>
        <v>3.4000000000000004</v>
      </c>
      <c r="AH88" s="52">
        <f t="shared" si="10"/>
        <v>0</v>
      </c>
      <c r="AI88" s="193">
        <f t="shared" si="17"/>
        <v>0</v>
      </c>
      <c r="AJ88" s="194">
        <f t="shared" si="36"/>
        <v>0</v>
      </c>
      <c r="AK88" s="195">
        <f t="shared" si="37"/>
        <v>3.4000000000000004</v>
      </c>
      <c r="AL88" s="196">
        <f t="shared" si="37"/>
        <v>0</v>
      </c>
      <c r="AM88" s="52">
        <f t="shared" si="13"/>
        <v>0</v>
      </c>
      <c r="AN88" s="52">
        <f t="shared" si="14"/>
        <v>0</v>
      </c>
      <c r="AO88" s="52">
        <f t="shared" si="15"/>
        <v>4</v>
      </c>
      <c r="AP88" s="52">
        <f t="shared" si="16"/>
        <v>0</v>
      </c>
    </row>
    <row r="89" spans="1:42" ht="20.100000000000001" customHeight="1" x14ac:dyDescent="0.25">
      <c r="A89" s="129"/>
      <c r="B89" s="182" t="s">
        <v>101</v>
      </c>
      <c r="C89" s="183"/>
      <c r="E89" s="189" t="s">
        <v>159</v>
      </c>
      <c r="F89" s="14">
        <v>1</v>
      </c>
      <c r="G89" s="14">
        <v>3.74</v>
      </c>
      <c r="H89" s="14">
        <v>0.2</v>
      </c>
      <c r="I89" s="14">
        <v>0.45</v>
      </c>
      <c r="J89" s="11">
        <f t="shared" si="2"/>
        <v>0.33660000000000007</v>
      </c>
      <c r="K89" s="11">
        <f t="shared" si="3"/>
        <v>0.74800000000000011</v>
      </c>
      <c r="L89" s="11">
        <f t="shared" si="4"/>
        <v>2.431</v>
      </c>
      <c r="M89" s="190">
        <v>0.125</v>
      </c>
      <c r="N89" s="14">
        <f t="shared" si="127"/>
        <v>0.32500000000000001</v>
      </c>
      <c r="O89" s="14">
        <f t="shared" si="128"/>
        <v>1.2155</v>
      </c>
      <c r="P89" s="190">
        <v>0.125</v>
      </c>
      <c r="Q89" s="14">
        <f t="shared" si="129"/>
        <v>0.32500000000000001</v>
      </c>
      <c r="R89" s="14">
        <f t="shared" si="130"/>
        <v>1.2155</v>
      </c>
      <c r="S89" s="14"/>
      <c r="T89" s="14"/>
      <c r="U89" s="191">
        <f t="shared" si="0"/>
        <v>0</v>
      </c>
      <c r="V89" s="14"/>
      <c r="W89" s="14"/>
      <c r="X89" s="14"/>
      <c r="Y89" s="14"/>
      <c r="Z89" s="14"/>
      <c r="AA89" s="14"/>
      <c r="AB89" s="14">
        <f t="shared" si="139"/>
        <v>0</v>
      </c>
      <c r="AC89" s="14"/>
      <c r="AE89" s="11"/>
      <c r="AG89" s="52">
        <f t="shared" si="9"/>
        <v>3.1790000000000003</v>
      </c>
      <c r="AH89" s="52">
        <f t="shared" si="10"/>
        <v>0</v>
      </c>
      <c r="AI89" s="193">
        <f t="shared" si="17"/>
        <v>0</v>
      </c>
      <c r="AJ89" s="194">
        <f t="shared" si="36"/>
        <v>0</v>
      </c>
      <c r="AK89" s="195">
        <f t="shared" si="37"/>
        <v>3.1790000000000003</v>
      </c>
      <c r="AL89" s="196">
        <f t="shared" si="37"/>
        <v>0</v>
      </c>
      <c r="AM89" s="52">
        <f t="shared" si="13"/>
        <v>0</v>
      </c>
      <c r="AN89" s="52">
        <f t="shared" si="14"/>
        <v>0</v>
      </c>
      <c r="AO89" s="52">
        <f t="shared" si="15"/>
        <v>3.74</v>
      </c>
      <c r="AP89" s="52">
        <f t="shared" si="16"/>
        <v>0</v>
      </c>
    </row>
    <row r="90" spans="1:42" ht="20.100000000000001" customHeight="1" x14ac:dyDescent="0.25">
      <c r="A90" s="129"/>
      <c r="B90" s="182" t="s">
        <v>101</v>
      </c>
      <c r="C90" s="183"/>
      <c r="D90" s="188" t="s">
        <v>100</v>
      </c>
      <c r="E90" s="189" t="s">
        <v>160</v>
      </c>
      <c r="F90" s="14">
        <v>1</v>
      </c>
      <c r="G90" s="14">
        <v>3.35</v>
      </c>
      <c r="H90" s="14">
        <v>0.2</v>
      </c>
      <c r="I90" s="14">
        <v>0.45</v>
      </c>
      <c r="J90" s="11">
        <f t="shared" si="2"/>
        <v>0.30150000000000005</v>
      </c>
      <c r="K90" s="11">
        <f t="shared" si="3"/>
        <v>0.67</v>
      </c>
      <c r="L90" s="11">
        <f t="shared" si="4"/>
        <v>2.4700000000000002</v>
      </c>
      <c r="M90" s="190">
        <v>0.125</v>
      </c>
      <c r="N90" s="14">
        <f t="shared" si="127"/>
        <v>0.32500000000000001</v>
      </c>
      <c r="O90" s="14">
        <f t="shared" si="128"/>
        <v>1.0887500000000001</v>
      </c>
      <c r="P90" s="190">
        <v>0.125</v>
      </c>
      <c r="Q90" s="14">
        <f t="shared" si="129"/>
        <v>0.32500000000000001</v>
      </c>
      <c r="R90" s="14">
        <f t="shared" si="130"/>
        <v>1.0887500000000001</v>
      </c>
      <c r="S90" s="14">
        <v>0.45</v>
      </c>
      <c r="T90" s="14"/>
      <c r="U90" s="191">
        <f t="shared" si="0"/>
        <v>0.29250000000000004</v>
      </c>
      <c r="V90" s="14" t="s">
        <v>109</v>
      </c>
      <c r="W90" s="14"/>
      <c r="X90" s="14"/>
      <c r="Y90" s="14"/>
      <c r="Z90" s="14"/>
      <c r="AA90" s="14"/>
      <c r="AB90" s="14">
        <f t="shared" si="139"/>
        <v>0</v>
      </c>
      <c r="AC90" s="14"/>
      <c r="AE90" s="11"/>
      <c r="AG90" s="52">
        <f t="shared" si="9"/>
        <v>3.14</v>
      </c>
      <c r="AH90" s="52">
        <f t="shared" si="10"/>
        <v>0</v>
      </c>
      <c r="AI90" s="193">
        <f t="shared" si="17"/>
        <v>0</v>
      </c>
      <c r="AJ90" s="194">
        <f t="shared" si="36"/>
        <v>0</v>
      </c>
      <c r="AK90" s="195">
        <f t="shared" si="37"/>
        <v>3.14</v>
      </c>
      <c r="AL90" s="196">
        <f t="shared" si="37"/>
        <v>0</v>
      </c>
      <c r="AM90" s="52">
        <f t="shared" si="13"/>
        <v>0</v>
      </c>
      <c r="AN90" s="52">
        <f t="shared" si="14"/>
        <v>0</v>
      </c>
      <c r="AO90" s="52">
        <f t="shared" si="15"/>
        <v>3.35</v>
      </c>
      <c r="AP90" s="52">
        <f t="shared" si="16"/>
        <v>0</v>
      </c>
    </row>
    <row r="91" spans="1:42" ht="20.100000000000001" customHeight="1" x14ac:dyDescent="0.25">
      <c r="A91" s="129"/>
      <c r="B91" s="182" t="s">
        <v>101</v>
      </c>
      <c r="C91" s="183"/>
      <c r="D91" s="188" t="s">
        <v>100</v>
      </c>
      <c r="E91" s="189" t="s">
        <v>161</v>
      </c>
      <c r="F91" s="14">
        <v>1</v>
      </c>
      <c r="G91" s="14">
        <v>1.5</v>
      </c>
      <c r="H91" s="14">
        <v>0.2</v>
      </c>
      <c r="I91" s="14">
        <v>0.45</v>
      </c>
      <c r="J91" s="11">
        <f t="shared" si="2"/>
        <v>0.13500000000000004</v>
      </c>
      <c r="K91" s="11">
        <f t="shared" si="3"/>
        <v>0.30000000000000004</v>
      </c>
      <c r="L91" s="11">
        <f t="shared" si="4"/>
        <v>0.97500000000000009</v>
      </c>
      <c r="M91" s="190">
        <v>0.125</v>
      </c>
      <c r="N91" s="14">
        <f t="shared" si="127"/>
        <v>0.32500000000000001</v>
      </c>
      <c r="O91" s="14">
        <f t="shared" si="128"/>
        <v>0.48750000000000004</v>
      </c>
      <c r="P91" s="190">
        <v>0.125</v>
      </c>
      <c r="Q91" s="14">
        <f t="shared" si="129"/>
        <v>0.32500000000000001</v>
      </c>
      <c r="R91" s="14">
        <f t="shared" si="130"/>
        <v>0.48750000000000004</v>
      </c>
      <c r="S91" s="14"/>
      <c r="T91" s="14"/>
      <c r="U91" s="191">
        <f t="shared" si="0"/>
        <v>0</v>
      </c>
      <c r="V91" s="14"/>
      <c r="W91" s="14"/>
      <c r="X91" s="14"/>
      <c r="Y91" s="14"/>
      <c r="Z91" s="14"/>
      <c r="AA91" s="14"/>
      <c r="AB91" s="14">
        <f t="shared" si="139"/>
        <v>0</v>
      </c>
      <c r="AC91" s="14"/>
      <c r="AE91" s="11"/>
      <c r="AG91" s="52">
        <f t="shared" si="9"/>
        <v>1.2750000000000001</v>
      </c>
      <c r="AH91" s="52">
        <f t="shared" si="10"/>
        <v>0</v>
      </c>
      <c r="AI91" s="193">
        <f t="shared" si="17"/>
        <v>0</v>
      </c>
      <c r="AJ91" s="194">
        <f t="shared" si="36"/>
        <v>0</v>
      </c>
      <c r="AK91" s="195">
        <f t="shared" si="37"/>
        <v>1.2750000000000001</v>
      </c>
      <c r="AL91" s="196">
        <f t="shared" si="37"/>
        <v>0</v>
      </c>
      <c r="AM91" s="52">
        <f t="shared" si="13"/>
        <v>0</v>
      </c>
      <c r="AN91" s="52">
        <f t="shared" si="14"/>
        <v>0</v>
      </c>
      <c r="AO91" s="52">
        <f t="shared" si="15"/>
        <v>1.5</v>
      </c>
      <c r="AP91" s="52">
        <f t="shared" si="16"/>
        <v>0</v>
      </c>
    </row>
    <row r="92" spans="1:42" ht="20.100000000000001" customHeight="1" x14ac:dyDescent="0.25">
      <c r="A92" s="129"/>
      <c r="B92" s="182" t="s">
        <v>101</v>
      </c>
      <c r="C92" s="183"/>
      <c r="D92" s="188" t="s">
        <v>100</v>
      </c>
      <c r="E92" s="189" t="s">
        <v>162</v>
      </c>
      <c r="F92" s="14">
        <v>1</v>
      </c>
      <c r="G92" s="14">
        <v>4</v>
      </c>
      <c r="H92" s="14">
        <v>0.2</v>
      </c>
      <c r="I92" s="14">
        <v>0.45</v>
      </c>
      <c r="J92" s="11">
        <f t="shared" si="2"/>
        <v>0.36000000000000004</v>
      </c>
      <c r="K92" s="11">
        <f t="shared" si="3"/>
        <v>0.8</v>
      </c>
      <c r="L92" s="11">
        <f t="shared" si="4"/>
        <v>2.5100000000000002</v>
      </c>
      <c r="M92" s="190">
        <v>0.125</v>
      </c>
      <c r="N92" s="14">
        <f t="shared" si="127"/>
        <v>0.32500000000000001</v>
      </c>
      <c r="O92" s="14">
        <f t="shared" si="128"/>
        <v>1.3</v>
      </c>
      <c r="P92" s="190">
        <v>0.125</v>
      </c>
      <c r="Q92" s="14">
        <f t="shared" si="129"/>
        <v>0.32500000000000001</v>
      </c>
      <c r="R92" s="14">
        <f t="shared" si="130"/>
        <v>1.3</v>
      </c>
      <c r="S92" s="14"/>
      <c r="T92" s="14"/>
      <c r="U92" s="191">
        <f t="shared" si="0"/>
        <v>0</v>
      </c>
      <c r="V92" s="14" t="s">
        <v>134</v>
      </c>
      <c r="W92" s="14"/>
      <c r="X92" s="14"/>
      <c r="Y92" s="14"/>
      <c r="Z92" s="14"/>
      <c r="AA92" s="14"/>
      <c r="AB92" s="14">
        <f t="shared" si="139"/>
        <v>9.0000000000000011E-2</v>
      </c>
      <c r="AC92" s="14"/>
      <c r="AE92" s="11"/>
      <c r="AG92" s="52">
        <f t="shared" si="9"/>
        <v>3.3100000000000005</v>
      </c>
      <c r="AH92" s="52">
        <f t="shared" si="10"/>
        <v>0</v>
      </c>
      <c r="AI92" s="193">
        <f t="shared" si="17"/>
        <v>0</v>
      </c>
      <c r="AJ92" s="194">
        <f t="shared" si="36"/>
        <v>0</v>
      </c>
      <c r="AK92" s="195">
        <f t="shared" si="37"/>
        <v>3.3100000000000005</v>
      </c>
      <c r="AL92" s="196">
        <f t="shared" si="37"/>
        <v>0</v>
      </c>
      <c r="AM92" s="52">
        <f t="shared" si="13"/>
        <v>0</v>
      </c>
      <c r="AN92" s="52">
        <f t="shared" si="14"/>
        <v>0</v>
      </c>
      <c r="AO92" s="52">
        <f t="shared" si="15"/>
        <v>4</v>
      </c>
      <c r="AP92" s="52">
        <f t="shared" si="16"/>
        <v>0</v>
      </c>
    </row>
    <row r="93" spans="1:42" ht="20.100000000000001" customHeight="1" x14ac:dyDescent="0.25">
      <c r="A93" s="129"/>
      <c r="B93" s="182" t="s">
        <v>101</v>
      </c>
      <c r="C93" s="183"/>
      <c r="D93" s="188" t="s">
        <v>100</v>
      </c>
      <c r="E93" s="189" t="s">
        <v>180</v>
      </c>
      <c r="F93" s="14">
        <v>1</v>
      </c>
      <c r="G93" s="14">
        <v>1.5</v>
      </c>
      <c r="H93" s="14">
        <v>0.2</v>
      </c>
      <c r="I93" s="14">
        <v>0.45</v>
      </c>
      <c r="J93" s="11">
        <f t="shared" ref="J93" si="150">+PRODUCT(F93:I93)</f>
        <v>0.13500000000000004</v>
      </c>
      <c r="K93" s="11">
        <f t="shared" ref="K93" si="151">PRODUCT(F93,G93,H93)</f>
        <v>0.30000000000000004</v>
      </c>
      <c r="L93" s="11">
        <f t="shared" ref="L93" si="152">+O93+R93-AB93+U93</f>
        <v>0.88500000000000012</v>
      </c>
      <c r="M93" s="190">
        <v>0.125</v>
      </c>
      <c r="N93" s="14">
        <f t="shared" ref="N93" si="153">+I93-M93</f>
        <v>0.32500000000000001</v>
      </c>
      <c r="O93" s="14">
        <f t="shared" ref="O93" si="154">+PRODUCT(F93,G93,N93)</f>
        <v>0.48750000000000004</v>
      </c>
      <c r="P93" s="190">
        <v>0.125</v>
      </c>
      <c r="Q93" s="14">
        <f t="shared" ref="Q93" si="155">+I93-P93</f>
        <v>0.32500000000000001</v>
      </c>
      <c r="R93" s="14">
        <f t="shared" ref="R93" si="156">+PRODUCT(F93:G93,Q93)</f>
        <v>0.48750000000000004</v>
      </c>
      <c r="S93" s="14"/>
      <c r="T93" s="14"/>
      <c r="U93" s="191">
        <f t="shared" ref="U93" si="157">+SUM(S93:T93)*(N93+Q93)/2*2</f>
        <v>0</v>
      </c>
      <c r="V93" s="14" t="s">
        <v>134</v>
      </c>
      <c r="W93" s="14"/>
      <c r="X93" s="14"/>
      <c r="Y93" s="14"/>
      <c r="Z93" s="14"/>
      <c r="AA93" s="14"/>
      <c r="AB93" s="14">
        <f t="shared" si="139"/>
        <v>9.0000000000000011E-2</v>
      </c>
      <c r="AC93" s="14"/>
      <c r="AE93" s="11"/>
      <c r="AG93" s="52">
        <f t="shared" ref="AG93" si="158">+IF(I93&lt;0.75,(K93+L93),0)</f>
        <v>1.1850000000000001</v>
      </c>
      <c r="AH93" s="52">
        <f t="shared" ref="AH93" si="159">+IF(I93&lt;0.75,0,(K93+L93))</f>
        <v>0</v>
      </c>
      <c r="AI93" s="193">
        <f t="shared" ref="AI93" si="160">IF(P93=0,(+IF(I93&lt;0.75,(K93+L93),0)),0)</f>
        <v>0</v>
      </c>
      <c r="AJ93" s="194">
        <f t="shared" ref="AJ93" si="161">IF(P93=0,(+IF(I93&lt;0.75,0,(K93+L93))),0)</f>
        <v>0</v>
      </c>
      <c r="AK93" s="195">
        <f t="shared" ref="AK93" si="162">+AG93-AI93</f>
        <v>1.1850000000000001</v>
      </c>
      <c r="AL93" s="196">
        <f t="shared" ref="AL93" si="163">+AH93-AJ93</f>
        <v>0</v>
      </c>
      <c r="AM93" s="52">
        <f t="shared" ref="AM93" si="164">+IF(AI93=0,0,G93)</f>
        <v>0</v>
      </c>
      <c r="AN93" s="52">
        <f t="shared" ref="AN93" si="165">+IF(AJ93=0,0,G93)</f>
        <v>0</v>
      </c>
      <c r="AO93" s="52">
        <f t="shared" ref="AO93" si="166">+IF(AK93=0,0,G93)</f>
        <v>1.5</v>
      </c>
      <c r="AP93" s="52">
        <f t="shared" ref="AP93" si="167">+IF(AL93=0,0,G93)</f>
        <v>0</v>
      </c>
    </row>
    <row r="94" spans="1:42" ht="20.100000000000001" customHeight="1" x14ac:dyDescent="0.25">
      <c r="A94" s="129"/>
      <c r="B94" s="182" t="s">
        <v>101</v>
      </c>
      <c r="C94" s="183"/>
      <c r="D94" s="188" t="s">
        <v>100</v>
      </c>
      <c r="E94" s="189" t="s">
        <v>163</v>
      </c>
      <c r="F94" s="14">
        <v>1</v>
      </c>
      <c r="G94" s="14">
        <v>2.14</v>
      </c>
      <c r="H94" s="14">
        <v>0.2</v>
      </c>
      <c r="I94" s="14">
        <v>0.45</v>
      </c>
      <c r="J94" s="11">
        <f t="shared" si="2"/>
        <v>0.19260000000000002</v>
      </c>
      <c r="K94" s="11">
        <f t="shared" si="3"/>
        <v>0.42800000000000005</v>
      </c>
      <c r="L94" s="11">
        <f t="shared" si="4"/>
        <v>1.3910000000000002</v>
      </c>
      <c r="M94" s="190">
        <v>0.125</v>
      </c>
      <c r="N94" s="14">
        <f t="shared" si="127"/>
        <v>0.32500000000000001</v>
      </c>
      <c r="O94" s="14">
        <f t="shared" si="128"/>
        <v>0.69550000000000012</v>
      </c>
      <c r="P94" s="190">
        <v>0.125</v>
      </c>
      <c r="Q94" s="14">
        <f t="shared" si="129"/>
        <v>0.32500000000000001</v>
      </c>
      <c r="R94" s="14">
        <f t="shared" si="130"/>
        <v>0.69550000000000012</v>
      </c>
      <c r="S94" s="14"/>
      <c r="T94" s="14"/>
      <c r="U94" s="191">
        <f t="shared" ref="U94:U105" si="168">+SUM(S94:T94)*(N94+Q94)/2*2</f>
        <v>0</v>
      </c>
      <c r="V94" s="14"/>
      <c r="W94" s="14"/>
      <c r="X94" s="14"/>
      <c r="Y94" s="14"/>
      <c r="Z94" s="14"/>
      <c r="AA94" s="14"/>
      <c r="AB94" s="14">
        <f t="shared" si="139"/>
        <v>0</v>
      </c>
      <c r="AC94" s="14"/>
      <c r="AE94" s="11"/>
      <c r="AG94" s="52">
        <f t="shared" si="9"/>
        <v>1.8190000000000004</v>
      </c>
      <c r="AH94" s="52">
        <f t="shared" si="10"/>
        <v>0</v>
      </c>
      <c r="AI94" s="193">
        <f t="shared" si="17"/>
        <v>0</v>
      </c>
      <c r="AJ94" s="194">
        <f t="shared" si="36"/>
        <v>0</v>
      </c>
      <c r="AK94" s="195">
        <f t="shared" si="37"/>
        <v>1.8190000000000004</v>
      </c>
      <c r="AL94" s="196">
        <f t="shared" si="37"/>
        <v>0</v>
      </c>
      <c r="AM94" s="52">
        <f t="shared" si="13"/>
        <v>0</v>
      </c>
      <c r="AN94" s="52">
        <f t="shared" si="14"/>
        <v>0</v>
      </c>
      <c r="AO94" s="52">
        <f t="shared" si="15"/>
        <v>2.14</v>
      </c>
      <c r="AP94" s="52">
        <f t="shared" si="16"/>
        <v>0</v>
      </c>
    </row>
    <row r="95" spans="1:42" ht="20.100000000000001" customHeight="1" x14ac:dyDescent="0.25">
      <c r="A95" s="129"/>
      <c r="B95" s="182" t="s">
        <v>101</v>
      </c>
      <c r="C95" s="183"/>
      <c r="E95" s="189" t="s">
        <v>164</v>
      </c>
      <c r="F95" s="14">
        <v>1</v>
      </c>
      <c r="G95" s="14">
        <v>5.2</v>
      </c>
      <c r="H95" s="14">
        <v>0.2</v>
      </c>
      <c r="I95" s="14">
        <v>0.45</v>
      </c>
      <c r="J95" s="11">
        <f t="shared" si="2"/>
        <v>0.46800000000000003</v>
      </c>
      <c r="K95" s="11">
        <f t="shared" si="3"/>
        <v>1.04</v>
      </c>
      <c r="L95" s="11">
        <f t="shared" si="4"/>
        <v>3.3800000000000003</v>
      </c>
      <c r="M95" s="190">
        <v>0.125</v>
      </c>
      <c r="N95" s="14">
        <f t="shared" si="127"/>
        <v>0.32500000000000001</v>
      </c>
      <c r="O95" s="14">
        <f t="shared" si="128"/>
        <v>1.6900000000000002</v>
      </c>
      <c r="P95" s="190">
        <v>0.125</v>
      </c>
      <c r="Q95" s="14">
        <f t="shared" si="129"/>
        <v>0.32500000000000001</v>
      </c>
      <c r="R95" s="14">
        <f t="shared" si="130"/>
        <v>1.6900000000000002</v>
      </c>
      <c r="S95" s="14"/>
      <c r="T95" s="14"/>
      <c r="U95" s="191">
        <f t="shared" si="168"/>
        <v>0</v>
      </c>
      <c r="V95" s="14" t="s">
        <v>109</v>
      </c>
      <c r="W95" s="14" t="s">
        <v>175</v>
      </c>
      <c r="X95" s="14"/>
      <c r="Y95" s="14"/>
      <c r="Z95" s="14"/>
      <c r="AA95" s="14"/>
      <c r="AB95" s="14">
        <f t="shared" si="139"/>
        <v>0</v>
      </c>
      <c r="AC95" s="14"/>
      <c r="AE95" s="11"/>
      <c r="AG95" s="52">
        <f t="shared" ref="AG95:AG105" si="169">+IF(I95&lt;0.75,(K95+L95),0)</f>
        <v>4.42</v>
      </c>
      <c r="AH95" s="52">
        <f t="shared" ref="AH95:AH105" si="170">+IF(I95&lt;0.75,0,(K95+L95))</f>
        <v>0</v>
      </c>
      <c r="AI95" s="193">
        <f t="shared" si="17"/>
        <v>0</v>
      </c>
      <c r="AJ95" s="194">
        <f t="shared" si="36"/>
        <v>0</v>
      </c>
      <c r="AK95" s="195">
        <f t="shared" si="37"/>
        <v>4.42</v>
      </c>
      <c r="AL95" s="196">
        <f t="shared" si="37"/>
        <v>0</v>
      </c>
      <c r="AM95" s="52">
        <f t="shared" ref="AM95:AM105" si="171">+IF(AI95=0,0,G95)</f>
        <v>0</v>
      </c>
      <c r="AN95" s="52">
        <f t="shared" ref="AN95:AN105" si="172">+IF(AJ95=0,0,G95)</f>
        <v>0</v>
      </c>
      <c r="AO95" s="52">
        <f t="shared" ref="AO95:AO105" si="173">+IF(AK95=0,0,G95)</f>
        <v>5.2</v>
      </c>
      <c r="AP95" s="52">
        <f t="shared" ref="AP95:AP105" si="174">+IF(AL95=0,0,G95)</f>
        <v>0</v>
      </c>
    </row>
    <row r="96" spans="1:42" ht="20.100000000000001" customHeight="1" x14ac:dyDescent="0.25">
      <c r="A96" s="129"/>
      <c r="B96" s="182" t="s">
        <v>101</v>
      </c>
      <c r="C96" s="183"/>
      <c r="E96" s="189" t="s">
        <v>165</v>
      </c>
      <c r="F96" s="14">
        <v>1</v>
      </c>
      <c r="G96" s="14">
        <v>4</v>
      </c>
      <c r="H96" s="14">
        <v>0.2</v>
      </c>
      <c r="I96" s="14">
        <v>0.45</v>
      </c>
      <c r="J96" s="11">
        <f t="shared" si="2"/>
        <v>0.36000000000000004</v>
      </c>
      <c r="K96" s="11">
        <f t="shared" si="3"/>
        <v>0.8</v>
      </c>
      <c r="L96" s="11">
        <f t="shared" si="4"/>
        <v>2.6</v>
      </c>
      <c r="M96" s="190">
        <v>0.125</v>
      </c>
      <c r="N96" s="14">
        <f t="shared" si="127"/>
        <v>0.32500000000000001</v>
      </c>
      <c r="O96" s="14">
        <f t="shared" si="128"/>
        <v>1.3</v>
      </c>
      <c r="P96" s="190">
        <v>0.125</v>
      </c>
      <c r="Q96" s="14">
        <f t="shared" si="129"/>
        <v>0.32500000000000001</v>
      </c>
      <c r="R96" s="14">
        <f t="shared" si="130"/>
        <v>1.3</v>
      </c>
      <c r="S96" s="14"/>
      <c r="T96" s="14"/>
      <c r="U96" s="191">
        <f t="shared" si="168"/>
        <v>0</v>
      </c>
      <c r="V96" s="14"/>
      <c r="W96" s="14"/>
      <c r="X96" s="14"/>
      <c r="Y96" s="14"/>
      <c r="Z96" s="14"/>
      <c r="AA96" s="14"/>
      <c r="AB96" s="14">
        <f t="shared" si="139"/>
        <v>0</v>
      </c>
      <c r="AC96" s="14"/>
      <c r="AE96" s="11"/>
      <c r="AG96" s="52">
        <f t="shared" si="169"/>
        <v>3.4000000000000004</v>
      </c>
      <c r="AH96" s="52">
        <f t="shared" si="170"/>
        <v>0</v>
      </c>
      <c r="AI96" s="193">
        <f t="shared" ref="AI96:AI105" si="175">IF(P96=0,(+IF(I96&lt;0.75,(K96+L96),0)),0)</f>
        <v>0</v>
      </c>
      <c r="AJ96" s="194">
        <f t="shared" si="36"/>
        <v>0</v>
      </c>
      <c r="AK96" s="195">
        <f t="shared" si="37"/>
        <v>3.4000000000000004</v>
      </c>
      <c r="AL96" s="196">
        <f t="shared" si="37"/>
        <v>0</v>
      </c>
      <c r="AM96" s="52">
        <f t="shared" si="171"/>
        <v>0</v>
      </c>
      <c r="AN96" s="52">
        <f t="shared" si="172"/>
        <v>0</v>
      </c>
      <c r="AO96" s="52">
        <f t="shared" si="173"/>
        <v>4</v>
      </c>
      <c r="AP96" s="52">
        <f t="shared" si="174"/>
        <v>0</v>
      </c>
    </row>
    <row r="97" spans="1:42" ht="20.100000000000001" customHeight="1" x14ac:dyDescent="0.25">
      <c r="A97" s="129"/>
      <c r="B97" s="182" t="s">
        <v>101</v>
      </c>
      <c r="C97" s="183"/>
      <c r="E97" s="189" t="s">
        <v>181</v>
      </c>
      <c r="F97" s="14">
        <v>1</v>
      </c>
      <c r="G97" s="14">
        <v>1.5</v>
      </c>
      <c r="H97" s="14">
        <v>0.2</v>
      </c>
      <c r="I97" s="14">
        <v>0.45</v>
      </c>
      <c r="J97" s="11">
        <f t="shared" ref="J97" si="176">+PRODUCT(F97:I97)</f>
        <v>0.13500000000000004</v>
      </c>
      <c r="K97" s="11">
        <f t="shared" ref="K97" si="177">PRODUCT(F97,G97,H97)</f>
        <v>0.30000000000000004</v>
      </c>
      <c r="L97" s="11">
        <f t="shared" ref="L97" si="178">+O97+R97-AB97+U97</f>
        <v>0.97500000000000009</v>
      </c>
      <c r="M97" s="190">
        <v>0.125</v>
      </c>
      <c r="N97" s="14">
        <f t="shared" ref="N97" si="179">+I97-M97</f>
        <v>0.32500000000000001</v>
      </c>
      <c r="O97" s="14">
        <f t="shared" ref="O97" si="180">+PRODUCT(F97,G97,N97)</f>
        <v>0.48750000000000004</v>
      </c>
      <c r="P97" s="190">
        <v>0.125</v>
      </c>
      <c r="Q97" s="14">
        <f t="shared" ref="Q97" si="181">+I97-P97</f>
        <v>0.32500000000000001</v>
      </c>
      <c r="R97" s="14">
        <f t="shared" ref="R97" si="182">+PRODUCT(F97:G97,Q97)</f>
        <v>0.48750000000000004</v>
      </c>
      <c r="S97" s="14"/>
      <c r="T97" s="14"/>
      <c r="U97" s="191">
        <f t="shared" ref="U97" si="183">+SUM(S97:T97)*(N97+Q97)/2*2</f>
        <v>0</v>
      </c>
      <c r="V97" s="14"/>
      <c r="W97" s="14"/>
      <c r="X97" s="14"/>
      <c r="Y97" s="14"/>
      <c r="Z97" s="14"/>
      <c r="AA97" s="14"/>
      <c r="AB97" s="14">
        <f t="shared" si="139"/>
        <v>0</v>
      </c>
      <c r="AC97" s="14"/>
      <c r="AE97" s="11"/>
      <c r="AG97" s="52">
        <f t="shared" ref="AG97" si="184">+IF(I97&lt;0.75,(K97+L97),0)</f>
        <v>1.2750000000000001</v>
      </c>
      <c r="AH97" s="52">
        <f t="shared" ref="AH97" si="185">+IF(I97&lt;0.75,0,(K97+L97))</f>
        <v>0</v>
      </c>
      <c r="AI97" s="193">
        <f t="shared" ref="AI97" si="186">IF(P97=0,(+IF(I97&lt;0.75,(K97+L97),0)),0)</f>
        <v>0</v>
      </c>
      <c r="AJ97" s="194">
        <f t="shared" ref="AJ97" si="187">IF(P97=0,(+IF(I97&lt;0.75,0,(K97+L97))),0)</f>
        <v>0</v>
      </c>
      <c r="AK97" s="195">
        <f t="shared" ref="AK97" si="188">+AG97-AI97</f>
        <v>1.2750000000000001</v>
      </c>
      <c r="AL97" s="196">
        <f t="shared" ref="AL97" si="189">+AH97-AJ97</f>
        <v>0</v>
      </c>
      <c r="AM97" s="52">
        <f t="shared" ref="AM97" si="190">+IF(AI97=0,0,G97)</f>
        <v>0</v>
      </c>
      <c r="AN97" s="52">
        <f t="shared" ref="AN97" si="191">+IF(AJ97=0,0,G97)</f>
        <v>0</v>
      </c>
      <c r="AO97" s="52">
        <f t="shared" ref="AO97" si="192">+IF(AK97=0,0,G97)</f>
        <v>1.5</v>
      </c>
      <c r="AP97" s="52">
        <f t="shared" ref="AP97" si="193">+IF(AL97=0,0,G97)</f>
        <v>0</v>
      </c>
    </row>
    <row r="98" spans="1:42" ht="20.100000000000001" customHeight="1" x14ac:dyDescent="0.25">
      <c r="A98" s="129"/>
      <c r="B98" s="182" t="s">
        <v>101</v>
      </c>
      <c r="C98" s="183"/>
      <c r="E98" s="189" t="s">
        <v>166</v>
      </c>
      <c r="F98" s="14">
        <v>1</v>
      </c>
      <c r="G98" s="14">
        <v>4</v>
      </c>
      <c r="H98" s="14">
        <v>0.2</v>
      </c>
      <c r="I98" s="14">
        <v>0.45</v>
      </c>
      <c r="J98" s="11">
        <f t="shared" si="2"/>
        <v>0.36000000000000004</v>
      </c>
      <c r="K98" s="11">
        <f t="shared" si="3"/>
        <v>0.8</v>
      </c>
      <c r="L98" s="11">
        <f t="shared" si="4"/>
        <v>2.6</v>
      </c>
      <c r="M98" s="190">
        <v>0.125</v>
      </c>
      <c r="N98" s="14">
        <f t="shared" si="127"/>
        <v>0.32500000000000001</v>
      </c>
      <c r="O98" s="14">
        <f t="shared" si="128"/>
        <v>1.3</v>
      </c>
      <c r="P98" s="190">
        <v>0.125</v>
      </c>
      <c r="Q98" s="14">
        <f t="shared" si="129"/>
        <v>0.32500000000000001</v>
      </c>
      <c r="R98" s="14">
        <f t="shared" si="130"/>
        <v>1.3</v>
      </c>
      <c r="S98" s="14"/>
      <c r="T98" s="14"/>
      <c r="U98" s="191">
        <f t="shared" si="168"/>
        <v>0</v>
      </c>
      <c r="V98" s="14"/>
      <c r="W98" s="14"/>
      <c r="X98" s="14"/>
      <c r="Y98" s="14"/>
      <c r="Z98" s="14"/>
      <c r="AA98" s="14"/>
      <c r="AB98" s="14">
        <f t="shared" si="139"/>
        <v>0</v>
      </c>
      <c r="AC98" s="14"/>
      <c r="AE98" s="11"/>
      <c r="AG98" s="52">
        <f t="shared" si="169"/>
        <v>3.4000000000000004</v>
      </c>
      <c r="AH98" s="52">
        <f t="shared" si="170"/>
        <v>0</v>
      </c>
      <c r="AI98" s="193">
        <f t="shared" si="175"/>
        <v>0</v>
      </c>
      <c r="AJ98" s="194">
        <f t="shared" ref="AJ98:AJ105" si="194">IF(P98=0,(+IF(I98&lt;0.75,0,(K98+L98))),0)</f>
        <v>0</v>
      </c>
      <c r="AK98" s="195">
        <f t="shared" si="37"/>
        <v>3.4000000000000004</v>
      </c>
      <c r="AL98" s="196">
        <f t="shared" si="37"/>
        <v>0</v>
      </c>
      <c r="AM98" s="52">
        <f t="shared" si="171"/>
        <v>0</v>
      </c>
      <c r="AN98" s="52">
        <f t="shared" si="172"/>
        <v>0</v>
      </c>
      <c r="AO98" s="52">
        <f t="shared" si="173"/>
        <v>4</v>
      </c>
      <c r="AP98" s="52">
        <f t="shared" si="174"/>
        <v>0</v>
      </c>
    </row>
    <row r="99" spans="1:42" ht="20.100000000000001" customHeight="1" x14ac:dyDescent="0.25">
      <c r="A99" s="129"/>
      <c r="B99" s="182" t="s">
        <v>101</v>
      </c>
      <c r="C99" s="183"/>
      <c r="E99" s="189" t="s">
        <v>167</v>
      </c>
      <c r="F99" s="14">
        <v>1</v>
      </c>
      <c r="G99" s="14">
        <v>2.94</v>
      </c>
      <c r="H99" s="14">
        <v>0.2</v>
      </c>
      <c r="I99" s="14">
        <v>0.45</v>
      </c>
      <c r="J99" s="11">
        <f t="shared" si="2"/>
        <v>0.2646</v>
      </c>
      <c r="K99" s="11">
        <f t="shared" si="3"/>
        <v>0.58799999999999997</v>
      </c>
      <c r="L99" s="11">
        <f t="shared" si="4"/>
        <v>1.7310000000000001</v>
      </c>
      <c r="M99" s="190">
        <v>0.125</v>
      </c>
      <c r="N99" s="14">
        <f t="shared" si="127"/>
        <v>0.32500000000000001</v>
      </c>
      <c r="O99" s="14">
        <f t="shared" si="128"/>
        <v>0.95550000000000002</v>
      </c>
      <c r="P99" s="190">
        <v>0.125</v>
      </c>
      <c r="Q99" s="14">
        <f t="shared" si="129"/>
        <v>0.32500000000000001</v>
      </c>
      <c r="R99" s="14">
        <f t="shared" si="130"/>
        <v>0.95550000000000002</v>
      </c>
      <c r="S99" s="14"/>
      <c r="T99" s="14"/>
      <c r="U99" s="191">
        <f t="shared" si="168"/>
        <v>0</v>
      </c>
      <c r="V99" s="14" t="s">
        <v>116</v>
      </c>
      <c r="W99" s="14" t="s">
        <v>117</v>
      </c>
      <c r="X99" s="14" t="s">
        <v>176</v>
      </c>
      <c r="Y99" s="14"/>
      <c r="Z99" s="14"/>
      <c r="AA99" s="14"/>
      <c r="AB99" s="14">
        <f t="shared" si="139"/>
        <v>0.18000000000000002</v>
      </c>
      <c r="AC99" s="14"/>
      <c r="AE99" s="11"/>
      <c r="AG99" s="52">
        <f t="shared" si="169"/>
        <v>2.319</v>
      </c>
      <c r="AH99" s="52">
        <f t="shared" si="170"/>
        <v>0</v>
      </c>
      <c r="AI99" s="193">
        <f t="shared" si="175"/>
        <v>0</v>
      </c>
      <c r="AJ99" s="194">
        <f t="shared" si="194"/>
        <v>0</v>
      </c>
      <c r="AK99" s="195">
        <f t="shared" si="37"/>
        <v>2.319</v>
      </c>
      <c r="AL99" s="196">
        <f t="shared" si="37"/>
        <v>0</v>
      </c>
      <c r="AM99" s="52">
        <f t="shared" si="171"/>
        <v>0</v>
      </c>
      <c r="AN99" s="52">
        <f t="shared" si="172"/>
        <v>0</v>
      </c>
      <c r="AO99" s="52">
        <f t="shared" si="173"/>
        <v>2.94</v>
      </c>
      <c r="AP99" s="52">
        <f t="shared" si="174"/>
        <v>0</v>
      </c>
    </row>
    <row r="100" spans="1:42" ht="20.100000000000001" customHeight="1" x14ac:dyDescent="0.25">
      <c r="A100" s="129"/>
      <c r="B100" s="182" t="s">
        <v>101</v>
      </c>
      <c r="C100" s="183"/>
      <c r="E100" s="189" t="s">
        <v>168</v>
      </c>
      <c r="F100" s="14">
        <v>1</v>
      </c>
      <c r="G100" s="14">
        <v>4.1500000000000004</v>
      </c>
      <c r="H100" s="14">
        <v>0.2</v>
      </c>
      <c r="I100" s="14">
        <v>0.45</v>
      </c>
      <c r="J100" s="11">
        <f t="shared" si="2"/>
        <v>0.37350000000000005</v>
      </c>
      <c r="K100" s="11">
        <f t="shared" si="3"/>
        <v>0.83000000000000007</v>
      </c>
      <c r="L100" s="11">
        <f t="shared" si="4"/>
        <v>2.99</v>
      </c>
      <c r="M100" s="190">
        <v>0.125</v>
      </c>
      <c r="N100" s="14">
        <f t="shared" si="127"/>
        <v>0.32500000000000001</v>
      </c>
      <c r="O100" s="14">
        <f t="shared" si="128"/>
        <v>1.3487500000000001</v>
      </c>
      <c r="P100" s="190">
        <v>0.125</v>
      </c>
      <c r="Q100" s="14">
        <f t="shared" si="129"/>
        <v>0.32500000000000001</v>
      </c>
      <c r="R100" s="14">
        <f t="shared" si="130"/>
        <v>1.3487500000000001</v>
      </c>
      <c r="S100" s="14">
        <v>0.45</v>
      </c>
      <c r="T100" s="14"/>
      <c r="U100" s="191">
        <f t="shared" si="168"/>
        <v>0.29250000000000004</v>
      </c>
      <c r="V100" s="14"/>
      <c r="W100" s="14"/>
      <c r="X100" s="14"/>
      <c r="Y100" s="14"/>
      <c r="Z100" s="14"/>
      <c r="AA100" s="14"/>
      <c r="AB100" s="14">
        <f t="shared" si="139"/>
        <v>0</v>
      </c>
      <c r="AC100" s="14"/>
      <c r="AE100" s="11"/>
      <c r="AG100" s="52">
        <f t="shared" si="169"/>
        <v>3.8200000000000003</v>
      </c>
      <c r="AH100" s="52">
        <f t="shared" si="170"/>
        <v>0</v>
      </c>
      <c r="AI100" s="193">
        <f t="shared" si="175"/>
        <v>0</v>
      </c>
      <c r="AJ100" s="194">
        <f t="shared" si="194"/>
        <v>0</v>
      </c>
      <c r="AK100" s="195">
        <f t="shared" si="37"/>
        <v>3.8200000000000003</v>
      </c>
      <c r="AL100" s="196">
        <f t="shared" si="37"/>
        <v>0</v>
      </c>
      <c r="AM100" s="52">
        <f t="shared" si="171"/>
        <v>0</v>
      </c>
      <c r="AN100" s="52">
        <f t="shared" si="172"/>
        <v>0</v>
      </c>
      <c r="AO100" s="52">
        <f t="shared" si="173"/>
        <v>4.1500000000000004</v>
      </c>
      <c r="AP100" s="52">
        <f t="shared" si="174"/>
        <v>0</v>
      </c>
    </row>
    <row r="101" spans="1:42" ht="20.100000000000001" customHeight="1" x14ac:dyDescent="0.25">
      <c r="A101" s="129"/>
      <c r="B101" s="182" t="s">
        <v>101</v>
      </c>
      <c r="C101" s="183"/>
      <c r="E101" s="189" t="s">
        <v>169</v>
      </c>
      <c r="F101" s="14">
        <v>1</v>
      </c>
      <c r="G101" s="14">
        <v>1.5</v>
      </c>
      <c r="H101" s="14">
        <v>0.2</v>
      </c>
      <c r="I101" s="14">
        <v>0.45</v>
      </c>
      <c r="J101" s="11">
        <f t="shared" si="2"/>
        <v>0.13500000000000004</v>
      </c>
      <c r="K101" s="11">
        <f t="shared" si="3"/>
        <v>0.30000000000000004</v>
      </c>
      <c r="L101" s="11">
        <f t="shared" si="4"/>
        <v>0.97500000000000009</v>
      </c>
      <c r="M101" s="190">
        <v>0.125</v>
      </c>
      <c r="N101" s="14">
        <f t="shared" si="127"/>
        <v>0.32500000000000001</v>
      </c>
      <c r="O101" s="14">
        <f t="shared" si="128"/>
        <v>0.48750000000000004</v>
      </c>
      <c r="P101" s="190">
        <v>0.125</v>
      </c>
      <c r="Q101" s="14">
        <f t="shared" si="129"/>
        <v>0.32500000000000001</v>
      </c>
      <c r="R101" s="14">
        <f t="shared" si="130"/>
        <v>0.48750000000000004</v>
      </c>
      <c r="S101" s="14"/>
      <c r="T101" s="14"/>
      <c r="U101" s="191">
        <f t="shared" si="168"/>
        <v>0</v>
      </c>
      <c r="V101" s="14"/>
      <c r="W101" s="14"/>
      <c r="X101" s="14"/>
      <c r="Y101" s="14"/>
      <c r="Z101" s="14"/>
      <c r="AA101" s="14"/>
      <c r="AB101" s="14">
        <f t="shared" si="139"/>
        <v>0</v>
      </c>
      <c r="AC101" s="14"/>
      <c r="AE101" s="11"/>
      <c r="AG101" s="52">
        <f t="shared" si="169"/>
        <v>1.2750000000000001</v>
      </c>
      <c r="AH101" s="52">
        <f t="shared" si="170"/>
        <v>0</v>
      </c>
      <c r="AI101" s="193">
        <f t="shared" si="175"/>
        <v>0</v>
      </c>
      <c r="AJ101" s="194">
        <f t="shared" si="194"/>
        <v>0</v>
      </c>
      <c r="AK101" s="195">
        <f t="shared" si="37"/>
        <v>1.2750000000000001</v>
      </c>
      <c r="AL101" s="196">
        <f t="shared" si="37"/>
        <v>0</v>
      </c>
      <c r="AM101" s="52">
        <f t="shared" si="171"/>
        <v>0</v>
      </c>
      <c r="AN101" s="52">
        <f t="shared" si="172"/>
        <v>0</v>
      </c>
      <c r="AO101" s="52">
        <f t="shared" si="173"/>
        <v>1.5</v>
      </c>
      <c r="AP101" s="52">
        <f t="shared" si="174"/>
        <v>0</v>
      </c>
    </row>
    <row r="102" spans="1:42" ht="20.100000000000001" customHeight="1" x14ac:dyDescent="0.25">
      <c r="A102" s="129"/>
      <c r="B102" s="182" t="s">
        <v>101</v>
      </c>
      <c r="C102" s="183"/>
      <c r="E102" s="189" t="s">
        <v>170</v>
      </c>
      <c r="F102" s="14">
        <v>1</v>
      </c>
      <c r="G102" s="14">
        <v>4.1619999999999999</v>
      </c>
      <c r="H102" s="14">
        <v>0.2</v>
      </c>
      <c r="I102" s="14">
        <v>0.45</v>
      </c>
      <c r="J102" s="11">
        <f t="shared" si="2"/>
        <v>0.37458000000000002</v>
      </c>
      <c r="K102" s="11">
        <f t="shared" si="3"/>
        <v>0.83240000000000003</v>
      </c>
      <c r="L102" s="11">
        <f t="shared" ref="L102:L105" si="195">+O102+R102-AB102+U102</f>
        <v>3.4843000000000002</v>
      </c>
      <c r="M102" s="190">
        <v>0.125</v>
      </c>
      <c r="N102" s="14">
        <f t="shared" si="127"/>
        <v>0.32500000000000001</v>
      </c>
      <c r="O102" s="14">
        <f t="shared" si="128"/>
        <v>1.3526500000000001</v>
      </c>
      <c r="P102" s="190"/>
      <c r="Q102" s="14">
        <f t="shared" si="129"/>
        <v>0.45</v>
      </c>
      <c r="R102" s="14">
        <f t="shared" si="130"/>
        <v>1.8729</v>
      </c>
      <c r="S102" s="14">
        <v>0.45</v>
      </c>
      <c r="T102" s="14"/>
      <c r="U102" s="191">
        <f t="shared" si="168"/>
        <v>0.34875</v>
      </c>
      <c r="V102" s="14" t="s">
        <v>141</v>
      </c>
      <c r="W102" s="14"/>
      <c r="X102" s="14"/>
      <c r="Y102" s="14"/>
      <c r="Z102" s="14"/>
      <c r="AA102" s="14"/>
      <c r="AB102" s="14">
        <f t="shared" si="139"/>
        <v>9.0000000000000011E-2</v>
      </c>
      <c r="AC102" s="14"/>
      <c r="AE102" s="11"/>
      <c r="AG102" s="52">
        <f t="shared" si="169"/>
        <v>4.3167</v>
      </c>
      <c r="AH102" s="52">
        <f t="shared" si="170"/>
        <v>0</v>
      </c>
      <c r="AI102" s="193">
        <f t="shared" si="175"/>
        <v>4.3167</v>
      </c>
      <c r="AJ102" s="194">
        <f t="shared" si="194"/>
        <v>0</v>
      </c>
      <c r="AK102" s="195">
        <f t="shared" ref="AK102:AL105" si="196">+AG102-AI102</f>
        <v>0</v>
      </c>
      <c r="AL102" s="196">
        <f t="shared" si="196"/>
        <v>0</v>
      </c>
      <c r="AM102" s="52">
        <f t="shared" si="171"/>
        <v>4.1619999999999999</v>
      </c>
      <c r="AN102" s="52">
        <f t="shared" si="172"/>
        <v>0</v>
      </c>
      <c r="AO102" s="52">
        <f t="shared" si="173"/>
        <v>0</v>
      </c>
      <c r="AP102" s="52">
        <f t="shared" si="174"/>
        <v>0</v>
      </c>
    </row>
    <row r="103" spans="1:42" ht="20.100000000000001" customHeight="1" x14ac:dyDescent="0.25">
      <c r="A103" s="129"/>
      <c r="B103" s="182" t="s">
        <v>101</v>
      </c>
      <c r="C103" s="183"/>
      <c r="E103" s="189" t="s">
        <v>171</v>
      </c>
      <c r="F103" s="14">
        <v>1</v>
      </c>
      <c r="G103" s="14">
        <v>4.5369999999999999</v>
      </c>
      <c r="H103" s="14">
        <v>0.2</v>
      </c>
      <c r="I103" s="14">
        <v>0.45</v>
      </c>
      <c r="J103" s="11">
        <f t="shared" si="2"/>
        <v>0.40833000000000003</v>
      </c>
      <c r="K103" s="11">
        <f t="shared" si="3"/>
        <v>0.90739999999999998</v>
      </c>
      <c r="L103" s="11">
        <f t="shared" si="195"/>
        <v>3.4261750000000006</v>
      </c>
      <c r="M103" s="190">
        <v>0.125</v>
      </c>
      <c r="N103" s="14">
        <f t="shared" si="127"/>
        <v>0.32500000000000001</v>
      </c>
      <c r="O103" s="14">
        <f t="shared" si="128"/>
        <v>1.4745250000000001</v>
      </c>
      <c r="P103" s="190"/>
      <c r="Q103" s="14">
        <f t="shared" si="129"/>
        <v>0.45</v>
      </c>
      <c r="R103" s="14">
        <f t="shared" si="130"/>
        <v>2.0416500000000002</v>
      </c>
      <c r="S103" s="14"/>
      <c r="T103" s="14"/>
      <c r="U103" s="191">
        <f t="shared" si="168"/>
        <v>0</v>
      </c>
      <c r="V103" s="14" t="s">
        <v>130</v>
      </c>
      <c r="W103" s="14" t="s">
        <v>124</v>
      </c>
      <c r="X103" s="14"/>
      <c r="Y103" s="14"/>
      <c r="Z103" s="14"/>
      <c r="AA103" s="14"/>
      <c r="AB103" s="14">
        <f t="shared" si="139"/>
        <v>9.0000000000000011E-2</v>
      </c>
      <c r="AC103" s="14"/>
      <c r="AE103" s="11"/>
      <c r="AG103" s="52">
        <f t="shared" si="169"/>
        <v>4.3335750000000006</v>
      </c>
      <c r="AH103" s="52">
        <f t="shared" si="170"/>
        <v>0</v>
      </c>
      <c r="AI103" s="193">
        <f t="shared" si="175"/>
        <v>4.3335750000000006</v>
      </c>
      <c r="AJ103" s="194">
        <f t="shared" si="194"/>
        <v>0</v>
      </c>
      <c r="AK103" s="195">
        <f t="shared" si="196"/>
        <v>0</v>
      </c>
      <c r="AL103" s="196">
        <f t="shared" si="196"/>
        <v>0</v>
      </c>
      <c r="AM103" s="52">
        <f t="shared" si="171"/>
        <v>4.5369999999999999</v>
      </c>
      <c r="AN103" s="52">
        <f t="shared" si="172"/>
        <v>0</v>
      </c>
      <c r="AO103" s="52">
        <f t="shared" si="173"/>
        <v>0</v>
      </c>
      <c r="AP103" s="52">
        <f t="shared" si="174"/>
        <v>0</v>
      </c>
    </row>
    <row r="104" spans="1:42" ht="20.100000000000001" customHeight="1" x14ac:dyDescent="0.25">
      <c r="A104" s="129"/>
      <c r="B104" s="182" t="s">
        <v>101</v>
      </c>
      <c r="C104" s="183"/>
      <c r="E104" s="189" t="s">
        <v>172</v>
      </c>
      <c r="F104" s="14">
        <v>1</v>
      </c>
      <c r="G104" s="14">
        <v>3.641</v>
      </c>
      <c r="H104" s="14">
        <v>0.2</v>
      </c>
      <c r="I104" s="14">
        <v>0.45</v>
      </c>
      <c r="J104" s="11">
        <f t="shared" si="2"/>
        <v>0.32769000000000004</v>
      </c>
      <c r="K104" s="11">
        <f t="shared" si="3"/>
        <v>0.72820000000000007</v>
      </c>
      <c r="L104" s="11">
        <f t="shared" si="195"/>
        <v>2.1866499999999998</v>
      </c>
      <c r="M104" s="190">
        <v>0.125</v>
      </c>
      <c r="N104" s="14">
        <f t="shared" si="127"/>
        <v>0.32500000000000001</v>
      </c>
      <c r="O104" s="14">
        <f t="shared" si="128"/>
        <v>1.183325</v>
      </c>
      <c r="P104" s="190">
        <v>0.125</v>
      </c>
      <c r="Q104" s="14">
        <f t="shared" si="129"/>
        <v>0.32500000000000001</v>
      </c>
      <c r="R104" s="14">
        <f t="shared" si="130"/>
        <v>1.183325</v>
      </c>
      <c r="S104" s="14"/>
      <c r="T104" s="14"/>
      <c r="U104" s="191">
        <f t="shared" si="168"/>
        <v>0</v>
      </c>
      <c r="V104" s="14" t="s">
        <v>122</v>
      </c>
      <c r="W104" s="14" t="s">
        <v>117</v>
      </c>
      <c r="X104" s="14"/>
      <c r="Y104" s="14"/>
      <c r="Z104" s="14"/>
      <c r="AA104" s="14"/>
      <c r="AB104" s="14">
        <f t="shared" si="139"/>
        <v>0.18000000000000002</v>
      </c>
      <c r="AC104" s="14"/>
      <c r="AE104" s="11"/>
      <c r="AG104" s="52">
        <f t="shared" si="169"/>
        <v>2.9148499999999999</v>
      </c>
      <c r="AH104" s="52">
        <f t="shared" si="170"/>
        <v>0</v>
      </c>
      <c r="AI104" s="193">
        <f t="shared" si="175"/>
        <v>0</v>
      </c>
      <c r="AJ104" s="194">
        <f t="shared" si="194"/>
        <v>0</v>
      </c>
      <c r="AK104" s="195">
        <f t="shared" si="196"/>
        <v>2.9148499999999999</v>
      </c>
      <c r="AL104" s="196">
        <f t="shared" si="196"/>
        <v>0</v>
      </c>
      <c r="AM104" s="52">
        <f t="shared" si="171"/>
        <v>0</v>
      </c>
      <c r="AN104" s="52">
        <f t="shared" si="172"/>
        <v>0</v>
      </c>
      <c r="AO104" s="52">
        <f t="shared" si="173"/>
        <v>3.641</v>
      </c>
      <c r="AP104" s="52">
        <f t="shared" si="174"/>
        <v>0</v>
      </c>
    </row>
    <row r="105" spans="1:42" ht="20.100000000000001" customHeight="1" x14ac:dyDescent="0.25">
      <c r="A105" s="129"/>
      <c r="B105" s="182" t="s">
        <v>101</v>
      </c>
      <c r="C105" s="183"/>
      <c r="E105" s="189" t="s">
        <v>173</v>
      </c>
      <c r="F105" s="14">
        <v>1</v>
      </c>
      <c r="G105" s="14">
        <v>6.15</v>
      </c>
      <c r="H105" s="14">
        <v>0.2</v>
      </c>
      <c r="I105" s="14">
        <v>0.45</v>
      </c>
      <c r="J105" s="11">
        <f t="shared" si="2"/>
        <v>0.5535000000000001</v>
      </c>
      <c r="K105" s="11">
        <f t="shared" si="3"/>
        <v>1.2300000000000002</v>
      </c>
      <c r="L105" s="11">
        <f t="shared" si="195"/>
        <v>4.6762500000000005</v>
      </c>
      <c r="M105" s="190">
        <v>0.125</v>
      </c>
      <c r="N105" s="14">
        <f t="shared" si="127"/>
        <v>0.32500000000000001</v>
      </c>
      <c r="O105" s="14">
        <f t="shared" si="128"/>
        <v>1.9987500000000002</v>
      </c>
      <c r="P105" s="190"/>
      <c r="Q105" s="14">
        <f t="shared" si="129"/>
        <v>0.45</v>
      </c>
      <c r="R105" s="14">
        <f t="shared" si="130"/>
        <v>2.7675000000000001</v>
      </c>
      <c r="S105" s="14"/>
      <c r="T105" s="14"/>
      <c r="U105" s="191">
        <f t="shared" si="168"/>
        <v>0</v>
      </c>
      <c r="V105" s="14" t="s">
        <v>107</v>
      </c>
      <c r="W105" s="14"/>
      <c r="X105" s="14"/>
      <c r="Y105" s="14"/>
      <c r="Z105" s="14"/>
      <c r="AA105" s="14"/>
      <c r="AB105" s="14">
        <f t="shared" si="139"/>
        <v>9.0000000000000011E-2</v>
      </c>
      <c r="AC105" s="14"/>
      <c r="AE105" s="11"/>
      <c r="AG105" s="52">
        <f t="shared" si="169"/>
        <v>5.9062500000000009</v>
      </c>
      <c r="AH105" s="52">
        <f t="shared" si="170"/>
        <v>0</v>
      </c>
      <c r="AI105" s="193">
        <f t="shared" si="175"/>
        <v>5.9062500000000009</v>
      </c>
      <c r="AJ105" s="194">
        <f t="shared" si="194"/>
        <v>0</v>
      </c>
      <c r="AK105" s="195">
        <f t="shared" si="196"/>
        <v>0</v>
      </c>
      <c r="AL105" s="196">
        <f t="shared" si="196"/>
        <v>0</v>
      </c>
      <c r="AM105" s="52">
        <f t="shared" si="171"/>
        <v>6.15</v>
      </c>
      <c r="AN105" s="52">
        <f t="shared" si="172"/>
        <v>0</v>
      </c>
      <c r="AO105" s="52">
        <f t="shared" si="173"/>
        <v>0</v>
      </c>
      <c r="AP105" s="52">
        <f t="shared" si="174"/>
        <v>0</v>
      </c>
    </row>
    <row r="106" spans="1:42" ht="20.100000000000001" customHeight="1" x14ac:dyDescent="0.25">
      <c r="A106" s="129"/>
      <c r="B106" s="182" t="s">
        <v>101</v>
      </c>
      <c r="C106" s="183"/>
      <c r="E106" s="189" t="s">
        <v>174</v>
      </c>
      <c r="F106" s="14">
        <v>1</v>
      </c>
      <c r="G106" s="14">
        <v>3.641</v>
      </c>
      <c r="H106" s="14">
        <v>0.2</v>
      </c>
      <c r="I106" s="14">
        <v>0.45</v>
      </c>
      <c r="J106" s="11">
        <f t="shared" ref="J106:J110" si="197">+PRODUCT(F106:I106)</f>
        <v>0.32769000000000004</v>
      </c>
      <c r="K106" s="11">
        <f t="shared" ref="K106:K110" si="198">PRODUCT(F106,G106,H106)</f>
        <v>0.72820000000000007</v>
      </c>
      <c r="L106" s="11">
        <f t="shared" ref="L106:L110" si="199">+O106+R106-AB106+U106</f>
        <v>2.8217749999999997</v>
      </c>
      <c r="M106" s="190">
        <v>0.125</v>
      </c>
      <c r="N106" s="14">
        <f t="shared" ref="N106:N110" si="200">+I106-M106</f>
        <v>0.32500000000000001</v>
      </c>
      <c r="O106" s="14">
        <f t="shared" ref="O106:O110" si="201">+PRODUCT(F106,G106,N106)</f>
        <v>1.183325</v>
      </c>
      <c r="P106" s="190"/>
      <c r="Q106" s="14">
        <f t="shared" ref="Q106:Q110" si="202">+I106-P106</f>
        <v>0.45</v>
      </c>
      <c r="R106" s="14">
        <f t="shared" ref="R106:R110" si="203">+PRODUCT(F106:G106,Q106)</f>
        <v>1.63845</v>
      </c>
      <c r="S106" s="14"/>
      <c r="T106" s="14"/>
      <c r="U106" s="191">
        <f t="shared" ref="U106:U110" si="204">+SUM(S106:T106)*(N106+Q106)/2*2</f>
        <v>0</v>
      </c>
      <c r="V106" s="14"/>
      <c r="W106" s="14"/>
      <c r="X106" s="14"/>
      <c r="Y106" s="14"/>
      <c r="Z106" s="14"/>
      <c r="AA106" s="14"/>
      <c r="AB106" s="14">
        <f t="shared" si="139"/>
        <v>0</v>
      </c>
      <c r="AC106" s="14"/>
      <c r="AE106" s="11"/>
      <c r="AG106" s="52">
        <f t="shared" ref="AG106:AG110" si="205">+IF(I106&lt;0.75,(K106+L106),0)</f>
        <v>3.5499749999999999</v>
      </c>
      <c r="AH106" s="52">
        <f t="shared" ref="AH106:AH110" si="206">+IF(I106&lt;0.75,0,(K106+L106))</f>
        <v>0</v>
      </c>
      <c r="AI106" s="193">
        <f t="shared" ref="AI106:AI110" si="207">IF(P106=0,(+IF(I106&lt;0.75,(K106+L106),0)),0)</f>
        <v>3.5499749999999999</v>
      </c>
      <c r="AJ106" s="194">
        <f t="shared" ref="AJ106:AJ110" si="208">IF(P106=0,(+IF(I106&lt;0.75,0,(K106+L106))),0)</f>
        <v>0</v>
      </c>
      <c r="AK106" s="195">
        <f t="shared" ref="AK106:AK110" si="209">+AG106-AI106</f>
        <v>0</v>
      </c>
      <c r="AL106" s="196">
        <f t="shared" ref="AL106:AL110" si="210">+AH106-AJ106</f>
        <v>0</v>
      </c>
      <c r="AM106" s="52">
        <f t="shared" ref="AM106:AM110" si="211">+IF(AI106=0,0,G106)</f>
        <v>3.641</v>
      </c>
      <c r="AN106" s="52">
        <f t="shared" ref="AN106:AN110" si="212">+IF(AJ106=0,0,G106)</f>
        <v>0</v>
      </c>
      <c r="AO106" s="52">
        <f t="shared" ref="AO106:AO110" si="213">+IF(AK106=0,0,G106)</f>
        <v>0</v>
      </c>
      <c r="AP106" s="52">
        <f t="shared" ref="AP106:AP110" si="214">+IF(AL106=0,0,G106)</f>
        <v>0</v>
      </c>
    </row>
    <row r="107" spans="1:42" ht="20.100000000000001" customHeight="1" x14ac:dyDescent="0.25">
      <c r="A107" s="129"/>
      <c r="B107" s="182" t="s">
        <v>101</v>
      </c>
      <c r="C107" s="183"/>
      <c r="E107" s="189" t="s">
        <v>591</v>
      </c>
      <c r="F107" s="14">
        <v>2</v>
      </c>
      <c r="G107" s="14">
        <f>9.5-0.45-0.45-0.45</f>
        <v>8.1500000000000021</v>
      </c>
      <c r="H107" s="14">
        <v>0.2</v>
      </c>
      <c r="I107" s="14">
        <v>0.45</v>
      </c>
      <c r="J107" s="11">
        <f t="shared" si="197"/>
        <v>1.4670000000000005</v>
      </c>
      <c r="K107" s="11">
        <f t="shared" si="198"/>
        <v>3.2600000000000011</v>
      </c>
      <c r="L107" s="11">
        <f t="shared" si="199"/>
        <v>12.632500000000004</v>
      </c>
      <c r="M107" s="190">
        <v>0.125</v>
      </c>
      <c r="N107" s="14">
        <f t="shared" si="200"/>
        <v>0.32500000000000001</v>
      </c>
      <c r="O107" s="14">
        <f t="shared" si="201"/>
        <v>5.2975000000000012</v>
      </c>
      <c r="P107" s="190"/>
      <c r="Q107" s="14">
        <f t="shared" si="202"/>
        <v>0.45</v>
      </c>
      <c r="R107" s="14">
        <f t="shared" si="203"/>
        <v>7.3350000000000017</v>
      </c>
      <c r="S107" s="14"/>
      <c r="T107" s="14"/>
      <c r="U107" s="191">
        <f t="shared" si="204"/>
        <v>0</v>
      </c>
      <c r="V107" s="14"/>
      <c r="W107" s="14"/>
      <c r="X107" s="14"/>
      <c r="Y107" s="14"/>
      <c r="Z107" s="14"/>
      <c r="AA107" s="14"/>
      <c r="AB107" s="14">
        <f t="shared" si="139"/>
        <v>0</v>
      </c>
      <c r="AC107" s="14"/>
      <c r="AE107" s="11"/>
      <c r="AG107" s="52">
        <f t="shared" si="205"/>
        <v>15.892500000000005</v>
      </c>
      <c r="AH107" s="52">
        <f t="shared" si="206"/>
        <v>0</v>
      </c>
      <c r="AI107" s="193">
        <f t="shared" si="207"/>
        <v>15.892500000000005</v>
      </c>
      <c r="AJ107" s="194">
        <f t="shared" si="208"/>
        <v>0</v>
      </c>
      <c r="AK107" s="195">
        <f t="shared" si="209"/>
        <v>0</v>
      </c>
      <c r="AL107" s="196">
        <f t="shared" si="210"/>
        <v>0</v>
      </c>
      <c r="AM107" s="52">
        <f t="shared" si="211"/>
        <v>8.1500000000000021</v>
      </c>
      <c r="AN107" s="52">
        <f t="shared" si="212"/>
        <v>0</v>
      </c>
      <c r="AO107" s="52">
        <f t="shared" si="213"/>
        <v>0</v>
      </c>
      <c r="AP107" s="52">
        <f t="shared" si="214"/>
        <v>0</v>
      </c>
    </row>
    <row r="108" spans="1:42" ht="20.100000000000001" customHeight="1" x14ac:dyDescent="0.25">
      <c r="A108" s="129"/>
      <c r="B108" s="182" t="s">
        <v>101</v>
      </c>
      <c r="C108" s="183"/>
      <c r="E108" s="189" t="s">
        <v>591</v>
      </c>
      <c r="F108" s="14">
        <v>3</v>
      </c>
      <c r="G108" s="14">
        <f>6-0.45</f>
        <v>5.55</v>
      </c>
      <c r="H108" s="14">
        <v>0.2</v>
      </c>
      <c r="I108" s="14">
        <v>0.45</v>
      </c>
      <c r="J108" s="11">
        <f t="shared" si="197"/>
        <v>1.4985000000000002</v>
      </c>
      <c r="K108" s="11">
        <f t="shared" si="198"/>
        <v>3.33</v>
      </c>
      <c r="L108" s="11">
        <f t="shared" si="199"/>
        <v>12.903749999999999</v>
      </c>
      <c r="M108" s="190">
        <v>0.125</v>
      </c>
      <c r="N108" s="14">
        <f t="shared" si="200"/>
        <v>0.32500000000000001</v>
      </c>
      <c r="O108" s="14">
        <f t="shared" si="201"/>
        <v>5.4112499999999999</v>
      </c>
      <c r="P108" s="190"/>
      <c r="Q108" s="14">
        <f t="shared" si="202"/>
        <v>0.45</v>
      </c>
      <c r="R108" s="14">
        <f t="shared" si="203"/>
        <v>7.4924999999999997</v>
      </c>
      <c r="S108" s="14"/>
      <c r="T108" s="14"/>
      <c r="U108" s="191">
        <f t="shared" si="204"/>
        <v>0</v>
      </c>
      <c r="V108" s="14"/>
      <c r="W108" s="14"/>
      <c r="X108" s="14"/>
      <c r="Y108" s="14"/>
      <c r="Z108" s="14"/>
      <c r="AA108" s="14"/>
      <c r="AB108" s="14">
        <f t="shared" si="139"/>
        <v>0</v>
      </c>
      <c r="AC108" s="14"/>
      <c r="AE108" s="11"/>
      <c r="AG108" s="52">
        <f t="shared" si="205"/>
        <v>16.233750000000001</v>
      </c>
      <c r="AH108" s="52">
        <f t="shared" si="206"/>
        <v>0</v>
      </c>
      <c r="AI108" s="193">
        <f t="shared" si="207"/>
        <v>16.233750000000001</v>
      </c>
      <c r="AJ108" s="194">
        <f t="shared" si="208"/>
        <v>0</v>
      </c>
      <c r="AK108" s="195">
        <f t="shared" si="209"/>
        <v>0</v>
      </c>
      <c r="AL108" s="196">
        <f t="shared" si="210"/>
        <v>0</v>
      </c>
      <c r="AM108" s="52">
        <f t="shared" si="211"/>
        <v>5.55</v>
      </c>
      <c r="AN108" s="52">
        <f t="shared" si="212"/>
        <v>0</v>
      </c>
      <c r="AO108" s="52">
        <f t="shared" si="213"/>
        <v>0</v>
      </c>
      <c r="AP108" s="52">
        <f t="shared" si="214"/>
        <v>0</v>
      </c>
    </row>
    <row r="109" spans="1:42" ht="20.100000000000001" customHeight="1" x14ac:dyDescent="0.25">
      <c r="A109" s="129"/>
      <c r="B109" s="182" t="s">
        <v>101</v>
      </c>
      <c r="C109" s="183"/>
      <c r="E109" s="189" t="s">
        <v>591</v>
      </c>
      <c r="F109" s="14">
        <v>1</v>
      </c>
      <c r="G109" s="14">
        <v>2.4</v>
      </c>
      <c r="H109" s="14">
        <v>0.2</v>
      </c>
      <c r="I109" s="14">
        <v>0.45</v>
      </c>
      <c r="J109" s="11">
        <f t="shared" si="197"/>
        <v>0.216</v>
      </c>
      <c r="K109" s="11">
        <f t="shared" si="198"/>
        <v>0.48</v>
      </c>
      <c r="L109" s="11">
        <f t="shared" si="199"/>
        <v>1.56</v>
      </c>
      <c r="M109" s="190">
        <v>0.125</v>
      </c>
      <c r="N109" s="14">
        <f t="shared" si="200"/>
        <v>0.32500000000000001</v>
      </c>
      <c r="O109" s="14">
        <f t="shared" si="201"/>
        <v>0.78</v>
      </c>
      <c r="P109" s="190">
        <v>0.125</v>
      </c>
      <c r="Q109" s="14">
        <f t="shared" si="202"/>
        <v>0.32500000000000001</v>
      </c>
      <c r="R109" s="14">
        <f t="shared" si="203"/>
        <v>0.78</v>
      </c>
      <c r="S109" s="14"/>
      <c r="T109" s="14"/>
      <c r="U109" s="191">
        <f t="shared" si="204"/>
        <v>0</v>
      </c>
      <c r="V109" s="14"/>
      <c r="W109" s="14"/>
      <c r="X109" s="14"/>
      <c r="Y109" s="14"/>
      <c r="Z109" s="14"/>
      <c r="AA109" s="14"/>
      <c r="AB109" s="14">
        <f t="shared" si="139"/>
        <v>0</v>
      </c>
      <c r="AC109" s="14"/>
      <c r="AE109" s="11"/>
      <c r="AG109" s="52">
        <f t="shared" si="205"/>
        <v>2.04</v>
      </c>
      <c r="AH109" s="52">
        <f t="shared" si="206"/>
        <v>0</v>
      </c>
      <c r="AI109" s="193">
        <f t="shared" si="207"/>
        <v>0</v>
      </c>
      <c r="AJ109" s="194">
        <f t="shared" si="208"/>
        <v>0</v>
      </c>
      <c r="AK109" s="195">
        <f t="shared" si="209"/>
        <v>2.04</v>
      </c>
      <c r="AL109" s="196">
        <f t="shared" si="210"/>
        <v>0</v>
      </c>
      <c r="AM109" s="52">
        <f t="shared" si="211"/>
        <v>0</v>
      </c>
      <c r="AN109" s="52">
        <f t="shared" si="212"/>
        <v>0</v>
      </c>
      <c r="AO109" s="52">
        <f t="shared" si="213"/>
        <v>2.4</v>
      </c>
      <c r="AP109" s="52">
        <f t="shared" si="214"/>
        <v>0</v>
      </c>
    </row>
    <row r="110" spans="1:42" ht="20.100000000000001" customHeight="1" x14ac:dyDescent="0.25">
      <c r="A110" s="129"/>
      <c r="B110" s="182" t="s">
        <v>101</v>
      </c>
      <c r="C110" s="183"/>
      <c r="E110" s="189" t="s">
        <v>591</v>
      </c>
      <c r="F110" s="14">
        <v>1</v>
      </c>
      <c r="G110" s="14">
        <v>2.8</v>
      </c>
      <c r="H110" s="14">
        <v>0.2</v>
      </c>
      <c r="I110" s="14">
        <v>0.45</v>
      </c>
      <c r="J110" s="11">
        <f t="shared" si="197"/>
        <v>0.252</v>
      </c>
      <c r="K110" s="11">
        <f t="shared" si="198"/>
        <v>0.55999999999999994</v>
      </c>
      <c r="L110" s="11">
        <f t="shared" si="199"/>
        <v>1.8199999999999998</v>
      </c>
      <c r="M110" s="190">
        <v>0.125</v>
      </c>
      <c r="N110" s="14">
        <f t="shared" si="200"/>
        <v>0.32500000000000001</v>
      </c>
      <c r="O110" s="14">
        <f t="shared" si="201"/>
        <v>0.90999999999999992</v>
      </c>
      <c r="P110" s="190">
        <v>0.125</v>
      </c>
      <c r="Q110" s="14">
        <f t="shared" si="202"/>
        <v>0.32500000000000001</v>
      </c>
      <c r="R110" s="14">
        <f t="shared" si="203"/>
        <v>0.90999999999999992</v>
      </c>
      <c r="S110" s="14"/>
      <c r="T110" s="14"/>
      <c r="U110" s="191">
        <f t="shared" si="204"/>
        <v>0</v>
      </c>
      <c r="V110" s="14"/>
      <c r="W110" s="14"/>
      <c r="X110" s="14"/>
      <c r="Y110" s="14"/>
      <c r="Z110" s="14"/>
      <c r="AA110" s="14"/>
      <c r="AB110" s="14">
        <f t="shared" si="139"/>
        <v>0</v>
      </c>
      <c r="AC110" s="14"/>
      <c r="AE110" s="11"/>
      <c r="AG110" s="52">
        <f t="shared" si="205"/>
        <v>2.38</v>
      </c>
      <c r="AH110" s="52">
        <f t="shared" si="206"/>
        <v>0</v>
      </c>
      <c r="AI110" s="193">
        <f t="shared" si="207"/>
        <v>0</v>
      </c>
      <c r="AJ110" s="194">
        <f t="shared" si="208"/>
        <v>0</v>
      </c>
      <c r="AK110" s="195">
        <f t="shared" si="209"/>
        <v>2.38</v>
      </c>
      <c r="AL110" s="196">
        <f t="shared" si="210"/>
        <v>0</v>
      </c>
      <c r="AM110" s="52">
        <f t="shared" si="211"/>
        <v>0</v>
      </c>
      <c r="AN110" s="52">
        <f t="shared" si="212"/>
        <v>0</v>
      </c>
      <c r="AO110" s="52">
        <f t="shared" si="213"/>
        <v>2.8</v>
      </c>
      <c r="AP110" s="52">
        <f t="shared" si="214"/>
        <v>0</v>
      </c>
    </row>
    <row r="111" spans="1:42" s="207" customFormat="1" ht="20.100000000000001" customHeight="1" x14ac:dyDescent="0.25">
      <c r="A111" s="197"/>
      <c r="B111" s="182" t="s">
        <v>101</v>
      </c>
      <c r="C111" s="182"/>
      <c r="D111" s="198"/>
      <c r="E111" s="189"/>
      <c r="F111" s="199">
        <f>SUM(F20:F110)</f>
        <v>81</v>
      </c>
      <c r="G111" s="199">
        <f>SUM(G20:G110)</f>
        <v>260.40499999999997</v>
      </c>
      <c r="H111" s="200">
        <f>IFERROR(AVERAGE(H20:H110),0)</f>
        <v>0.19807692307692279</v>
      </c>
      <c r="I111" s="200">
        <f>IFERROR(AVERAGE(I20:I110),0)</f>
        <v>0.44807692307692282</v>
      </c>
      <c r="J111" s="199">
        <f>SUM(J20:J110)</f>
        <v>25.117825000000007</v>
      </c>
      <c r="K111" s="199">
        <f>SUM(K20:K110)</f>
        <v>55.87349999999995</v>
      </c>
      <c r="L111" s="199">
        <f>SUM(L20:L110)</f>
        <v>204.61512499999992</v>
      </c>
      <c r="M111" s="200">
        <f>IFERROR(AVERAGE(M20:M110),0)</f>
        <v>0.12682926829268293</v>
      </c>
      <c r="N111" s="200">
        <f>IFERROR(AVERAGE(N20:N110),0)</f>
        <v>0.27528409090909056</v>
      </c>
      <c r="O111" s="199">
        <f>SUM(O20:O110)</f>
        <v>89.142374999999944</v>
      </c>
      <c r="P111" s="200">
        <f>IFERROR(AVERAGE(P20:P110),0)</f>
        <v>0.12894736842105262</v>
      </c>
      <c r="Q111" s="200">
        <f>IFERROR(AVERAGE(Q20:Q110),0)</f>
        <v>0.30329670329670294</v>
      </c>
      <c r="R111" s="199">
        <f>SUM(R20:R110)</f>
        <v>106.34399999999999</v>
      </c>
      <c r="S111" s="199">
        <f>SUM(S20:S110)</f>
        <v>12.799999999999995</v>
      </c>
      <c r="T111" s="199">
        <f>SUM(T20:T110)</f>
        <v>4.3500000000000005</v>
      </c>
      <c r="U111" s="199">
        <f>SUM(U20:U110)</f>
        <v>11.706250000000008</v>
      </c>
      <c r="V111" s="201"/>
      <c r="W111" s="201"/>
      <c r="X111" s="201"/>
      <c r="Y111" s="201"/>
      <c r="Z111" s="201"/>
      <c r="AA111" s="201"/>
      <c r="AB111" s="199">
        <f>SUM(AB20:AB110)</f>
        <v>2.5775000000000001</v>
      </c>
      <c r="AC111" s="199"/>
      <c r="AD111" s="202"/>
      <c r="AE111" s="199"/>
      <c r="AF111" s="203"/>
      <c r="AG111" s="199">
        <f t="shared" ref="AG111:AP111" si="215">SUM(AG20:AG110)</f>
        <v>260.48862500000001</v>
      </c>
      <c r="AH111" s="204">
        <f t="shared" si="215"/>
        <v>0</v>
      </c>
      <c r="AI111" s="205">
        <f t="shared" si="215"/>
        <v>130.49877500000002</v>
      </c>
      <c r="AJ111" s="206">
        <f t="shared" si="215"/>
        <v>0</v>
      </c>
      <c r="AK111" s="205">
        <f t="shared" si="215"/>
        <v>129.9898500000001</v>
      </c>
      <c r="AL111" s="206">
        <f t="shared" si="215"/>
        <v>0</v>
      </c>
      <c r="AM111" s="206">
        <f t="shared" si="215"/>
        <v>109.91400000000002</v>
      </c>
      <c r="AN111" s="206">
        <f t="shared" si="215"/>
        <v>0</v>
      </c>
      <c r="AO111" s="206">
        <f t="shared" si="215"/>
        <v>150.49100000000001</v>
      </c>
      <c r="AP111" s="206">
        <f t="shared" si="215"/>
        <v>0</v>
      </c>
    </row>
    <row r="112" spans="1:42" s="207" customFormat="1" ht="20.100000000000001" customHeight="1" x14ac:dyDescent="0.25">
      <c r="A112" s="197"/>
      <c r="B112" s="211"/>
      <c r="C112" s="211"/>
      <c r="D112" s="198"/>
      <c r="E112" s="189"/>
      <c r="F112" s="199"/>
      <c r="G112" s="199"/>
      <c r="H112" s="200"/>
      <c r="I112" s="200"/>
      <c r="J112" s="199"/>
      <c r="K112" s="199"/>
      <c r="L112" s="199"/>
      <c r="M112" s="200"/>
      <c r="N112" s="200"/>
      <c r="O112" s="199"/>
      <c r="P112" s="200"/>
      <c r="Q112" s="200"/>
      <c r="R112" s="199"/>
      <c r="S112" s="199"/>
      <c r="T112" s="199"/>
      <c r="U112" s="199"/>
      <c r="V112" s="201"/>
      <c r="W112" s="201"/>
      <c r="X112" s="201"/>
      <c r="Y112" s="201"/>
      <c r="Z112" s="201"/>
      <c r="AA112" s="201"/>
      <c r="AB112" s="199"/>
      <c r="AC112" s="199"/>
      <c r="AD112" s="202"/>
      <c r="AE112" s="199"/>
      <c r="AF112" s="203"/>
      <c r="AG112" s="212"/>
      <c r="AH112" s="212"/>
      <c r="AI112" s="212"/>
      <c r="AJ112" s="212"/>
      <c r="AK112" s="212"/>
      <c r="AL112" s="212"/>
      <c r="AM112" s="212"/>
      <c r="AN112" s="212"/>
      <c r="AO112" s="212"/>
      <c r="AP112" s="212"/>
    </row>
    <row r="114" spans="1:42" s="84" customFormat="1" ht="29.25" customHeight="1" x14ac:dyDescent="0.25">
      <c r="A114" s="83" t="s">
        <v>96</v>
      </c>
      <c r="B114" s="83"/>
      <c r="C114" s="85"/>
      <c r="D114" s="83" t="s">
        <v>68</v>
      </c>
      <c r="E114" s="83" t="s">
        <v>69</v>
      </c>
      <c r="F114" s="86" t="s">
        <v>2</v>
      </c>
      <c r="G114" s="86" t="s">
        <v>3</v>
      </c>
      <c r="H114" s="86" t="s">
        <v>4</v>
      </c>
      <c r="I114" s="86" t="s">
        <v>5</v>
      </c>
      <c r="J114" s="86" t="s">
        <v>70</v>
      </c>
      <c r="K114" s="87" t="s">
        <v>71</v>
      </c>
      <c r="L114" s="88" t="s">
        <v>72</v>
      </c>
      <c r="M114" s="89" t="s">
        <v>73</v>
      </c>
      <c r="N114" s="87" t="s">
        <v>74</v>
      </c>
      <c r="O114" s="90" t="s">
        <v>75</v>
      </c>
      <c r="P114" s="89" t="s">
        <v>73</v>
      </c>
      <c r="Q114" s="87" t="s">
        <v>74</v>
      </c>
      <c r="R114" s="91" t="s">
        <v>75</v>
      </c>
      <c r="S114" s="91" t="s">
        <v>76</v>
      </c>
      <c r="T114" s="91" t="s">
        <v>77</v>
      </c>
      <c r="U114" s="91" t="s">
        <v>78</v>
      </c>
      <c r="V114" s="91" t="s">
        <v>97</v>
      </c>
      <c r="W114" s="91" t="s">
        <v>97</v>
      </c>
      <c r="X114" s="91" t="s">
        <v>97</v>
      </c>
      <c r="Y114" s="91" t="s">
        <v>97</v>
      </c>
      <c r="Z114" s="91" t="s">
        <v>97</v>
      </c>
      <c r="AA114" s="91" t="s">
        <v>97</v>
      </c>
      <c r="AB114" s="91" t="s">
        <v>81</v>
      </c>
      <c r="AC114" s="91"/>
      <c r="AD114" s="91"/>
      <c r="AE114" s="91" t="s">
        <v>82</v>
      </c>
      <c r="AF114" s="92" t="s">
        <v>82</v>
      </c>
      <c r="AI114" s="93"/>
    </row>
    <row r="115" spans="1:42" s="94" customFormat="1" ht="20.100000000000001" customHeight="1" x14ac:dyDescent="0.25">
      <c r="A115" s="181"/>
      <c r="B115" s="182" t="s">
        <v>85</v>
      </c>
      <c r="C115" s="183"/>
      <c r="D115" s="182"/>
      <c r="E115" s="182"/>
      <c r="F115" s="184"/>
      <c r="G115" s="184"/>
      <c r="H115" s="184"/>
      <c r="I115" s="184"/>
      <c r="J115" s="184"/>
      <c r="K115" s="184"/>
      <c r="L115" s="184"/>
      <c r="M115" s="185"/>
      <c r="N115" s="182"/>
      <c r="O115" s="182"/>
      <c r="P115" s="185"/>
      <c r="Q115" s="182"/>
      <c r="R115" s="182"/>
      <c r="S115" s="182"/>
      <c r="T115" s="182"/>
      <c r="U115" s="182"/>
      <c r="V115" s="182"/>
      <c r="W115" s="182"/>
      <c r="X115" s="182"/>
      <c r="Y115" s="182"/>
      <c r="Z115" s="182"/>
      <c r="AA115" s="182"/>
      <c r="AB115" s="182"/>
      <c r="AC115" s="182"/>
      <c r="AD115" s="182"/>
      <c r="AE115" s="184"/>
      <c r="AF115" s="186"/>
      <c r="AG115" s="187" t="s">
        <v>98</v>
      </c>
      <c r="AH115" s="187" t="s">
        <v>99</v>
      </c>
      <c r="AI115" s="187" t="s">
        <v>98</v>
      </c>
      <c r="AJ115" s="187" t="s">
        <v>99</v>
      </c>
      <c r="AK115" s="187" t="s">
        <v>98</v>
      </c>
      <c r="AL115" s="187" t="s">
        <v>99</v>
      </c>
      <c r="AM115" s="187" t="s">
        <v>98</v>
      </c>
      <c r="AN115" s="187" t="s">
        <v>99</v>
      </c>
      <c r="AO115" s="187" t="s">
        <v>98</v>
      </c>
      <c r="AP115" s="187" t="s">
        <v>99</v>
      </c>
    </row>
    <row r="116" spans="1:42" ht="20.100000000000001" customHeight="1" x14ac:dyDescent="0.25">
      <c r="A116" s="129"/>
      <c r="B116" s="182" t="s">
        <v>85</v>
      </c>
      <c r="C116" s="183"/>
      <c r="E116" s="189" t="s">
        <v>182</v>
      </c>
      <c r="F116" s="14">
        <v>1</v>
      </c>
      <c r="G116" s="14">
        <v>7.1509999999999998</v>
      </c>
      <c r="H116" s="14">
        <v>0.2</v>
      </c>
      <c r="I116" s="14">
        <v>0.7</v>
      </c>
      <c r="J116" s="11">
        <f>+PRODUCT(F116:I116)</f>
        <v>1.0011400000000001</v>
      </c>
      <c r="K116" s="11">
        <f>PRODUCT(F116,G116,H116)</f>
        <v>1.4302000000000001</v>
      </c>
      <c r="L116" s="11">
        <f>+O116+R116-AB116+U116</f>
        <v>10.085024999999998</v>
      </c>
      <c r="M116" s="190">
        <v>0.125</v>
      </c>
      <c r="N116" s="14">
        <f>+I116-M116</f>
        <v>0.57499999999999996</v>
      </c>
      <c r="O116" s="14">
        <f>+PRODUCT(F116,G116,N116)</f>
        <v>4.1118249999999996</v>
      </c>
      <c r="P116" s="190"/>
      <c r="Q116" s="14">
        <f>+I116-P116</f>
        <v>0.7</v>
      </c>
      <c r="R116" s="14">
        <f>+PRODUCT(F116:G116,Q116)</f>
        <v>5.0056999999999992</v>
      </c>
      <c r="S116" s="14">
        <v>0.45</v>
      </c>
      <c r="T116" s="14">
        <v>0.45</v>
      </c>
      <c r="U116" s="191">
        <f t="shared" ref="U116:U145" si="216">+SUM(S116:T116)*(N116+Q116)/2*2</f>
        <v>1.1475</v>
      </c>
      <c r="V116" s="14" t="s">
        <v>242</v>
      </c>
      <c r="W116" s="14" t="s">
        <v>247</v>
      </c>
      <c r="X116" s="14"/>
      <c r="Y116" s="14"/>
      <c r="Z116" s="14"/>
      <c r="AA116" s="14"/>
      <c r="AB116" s="14">
        <f t="shared" ref="AB116:AB147" si="217">IFERROR(VLOOKUP(V116,$E$19:$I$625,4,FALSE)*VLOOKUP(V116,$E$19:$I$625,5,FALSE),)+IFERROR(VLOOKUP(W116,$E$19:$I$625,4,FALSE)*VLOOKUP(W116,$E$19:$I$625,5,FALSE),)+IFERROR(VLOOKUP(X116,$E$19:$I$625,4,FALSE)*VLOOKUP(X116,$E$19:$I$625,5,FALSE),)+IFERROR(VLOOKUP(Y116,$E$19:$I$625,4,FALSE)*VLOOKUP(Y116,$E$19:$I$625,5,FALSE),)+IFERROR(VLOOKUP(Z116,$E$19:$I$625,4,FALSE)*VLOOKUP(Z116,$E$19:$I$625,5,FALSE),)+IFERROR(VLOOKUP(AA116,$E$19:$I$625,4,FALSE)*VLOOKUP(AA116,$E$19:$I$625,5,FALSE),)</f>
        <v>0.18000000000000002</v>
      </c>
      <c r="AC116" s="14"/>
      <c r="AE116" s="11"/>
      <c r="AG116" s="52">
        <f>+IF(I116&lt;0.75,(K116+L116),0)</f>
        <v>11.515224999999997</v>
      </c>
      <c r="AH116" s="52">
        <f>+IF(I116&lt;0.75,0,(K116+L116))</f>
        <v>0</v>
      </c>
      <c r="AI116" s="193">
        <f>IF(P116=0,(+IF(I116&lt;0.75,(K116+L116),0)),0)</f>
        <v>11.515224999999997</v>
      </c>
      <c r="AJ116" s="194">
        <f>IF(P116=0,(+IF(I116&lt;0.75,0,(K116+L116))),0)</f>
        <v>0</v>
      </c>
      <c r="AK116" s="195">
        <f>+AG116-AI116</f>
        <v>0</v>
      </c>
      <c r="AL116" s="196">
        <f>+AH116-AJ116</f>
        <v>0</v>
      </c>
      <c r="AM116" s="52">
        <f>+IF(AI116=0,0,G116)</f>
        <v>7.1509999999999998</v>
      </c>
      <c r="AN116" s="52">
        <f>+IF(AJ116=0,0,G116)</f>
        <v>0</v>
      </c>
      <c r="AO116" s="52">
        <f>+IF(AK116=0,0,G116)</f>
        <v>0</v>
      </c>
      <c r="AP116" s="52">
        <f>+IF(AL116=0,0,G116)</f>
        <v>0</v>
      </c>
    </row>
    <row r="117" spans="1:42" ht="20.100000000000001" customHeight="1" x14ac:dyDescent="0.25">
      <c r="A117" s="129"/>
      <c r="B117" s="182" t="s">
        <v>85</v>
      </c>
      <c r="C117" s="183"/>
      <c r="E117" s="189" t="s">
        <v>183</v>
      </c>
      <c r="F117" s="14">
        <v>1</v>
      </c>
      <c r="G117" s="14">
        <v>6.665</v>
      </c>
      <c r="H117" s="14">
        <v>0.2</v>
      </c>
      <c r="I117" s="14">
        <v>0.7</v>
      </c>
      <c r="J117" s="11">
        <f t="shared" ref="J117:J145" si="218">+PRODUCT(F117:I117)</f>
        <v>0.93310000000000004</v>
      </c>
      <c r="K117" s="11">
        <f t="shared" ref="K117:K145" si="219">PRODUCT(F117,G117,H117)</f>
        <v>1.3330000000000002</v>
      </c>
      <c r="L117" s="11">
        <f t="shared" ref="L117:L145" si="220">+O117+R117-AB117+U117</f>
        <v>8.8916250000000012</v>
      </c>
      <c r="M117" s="190">
        <v>0.125</v>
      </c>
      <c r="N117" s="14">
        <f t="shared" ref="N117:N133" si="221">+I117-M117</f>
        <v>0.57499999999999996</v>
      </c>
      <c r="O117" s="14">
        <f t="shared" ref="O117:O133" si="222">+PRODUCT(F117,G117,N117)</f>
        <v>3.8323749999999999</v>
      </c>
      <c r="P117" s="190"/>
      <c r="Q117" s="14">
        <f t="shared" ref="Q117:Q145" si="223">+I117-P117</f>
        <v>0.7</v>
      </c>
      <c r="R117" s="14">
        <f t="shared" ref="R117:R145" si="224">+PRODUCT(F117:G117,Q117)</f>
        <v>4.6654999999999998</v>
      </c>
      <c r="S117" s="14">
        <v>0.45</v>
      </c>
      <c r="T117" s="14"/>
      <c r="U117" s="191">
        <f t="shared" si="216"/>
        <v>0.57374999999999998</v>
      </c>
      <c r="V117" s="14" t="s">
        <v>252</v>
      </c>
      <c r="W117" s="14" t="s">
        <v>262</v>
      </c>
      <c r="X117" s="14"/>
      <c r="Y117" s="14"/>
      <c r="Z117" s="14"/>
      <c r="AA117" s="14"/>
      <c r="AB117" s="14">
        <f t="shared" si="217"/>
        <v>0.18000000000000002</v>
      </c>
      <c r="AC117" s="14"/>
      <c r="AE117" s="11"/>
      <c r="AG117" s="52">
        <f t="shared" ref="AG117:AG145" si="225">+IF(I117&lt;0.75,(K117+L117),0)</f>
        <v>10.224625000000001</v>
      </c>
      <c r="AH117" s="52">
        <f t="shared" ref="AH117:AH145" si="226">+IF(I117&lt;0.75,0,(K117+L117))</f>
        <v>0</v>
      </c>
      <c r="AI117" s="193">
        <f>IF(P117=0,(+IF(I117&lt;0.75,(K117+L117),0)),0)</f>
        <v>10.224625000000001</v>
      </c>
      <c r="AJ117" s="194">
        <f t="shared" ref="AJ117" si="227">IF(P117=0,(+IF(I117&lt;0.75,0,(K117+L117))),0)</f>
        <v>0</v>
      </c>
      <c r="AK117" s="195">
        <f t="shared" ref="AK117:AK121" si="228">+AG117-AI117</f>
        <v>0</v>
      </c>
      <c r="AL117" s="196">
        <f t="shared" ref="AL117:AL121" si="229">+AH117-AJ117</f>
        <v>0</v>
      </c>
      <c r="AM117" s="52">
        <f t="shared" ref="AM117:AM145" si="230">+IF(AI117=0,0,G117)</f>
        <v>6.665</v>
      </c>
      <c r="AN117" s="52">
        <f t="shared" ref="AN117:AN145" si="231">+IF(AJ117=0,0,G117)</f>
        <v>0</v>
      </c>
      <c r="AO117" s="52">
        <f t="shared" ref="AO117:AO145" si="232">+IF(AK117=0,0,G117)</f>
        <v>0</v>
      </c>
      <c r="AP117" s="52">
        <f t="shared" ref="AP117:AP145" si="233">+IF(AL117=0,0,G117)</f>
        <v>0</v>
      </c>
    </row>
    <row r="118" spans="1:42" ht="20.100000000000001" customHeight="1" x14ac:dyDescent="0.25">
      <c r="A118" s="129"/>
      <c r="B118" s="182" t="s">
        <v>85</v>
      </c>
      <c r="C118" s="183"/>
      <c r="E118" s="189" t="s">
        <v>184</v>
      </c>
      <c r="F118" s="14">
        <v>1</v>
      </c>
      <c r="G118" s="14">
        <v>1.5</v>
      </c>
      <c r="H118" s="14">
        <v>0.2</v>
      </c>
      <c r="I118" s="14">
        <v>0.45</v>
      </c>
      <c r="J118" s="11">
        <f t="shared" si="218"/>
        <v>0.13500000000000004</v>
      </c>
      <c r="K118" s="11">
        <f t="shared" si="219"/>
        <v>0.30000000000000004</v>
      </c>
      <c r="L118" s="11">
        <f t="shared" si="220"/>
        <v>1.2675000000000001</v>
      </c>
      <c r="M118" s="190">
        <v>0.125</v>
      </c>
      <c r="N118" s="14">
        <f t="shared" si="221"/>
        <v>0.32500000000000001</v>
      </c>
      <c r="O118" s="14">
        <f t="shared" si="222"/>
        <v>0.48750000000000004</v>
      </c>
      <c r="P118" s="190">
        <v>0.125</v>
      </c>
      <c r="Q118" s="14">
        <f t="shared" si="223"/>
        <v>0.32500000000000001</v>
      </c>
      <c r="R118" s="14">
        <f t="shared" si="224"/>
        <v>0.48750000000000004</v>
      </c>
      <c r="S118" s="14">
        <v>0.45</v>
      </c>
      <c r="T118" s="14"/>
      <c r="U118" s="191">
        <f t="shared" si="216"/>
        <v>0.29250000000000004</v>
      </c>
      <c r="V118" s="14"/>
      <c r="W118" s="14"/>
      <c r="X118" s="14"/>
      <c r="Y118" s="14"/>
      <c r="Z118" s="14"/>
      <c r="AA118" s="14"/>
      <c r="AB118" s="14">
        <f t="shared" si="217"/>
        <v>0</v>
      </c>
      <c r="AC118" s="14"/>
      <c r="AE118" s="11"/>
      <c r="AG118" s="52">
        <f t="shared" si="225"/>
        <v>1.5675000000000001</v>
      </c>
      <c r="AH118" s="52">
        <f t="shared" si="226"/>
        <v>0</v>
      </c>
      <c r="AI118" s="193">
        <f t="shared" ref="AI118:AI145" si="234">IF(P118=0,(+IF(I118&lt;0.75,(K118+L118),0)),0)</f>
        <v>0</v>
      </c>
      <c r="AJ118" s="194">
        <f>IF(P118=0,(+IF(I118&lt;0.75,0,(K118+L118))),0)</f>
        <v>0</v>
      </c>
      <c r="AK118" s="195">
        <f t="shared" si="228"/>
        <v>1.5675000000000001</v>
      </c>
      <c r="AL118" s="196">
        <f t="shared" si="229"/>
        <v>0</v>
      </c>
      <c r="AM118" s="52">
        <f t="shared" si="230"/>
        <v>0</v>
      </c>
      <c r="AN118" s="52">
        <f t="shared" si="231"/>
        <v>0</v>
      </c>
      <c r="AO118" s="52">
        <f t="shared" si="232"/>
        <v>1.5</v>
      </c>
      <c r="AP118" s="52">
        <f t="shared" si="233"/>
        <v>0</v>
      </c>
    </row>
    <row r="119" spans="1:42" ht="20.100000000000001" customHeight="1" x14ac:dyDescent="0.25">
      <c r="A119" s="129"/>
      <c r="B119" s="182" t="s">
        <v>85</v>
      </c>
      <c r="C119" s="183"/>
      <c r="E119" s="189" t="s">
        <v>185</v>
      </c>
      <c r="F119" s="14">
        <v>1</v>
      </c>
      <c r="G119" s="14">
        <v>3.84</v>
      </c>
      <c r="H119" s="14">
        <v>0.2</v>
      </c>
      <c r="I119" s="14">
        <v>0.55000000000000004</v>
      </c>
      <c r="J119" s="11">
        <f t="shared" si="218"/>
        <v>0.42240000000000005</v>
      </c>
      <c r="K119" s="11">
        <f t="shared" si="219"/>
        <v>0.76800000000000002</v>
      </c>
      <c r="L119" s="11">
        <f t="shared" si="220"/>
        <v>3.53925</v>
      </c>
      <c r="M119" s="190">
        <v>0.15</v>
      </c>
      <c r="N119" s="14">
        <f t="shared" si="221"/>
        <v>0.4</v>
      </c>
      <c r="O119" s="14">
        <f t="shared" si="222"/>
        <v>1.536</v>
      </c>
      <c r="P119" s="190">
        <v>0.125</v>
      </c>
      <c r="Q119" s="14">
        <f t="shared" si="223"/>
        <v>0.42500000000000004</v>
      </c>
      <c r="R119" s="14">
        <f t="shared" si="224"/>
        <v>1.6320000000000001</v>
      </c>
      <c r="S119" s="14">
        <v>0.45</v>
      </c>
      <c r="T119" s="14"/>
      <c r="U119" s="191">
        <f t="shared" si="216"/>
        <v>0.37125000000000002</v>
      </c>
      <c r="V119" s="14" t="s">
        <v>244</v>
      </c>
      <c r="W119" s="14"/>
      <c r="X119" s="14"/>
      <c r="Y119" s="14"/>
      <c r="Z119" s="14"/>
      <c r="AA119" s="14"/>
      <c r="AB119" s="14">
        <f t="shared" si="217"/>
        <v>0</v>
      </c>
      <c r="AC119" s="14"/>
      <c r="AE119" s="11"/>
      <c r="AG119" s="52">
        <f t="shared" si="225"/>
        <v>4.3072499999999998</v>
      </c>
      <c r="AH119" s="52">
        <f t="shared" si="226"/>
        <v>0</v>
      </c>
      <c r="AI119" s="193">
        <f t="shared" si="234"/>
        <v>0</v>
      </c>
      <c r="AJ119" s="194">
        <f t="shared" ref="AJ119:AJ145" si="235">IF(P119=0,(+IF(I119&lt;0.75,0,(K119+L119))),0)</f>
        <v>0</v>
      </c>
      <c r="AK119" s="195">
        <f t="shared" si="228"/>
        <v>4.3072499999999998</v>
      </c>
      <c r="AL119" s="196">
        <f t="shared" si="229"/>
        <v>0</v>
      </c>
      <c r="AM119" s="52">
        <f t="shared" si="230"/>
        <v>0</v>
      </c>
      <c r="AN119" s="52">
        <f t="shared" si="231"/>
        <v>0</v>
      </c>
      <c r="AO119" s="52">
        <f t="shared" si="232"/>
        <v>3.84</v>
      </c>
      <c r="AP119" s="52">
        <f t="shared" si="233"/>
        <v>0</v>
      </c>
    </row>
    <row r="120" spans="1:42" ht="20.100000000000001" customHeight="1" x14ac:dyDescent="0.25">
      <c r="A120" s="129"/>
      <c r="B120" s="182" t="s">
        <v>85</v>
      </c>
      <c r="C120" s="183"/>
      <c r="E120" s="189" t="s">
        <v>186</v>
      </c>
      <c r="F120" s="14">
        <v>1</v>
      </c>
      <c r="G120" s="14">
        <v>1.9</v>
      </c>
      <c r="H120" s="14">
        <v>0.2</v>
      </c>
      <c r="I120" s="14">
        <v>0.55000000000000004</v>
      </c>
      <c r="J120" s="11">
        <f t="shared" si="218"/>
        <v>0.20900000000000002</v>
      </c>
      <c r="K120" s="11">
        <f t="shared" si="219"/>
        <v>0.38</v>
      </c>
      <c r="L120" s="11">
        <f t="shared" si="220"/>
        <v>1.9975000000000001</v>
      </c>
      <c r="M120" s="190">
        <v>0.125</v>
      </c>
      <c r="N120" s="14">
        <f t="shared" si="221"/>
        <v>0.42500000000000004</v>
      </c>
      <c r="O120" s="14">
        <f t="shared" si="222"/>
        <v>0.8075</v>
      </c>
      <c r="P120" s="190">
        <v>0.125</v>
      </c>
      <c r="Q120" s="14">
        <f t="shared" si="223"/>
        <v>0.42500000000000004</v>
      </c>
      <c r="R120" s="14">
        <f t="shared" si="224"/>
        <v>0.8075</v>
      </c>
      <c r="S120" s="14">
        <v>0.45</v>
      </c>
      <c r="T120" s="14"/>
      <c r="U120" s="191">
        <f t="shared" si="216"/>
        <v>0.38250000000000006</v>
      </c>
      <c r="V120" s="14"/>
      <c r="W120" s="14"/>
      <c r="X120" s="14"/>
      <c r="Y120" s="14"/>
      <c r="Z120" s="14"/>
      <c r="AA120" s="14"/>
      <c r="AB120" s="14">
        <f t="shared" si="217"/>
        <v>0</v>
      </c>
      <c r="AC120" s="14"/>
      <c r="AE120" s="11"/>
      <c r="AG120" s="52">
        <f t="shared" si="225"/>
        <v>2.3774999999999999</v>
      </c>
      <c r="AH120" s="52">
        <f t="shared" si="226"/>
        <v>0</v>
      </c>
      <c r="AI120" s="193">
        <f t="shared" si="234"/>
        <v>0</v>
      </c>
      <c r="AJ120" s="194">
        <f t="shared" si="235"/>
        <v>0</v>
      </c>
      <c r="AK120" s="195">
        <f t="shared" si="228"/>
        <v>2.3774999999999999</v>
      </c>
      <c r="AL120" s="196">
        <f t="shared" si="229"/>
        <v>0</v>
      </c>
      <c r="AM120" s="52">
        <f t="shared" si="230"/>
        <v>0</v>
      </c>
      <c r="AN120" s="52">
        <f t="shared" si="231"/>
        <v>0</v>
      </c>
      <c r="AO120" s="52">
        <f t="shared" si="232"/>
        <v>1.9</v>
      </c>
      <c r="AP120" s="52">
        <f t="shared" si="233"/>
        <v>0</v>
      </c>
    </row>
    <row r="121" spans="1:42" ht="20.100000000000001" customHeight="1" x14ac:dyDescent="0.25">
      <c r="A121" s="129"/>
      <c r="B121" s="182" t="s">
        <v>85</v>
      </c>
      <c r="C121" s="183"/>
      <c r="E121" s="189" t="s">
        <v>187</v>
      </c>
      <c r="F121" s="14">
        <v>1</v>
      </c>
      <c r="G121" s="14">
        <v>4.25</v>
      </c>
      <c r="H121" s="14">
        <v>0.2</v>
      </c>
      <c r="I121" s="14">
        <v>0.55000000000000004</v>
      </c>
      <c r="J121" s="11">
        <f t="shared" si="218"/>
        <v>0.46750000000000008</v>
      </c>
      <c r="K121" s="11">
        <f t="shared" si="219"/>
        <v>0.85000000000000009</v>
      </c>
      <c r="L121" s="11">
        <f t="shared" si="220"/>
        <v>3.72</v>
      </c>
      <c r="M121" s="190">
        <v>0.15</v>
      </c>
      <c r="N121" s="14">
        <f t="shared" si="221"/>
        <v>0.4</v>
      </c>
      <c r="O121" s="14">
        <f t="shared" si="222"/>
        <v>1.7000000000000002</v>
      </c>
      <c r="P121" s="190">
        <v>0.125</v>
      </c>
      <c r="Q121" s="14">
        <f t="shared" si="223"/>
        <v>0.42500000000000004</v>
      </c>
      <c r="R121" s="14">
        <f t="shared" si="224"/>
        <v>1.8062500000000001</v>
      </c>
      <c r="S121" s="14">
        <v>0.45</v>
      </c>
      <c r="T121" s="14"/>
      <c r="U121" s="191">
        <f t="shared" si="216"/>
        <v>0.37125000000000002</v>
      </c>
      <c r="V121" s="14" t="s">
        <v>189</v>
      </c>
      <c r="W121" s="14" t="s">
        <v>256</v>
      </c>
      <c r="X121" s="14"/>
      <c r="Y121" s="14"/>
      <c r="Z121" s="14"/>
      <c r="AA121" s="14"/>
      <c r="AB121" s="14">
        <f t="shared" si="217"/>
        <v>0.15750000000000003</v>
      </c>
      <c r="AC121" s="14"/>
      <c r="AE121" s="11"/>
      <c r="AG121" s="52">
        <f t="shared" si="225"/>
        <v>4.57</v>
      </c>
      <c r="AH121" s="52">
        <f t="shared" si="226"/>
        <v>0</v>
      </c>
      <c r="AI121" s="193">
        <f t="shared" si="234"/>
        <v>0</v>
      </c>
      <c r="AJ121" s="194">
        <f t="shared" si="235"/>
        <v>0</v>
      </c>
      <c r="AK121" s="195">
        <f t="shared" si="228"/>
        <v>4.57</v>
      </c>
      <c r="AL121" s="196">
        <f t="shared" si="229"/>
        <v>0</v>
      </c>
      <c r="AM121" s="52">
        <f t="shared" si="230"/>
        <v>0</v>
      </c>
      <c r="AN121" s="52">
        <f t="shared" si="231"/>
        <v>0</v>
      </c>
      <c r="AO121" s="52">
        <f t="shared" si="232"/>
        <v>4.25</v>
      </c>
      <c r="AP121" s="52">
        <f t="shared" si="233"/>
        <v>0</v>
      </c>
    </row>
    <row r="122" spans="1:42" ht="20.100000000000001" customHeight="1" x14ac:dyDescent="0.25">
      <c r="A122" s="129"/>
      <c r="B122" s="182" t="s">
        <v>85</v>
      </c>
      <c r="C122" s="183"/>
      <c r="E122" s="189" t="s">
        <v>188</v>
      </c>
      <c r="F122" s="14">
        <v>1</v>
      </c>
      <c r="G122" s="14">
        <v>1.5</v>
      </c>
      <c r="H122" s="14">
        <v>0.2</v>
      </c>
      <c r="I122" s="14">
        <v>0.45</v>
      </c>
      <c r="J122" s="11">
        <f t="shared" si="218"/>
        <v>0.13500000000000004</v>
      </c>
      <c r="K122" s="11">
        <f t="shared" si="219"/>
        <v>0.30000000000000004</v>
      </c>
      <c r="L122" s="11">
        <f t="shared" si="220"/>
        <v>0.97500000000000009</v>
      </c>
      <c r="M122" s="190">
        <v>0.125</v>
      </c>
      <c r="N122" s="14">
        <f t="shared" si="221"/>
        <v>0.32500000000000001</v>
      </c>
      <c r="O122" s="14">
        <f t="shared" si="222"/>
        <v>0.48750000000000004</v>
      </c>
      <c r="P122" s="190">
        <v>0.125</v>
      </c>
      <c r="Q122" s="14">
        <f t="shared" si="223"/>
        <v>0.32500000000000001</v>
      </c>
      <c r="R122" s="14">
        <f t="shared" si="224"/>
        <v>0.48750000000000004</v>
      </c>
      <c r="S122" s="14"/>
      <c r="T122" s="14"/>
      <c r="U122" s="191">
        <f t="shared" si="216"/>
        <v>0</v>
      </c>
      <c r="V122" s="14"/>
      <c r="W122" s="14"/>
      <c r="X122" s="14"/>
      <c r="Y122" s="14"/>
      <c r="Z122" s="14"/>
      <c r="AA122" s="14"/>
      <c r="AB122" s="14">
        <f t="shared" si="217"/>
        <v>0</v>
      </c>
      <c r="AC122" s="14"/>
      <c r="AE122" s="11"/>
      <c r="AG122" s="52">
        <f t="shared" si="225"/>
        <v>1.2750000000000001</v>
      </c>
      <c r="AH122" s="52">
        <f t="shared" si="226"/>
        <v>0</v>
      </c>
      <c r="AI122" s="193">
        <f t="shared" si="234"/>
        <v>0</v>
      </c>
      <c r="AJ122" s="194">
        <f t="shared" si="235"/>
        <v>0</v>
      </c>
      <c r="AK122" s="195">
        <f>+AG122-AI122</f>
        <v>1.2750000000000001</v>
      </c>
      <c r="AL122" s="196">
        <f>+AH122-AJ122</f>
        <v>0</v>
      </c>
      <c r="AM122" s="52">
        <f t="shared" si="230"/>
        <v>0</v>
      </c>
      <c r="AN122" s="52">
        <f t="shared" si="231"/>
        <v>0</v>
      </c>
      <c r="AO122" s="52">
        <f t="shared" si="232"/>
        <v>1.5</v>
      </c>
      <c r="AP122" s="52">
        <f t="shared" si="233"/>
        <v>0</v>
      </c>
    </row>
    <row r="123" spans="1:42" ht="20.100000000000001" customHeight="1" x14ac:dyDescent="0.25">
      <c r="A123" s="129"/>
      <c r="B123" s="182" t="s">
        <v>85</v>
      </c>
      <c r="C123" s="183"/>
      <c r="E123" s="189" t="s">
        <v>189</v>
      </c>
      <c r="F123" s="14">
        <v>1</v>
      </c>
      <c r="G123" s="14">
        <v>0.6</v>
      </c>
      <c r="H123" s="14">
        <v>0.15</v>
      </c>
      <c r="I123" s="14">
        <v>0.45</v>
      </c>
      <c r="J123" s="11">
        <f t="shared" si="218"/>
        <v>4.0500000000000001E-2</v>
      </c>
      <c r="K123" s="11">
        <f t="shared" si="219"/>
        <v>0.09</v>
      </c>
      <c r="L123" s="11">
        <f t="shared" si="220"/>
        <v>0.39750000000000002</v>
      </c>
      <c r="M123" s="190">
        <v>0.125</v>
      </c>
      <c r="N123" s="14">
        <f t="shared" si="221"/>
        <v>0.32500000000000001</v>
      </c>
      <c r="O123" s="14">
        <f t="shared" si="222"/>
        <v>0.19500000000000001</v>
      </c>
      <c r="P123" s="190"/>
      <c r="Q123" s="14">
        <f t="shared" si="223"/>
        <v>0.45</v>
      </c>
      <c r="R123" s="14">
        <f t="shared" si="224"/>
        <v>0.27</v>
      </c>
      <c r="S123" s="14"/>
      <c r="T123" s="14"/>
      <c r="U123" s="191">
        <f t="shared" si="216"/>
        <v>0</v>
      </c>
      <c r="V123" s="14" t="s">
        <v>190</v>
      </c>
      <c r="W123" s="14"/>
      <c r="X123" s="14"/>
      <c r="Y123" s="14"/>
      <c r="Z123" s="14"/>
      <c r="AA123" s="14"/>
      <c r="AB123" s="14">
        <f t="shared" si="217"/>
        <v>6.7500000000000004E-2</v>
      </c>
      <c r="AC123" s="14"/>
      <c r="AE123" s="11"/>
      <c r="AG123" s="52">
        <f t="shared" si="225"/>
        <v>0.48750000000000004</v>
      </c>
      <c r="AH123" s="52">
        <f t="shared" si="226"/>
        <v>0</v>
      </c>
      <c r="AI123" s="193">
        <f t="shared" si="234"/>
        <v>0.48750000000000004</v>
      </c>
      <c r="AJ123" s="194">
        <f t="shared" si="235"/>
        <v>0</v>
      </c>
      <c r="AK123" s="195">
        <f t="shared" ref="AK123:AK145" si="236">+AG123-AI123</f>
        <v>0</v>
      </c>
      <c r="AL123" s="196">
        <f t="shared" ref="AL123:AL145" si="237">+AH123-AJ123</f>
        <v>0</v>
      </c>
      <c r="AM123" s="52">
        <f t="shared" si="230"/>
        <v>0.6</v>
      </c>
      <c r="AN123" s="52">
        <f t="shared" si="231"/>
        <v>0</v>
      </c>
      <c r="AO123" s="52">
        <f t="shared" si="232"/>
        <v>0</v>
      </c>
      <c r="AP123" s="52">
        <f t="shared" si="233"/>
        <v>0</v>
      </c>
    </row>
    <row r="124" spans="1:42" ht="20.100000000000001" customHeight="1" x14ac:dyDescent="0.25">
      <c r="A124" s="129"/>
      <c r="B124" s="182" t="s">
        <v>85</v>
      </c>
      <c r="C124" s="183"/>
      <c r="E124" s="189" t="s">
        <v>190</v>
      </c>
      <c r="F124" s="14">
        <v>1</v>
      </c>
      <c r="G124" s="14">
        <v>0.5</v>
      </c>
      <c r="H124" s="14">
        <v>0.15</v>
      </c>
      <c r="I124" s="14">
        <v>0.45</v>
      </c>
      <c r="J124" s="11">
        <f t="shared" si="218"/>
        <v>3.3750000000000002E-2</v>
      </c>
      <c r="K124" s="11">
        <f t="shared" si="219"/>
        <v>7.4999999999999997E-2</v>
      </c>
      <c r="L124" s="11">
        <f t="shared" si="220"/>
        <v>0.38750000000000001</v>
      </c>
      <c r="M124" s="190">
        <v>0.125</v>
      </c>
      <c r="N124" s="14">
        <f t="shared" si="221"/>
        <v>0.32500000000000001</v>
      </c>
      <c r="O124" s="14">
        <f t="shared" si="222"/>
        <v>0.16250000000000001</v>
      </c>
      <c r="P124" s="190"/>
      <c r="Q124" s="14">
        <f t="shared" si="223"/>
        <v>0.45</v>
      </c>
      <c r="R124" s="14">
        <f t="shared" si="224"/>
        <v>0.22500000000000001</v>
      </c>
      <c r="S124" s="14"/>
      <c r="T124" s="14"/>
      <c r="U124" s="191">
        <f t="shared" si="216"/>
        <v>0</v>
      </c>
      <c r="V124" s="14"/>
      <c r="W124" s="14"/>
      <c r="X124" s="14"/>
      <c r="Y124" s="14"/>
      <c r="Z124" s="14"/>
      <c r="AA124" s="14"/>
      <c r="AB124" s="14">
        <f t="shared" si="217"/>
        <v>0</v>
      </c>
      <c r="AC124" s="14"/>
      <c r="AE124" s="11"/>
      <c r="AG124" s="52">
        <f t="shared" si="225"/>
        <v>0.46250000000000002</v>
      </c>
      <c r="AH124" s="52">
        <f t="shared" si="226"/>
        <v>0</v>
      </c>
      <c r="AI124" s="193">
        <f t="shared" si="234"/>
        <v>0.46250000000000002</v>
      </c>
      <c r="AJ124" s="194">
        <f t="shared" si="235"/>
        <v>0</v>
      </c>
      <c r="AK124" s="195">
        <f t="shared" si="236"/>
        <v>0</v>
      </c>
      <c r="AL124" s="196">
        <f t="shared" si="237"/>
        <v>0</v>
      </c>
      <c r="AM124" s="52">
        <f t="shared" si="230"/>
        <v>0.5</v>
      </c>
      <c r="AN124" s="52">
        <f t="shared" si="231"/>
        <v>0</v>
      </c>
      <c r="AO124" s="52">
        <f t="shared" si="232"/>
        <v>0</v>
      </c>
      <c r="AP124" s="52">
        <f t="shared" si="233"/>
        <v>0</v>
      </c>
    </row>
    <row r="125" spans="1:42" ht="20.100000000000001" customHeight="1" x14ac:dyDescent="0.25">
      <c r="A125" s="129"/>
      <c r="B125" s="182" t="s">
        <v>85</v>
      </c>
      <c r="C125" s="183"/>
      <c r="E125" s="189" t="s">
        <v>191</v>
      </c>
      <c r="F125" s="14">
        <v>1</v>
      </c>
      <c r="G125" s="14">
        <v>1.4</v>
      </c>
      <c r="H125" s="14">
        <v>0.2</v>
      </c>
      <c r="I125" s="14">
        <v>0.45</v>
      </c>
      <c r="J125" s="11">
        <f t="shared" si="218"/>
        <v>0.126</v>
      </c>
      <c r="K125" s="11">
        <f t="shared" si="219"/>
        <v>0.27999999999999997</v>
      </c>
      <c r="L125" s="11">
        <f t="shared" si="220"/>
        <v>0.90999999999999992</v>
      </c>
      <c r="M125" s="190">
        <v>0.125</v>
      </c>
      <c r="N125" s="14">
        <f t="shared" si="221"/>
        <v>0.32500000000000001</v>
      </c>
      <c r="O125" s="14">
        <f t="shared" si="222"/>
        <v>0.45499999999999996</v>
      </c>
      <c r="P125" s="190">
        <v>0.125</v>
      </c>
      <c r="Q125" s="14">
        <f t="shared" si="223"/>
        <v>0.32500000000000001</v>
      </c>
      <c r="R125" s="14">
        <f t="shared" si="224"/>
        <v>0.45499999999999996</v>
      </c>
      <c r="S125" s="14"/>
      <c r="T125" s="14"/>
      <c r="U125" s="191">
        <f t="shared" si="216"/>
        <v>0</v>
      </c>
      <c r="V125" s="14"/>
      <c r="W125" s="14"/>
      <c r="X125" s="14"/>
      <c r="Y125" s="14"/>
      <c r="Z125" s="14"/>
      <c r="AA125" s="14"/>
      <c r="AB125" s="14">
        <f t="shared" si="217"/>
        <v>0</v>
      </c>
      <c r="AC125" s="14"/>
      <c r="AE125" s="11"/>
      <c r="AG125" s="52">
        <f t="shared" si="225"/>
        <v>1.19</v>
      </c>
      <c r="AH125" s="52">
        <f t="shared" si="226"/>
        <v>0</v>
      </c>
      <c r="AI125" s="193">
        <f t="shared" si="234"/>
        <v>0</v>
      </c>
      <c r="AJ125" s="194">
        <f t="shared" si="235"/>
        <v>0</v>
      </c>
      <c r="AK125" s="195">
        <f t="shared" si="236"/>
        <v>1.19</v>
      </c>
      <c r="AL125" s="196">
        <f t="shared" si="237"/>
        <v>0</v>
      </c>
      <c r="AM125" s="52">
        <f t="shared" si="230"/>
        <v>0</v>
      </c>
      <c r="AN125" s="52">
        <f t="shared" si="231"/>
        <v>0</v>
      </c>
      <c r="AO125" s="52">
        <f t="shared" si="232"/>
        <v>1.4</v>
      </c>
      <c r="AP125" s="52">
        <f t="shared" si="233"/>
        <v>0</v>
      </c>
    </row>
    <row r="126" spans="1:42" ht="20.100000000000001" customHeight="1" x14ac:dyDescent="0.25">
      <c r="A126" s="129"/>
      <c r="B126" s="182" t="s">
        <v>85</v>
      </c>
      <c r="C126" s="183"/>
      <c r="E126" s="189" t="s">
        <v>192</v>
      </c>
      <c r="F126" s="14">
        <v>1</v>
      </c>
      <c r="G126" s="14">
        <v>1.5</v>
      </c>
      <c r="H126" s="14">
        <v>0.2</v>
      </c>
      <c r="I126" s="14">
        <v>0.45</v>
      </c>
      <c r="J126" s="11">
        <f t="shared" si="218"/>
        <v>0.13500000000000004</v>
      </c>
      <c r="K126" s="11">
        <f t="shared" si="219"/>
        <v>0.30000000000000004</v>
      </c>
      <c r="L126" s="11">
        <f t="shared" si="220"/>
        <v>0.97500000000000009</v>
      </c>
      <c r="M126" s="190">
        <v>0.125</v>
      </c>
      <c r="N126" s="14">
        <f t="shared" si="221"/>
        <v>0.32500000000000001</v>
      </c>
      <c r="O126" s="14">
        <f t="shared" si="222"/>
        <v>0.48750000000000004</v>
      </c>
      <c r="P126" s="190">
        <v>0.125</v>
      </c>
      <c r="Q126" s="14">
        <f t="shared" si="223"/>
        <v>0.32500000000000001</v>
      </c>
      <c r="R126" s="14">
        <f t="shared" si="224"/>
        <v>0.48750000000000004</v>
      </c>
      <c r="S126" s="14"/>
      <c r="T126" s="14"/>
      <c r="U126" s="191">
        <f t="shared" si="216"/>
        <v>0</v>
      </c>
      <c r="V126" s="14"/>
      <c r="W126" s="14"/>
      <c r="X126" s="14"/>
      <c r="Y126" s="14"/>
      <c r="Z126" s="14"/>
      <c r="AA126" s="14"/>
      <c r="AB126" s="14">
        <f t="shared" si="217"/>
        <v>0</v>
      </c>
      <c r="AC126" s="14"/>
      <c r="AE126" s="11"/>
      <c r="AG126" s="52">
        <f t="shared" si="225"/>
        <v>1.2750000000000001</v>
      </c>
      <c r="AH126" s="52">
        <f t="shared" si="226"/>
        <v>0</v>
      </c>
      <c r="AI126" s="193">
        <f t="shared" si="234"/>
        <v>0</v>
      </c>
      <c r="AJ126" s="194">
        <f t="shared" si="235"/>
        <v>0</v>
      </c>
      <c r="AK126" s="195">
        <f t="shared" si="236"/>
        <v>1.2750000000000001</v>
      </c>
      <c r="AL126" s="196">
        <f t="shared" si="237"/>
        <v>0</v>
      </c>
      <c r="AM126" s="52">
        <f t="shared" si="230"/>
        <v>0</v>
      </c>
      <c r="AN126" s="52">
        <f t="shared" si="231"/>
        <v>0</v>
      </c>
      <c r="AO126" s="52">
        <f t="shared" si="232"/>
        <v>1.5</v>
      </c>
      <c r="AP126" s="52">
        <f t="shared" si="233"/>
        <v>0</v>
      </c>
    </row>
    <row r="127" spans="1:42" ht="20.100000000000001" customHeight="1" x14ac:dyDescent="0.25">
      <c r="A127" s="129"/>
      <c r="B127" s="182" t="s">
        <v>85</v>
      </c>
      <c r="C127" s="183"/>
      <c r="E127" s="189" t="s">
        <v>193</v>
      </c>
      <c r="F127" s="14">
        <v>1</v>
      </c>
      <c r="G127" s="14">
        <v>4.5</v>
      </c>
      <c r="H127" s="14">
        <v>0.2</v>
      </c>
      <c r="I127" s="14">
        <v>0.45</v>
      </c>
      <c r="J127" s="11">
        <f t="shared" si="218"/>
        <v>0.40500000000000003</v>
      </c>
      <c r="K127" s="11">
        <f t="shared" si="219"/>
        <v>0.9</v>
      </c>
      <c r="L127" s="11">
        <f t="shared" si="220"/>
        <v>3.09375</v>
      </c>
      <c r="M127" s="190">
        <v>0.125</v>
      </c>
      <c r="N127" s="14">
        <f t="shared" si="221"/>
        <v>0.32500000000000001</v>
      </c>
      <c r="O127" s="14">
        <f t="shared" si="222"/>
        <v>1.4625000000000001</v>
      </c>
      <c r="P127" s="190">
        <v>0.15</v>
      </c>
      <c r="Q127" s="14">
        <f t="shared" si="223"/>
        <v>0.30000000000000004</v>
      </c>
      <c r="R127" s="14">
        <f t="shared" si="224"/>
        <v>1.35</v>
      </c>
      <c r="S127" s="14">
        <v>0.45</v>
      </c>
      <c r="T127" s="14"/>
      <c r="U127" s="191">
        <f t="shared" si="216"/>
        <v>0.28125</v>
      </c>
      <c r="V127" s="14"/>
      <c r="W127" s="14"/>
      <c r="X127" s="14"/>
      <c r="Y127" s="14"/>
      <c r="Z127" s="14"/>
      <c r="AA127" s="14"/>
      <c r="AB127" s="14">
        <f t="shared" si="217"/>
        <v>0</v>
      </c>
      <c r="AC127" s="14"/>
      <c r="AE127" s="11"/>
      <c r="AG127" s="52">
        <f t="shared" si="225"/>
        <v>3.9937499999999999</v>
      </c>
      <c r="AH127" s="52">
        <f t="shared" si="226"/>
        <v>0</v>
      </c>
      <c r="AI127" s="193">
        <f t="shared" si="234"/>
        <v>0</v>
      </c>
      <c r="AJ127" s="194">
        <f t="shared" si="235"/>
        <v>0</v>
      </c>
      <c r="AK127" s="195">
        <f t="shared" si="236"/>
        <v>3.9937499999999999</v>
      </c>
      <c r="AL127" s="196">
        <f t="shared" si="237"/>
        <v>0</v>
      </c>
      <c r="AM127" s="52">
        <f t="shared" si="230"/>
        <v>0</v>
      </c>
      <c r="AN127" s="52">
        <f t="shared" si="231"/>
        <v>0</v>
      </c>
      <c r="AO127" s="52">
        <f t="shared" si="232"/>
        <v>4.5</v>
      </c>
      <c r="AP127" s="52">
        <f t="shared" si="233"/>
        <v>0</v>
      </c>
    </row>
    <row r="128" spans="1:42" ht="20.100000000000001" customHeight="1" x14ac:dyDescent="0.25">
      <c r="A128" s="129"/>
      <c r="B128" s="182" t="s">
        <v>85</v>
      </c>
      <c r="C128" s="183"/>
      <c r="E128" s="189" t="s">
        <v>194</v>
      </c>
      <c r="F128" s="14">
        <v>1</v>
      </c>
      <c r="G128" s="14">
        <v>0.7</v>
      </c>
      <c r="H128" s="14">
        <v>0.15</v>
      </c>
      <c r="I128" s="14">
        <v>0.45</v>
      </c>
      <c r="J128" s="11">
        <f t="shared" si="218"/>
        <v>4.725E-2</v>
      </c>
      <c r="K128" s="11">
        <f t="shared" si="219"/>
        <v>0.105</v>
      </c>
      <c r="L128" s="11">
        <f t="shared" si="220"/>
        <v>0.47499999999999998</v>
      </c>
      <c r="M128" s="190">
        <v>0.125</v>
      </c>
      <c r="N128" s="14">
        <f t="shared" si="221"/>
        <v>0.32500000000000001</v>
      </c>
      <c r="O128" s="14">
        <f t="shared" si="222"/>
        <v>0.22749999999999998</v>
      </c>
      <c r="P128" s="190"/>
      <c r="Q128" s="14">
        <f t="shared" si="223"/>
        <v>0.45</v>
      </c>
      <c r="R128" s="14">
        <f t="shared" si="224"/>
        <v>0.315</v>
      </c>
      <c r="S128" s="14"/>
      <c r="T128" s="14"/>
      <c r="U128" s="191">
        <f t="shared" si="216"/>
        <v>0</v>
      </c>
      <c r="V128" s="14" t="s">
        <v>195</v>
      </c>
      <c r="W128" s="14"/>
      <c r="X128" s="14"/>
      <c r="Y128" s="14"/>
      <c r="Z128" s="14"/>
      <c r="AA128" s="14"/>
      <c r="AB128" s="14">
        <f t="shared" si="217"/>
        <v>6.7500000000000004E-2</v>
      </c>
      <c r="AC128" s="14"/>
      <c r="AE128" s="11"/>
      <c r="AG128" s="52">
        <f t="shared" si="225"/>
        <v>0.57999999999999996</v>
      </c>
      <c r="AH128" s="52">
        <f t="shared" si="226"/>
        <v>0</v>
      </c>
      <c r="AI128" s="193">
        <f t="shared" si="234"/>
        <v>0.57999999999999996</v>
      </c>
      <c r="AJ128" s="194">
        <f t="shared" si="235"/>
        <v>0</v>
      </c>
      <c r="AK128" s="195">
        <f t="shared" si="236"/>
        <v>0</v>
      </c>
      <c r="AL128" s="196">
        <f t="shared" si="237"/>
        <v>0</v>
      </c>
      <c r="AM128" s="52">
        <f t="shared" si="230"/>
        <v>0.7</v>
      </c>
      <c r="AN128" s="52">
        <f t="shared" si="231"/>
        <v>0</v>
      </c>
      <c r="AO128" s="52">
        <f t="shared" si="232"/>
        <v>0</v>
      </c>
      <c r="AP128" s="52">
        <f t="shared" si="233"/>
        <v>0</v>
      </c>
    </row>
    <row r="129" spans="1:42" ht="20.100000000000001" customHeight="1" x14ac:dyDescent="0.25">
      <c r="A129" s="129"/>
      <c r="B129" s="182" t="s">
        <v>85</v>
      </c>
      <c r="C129" s="183"/>
      <c r="E129" s="189" t="s">
        <v>195</v>
      </c>
      <c r="F129" s="14">
        <v>1</v>
      </c>
      <c r="G129" s="14">
        <v>0.2</v>
      </c>
      <c r="H129" s="14">
        <v>0.15</v>
      </c>
      <c r="I129" s="14">
        <v>0.45</v>
      </c>
      <c r="J129" s="11">
        <f t="shared" si="218"/>
        <v>1.35E-2</v>
      </c>
      <c r="K129" s="11">
        <f t="shared" si="219"/>
        <v>0.03</v>
      </c>
      <c r="L129" s="11">
        <f t="shared" si="220"/>
        <v>0.15500000000000003</v>
      </c>
      <c r="M129" s="190">
        <v>0.125</v>
      </c>
      <c r="N129" s="14">
        <f t="shared" si="221"/>
        <v>0.32500000000000001</v>
      </c>
      <c r="O129" s="14">
        <f t="shared" si="222"/>
        <v>6.5000000000000002E-2</v>
      </c>
      <c r="P129" s="190"/>
      <c r="Q129" s="14">
        <f t="shared" si="223"/>
        <v>0.45</v>
      </c>
      <c r="R129" s="14">
        <f t="shared" si="224"/>
        <v>9.0000000000000011E-2</v>
      </c>
      <c r="S129" s="14"/>
      <c r="T129" s="14"/>
      <c r="U129" s="191">
        <f t="shared" si="216"/>
        <v>0</v>
      </c>
      <c r="V129" s="14"/>
      <c r="W129" s="14"/>
      <c r="X129" s="14"/>
      <c r="Y129" s="14"/>
      <c r="Z129" s="14"/>
      <c r="AA129" s="14"/>
      <c r="AB129" s="14">
        <f t="shared" si="217"/>
        <v>0</v>
      </c>
      <c r="AC129" s="14"/>
      <c r="AE129" s="11"/>
      <c r="AG129" s="52">
        <f t="shared" si="225"/>
        <v>0.18500000000000003</v>
      </c>
      <c r="AH129" s="52">
        <f t="shared" si="226"/>
        <v>0</v>
      </c>
      <c r="AI129" s="193">
        <f t="shared" si="234"/>
        <v>0.18500000000000003</v>
      </c>
      <c r="AJ129" s="194">
        <f t="shared" si="235"/>
        <v>0</v>
      </c>
      <c r="AK129" s="195">
        <f t="shared" si="236"/>
        <v>0</v>
      </c>
      <c r="AL129" s="196">
        <f t="shared" si="237"/>
        <v>0</v>
      </c>
      <c r="AM129" s="52">
        <f t="shared" si="230"/>
        <v>0.2</v>
      </c>
      <c r="AN129" s="52">
        <f t="shared" si="231"/>
        <v>0</v>
      </c>
      <c r="AO129" s="52">
        <f t="shared" si="232"/>
        <v>0</v>
      </c>
      <c r="AP129" s="52">
        <f t="shared" si="233"/>
        <v>0</v>
      </c>
    </row>
    <row r="130" spans="1:42" ht="21" customHeight="1" x14ac:dyDescent="0.25">
      <c r="A130" s="129"/>
      <c r="B130" s="182" t="s">
        <v>85</v>
      </c>
      <c r="C130" s="183"/>
      <c r="E130" s="189" t="s">
        <v>196</v>
      </c>
      <c r="F130" s="14">
        <v>1</v>
      </c>
      <c r="G130" s="14">
        <v>1.75</v>
      </c>
      <c r="H130" s="14">
        <v>0.2</v>
      </c>
      <c r="I130" s="14">
        <v>0.45</v>
      </c>
      <c r="J130" s="11">
        <f t="shared" si="218"/>
        <v>0.15750000000000003</v>
      </c>
      <c r="K130" s="11">
        <f t="shared" si="219"/>
        <v>0.35000000000000003</v>
      </c>
      <c r="L130" s="11">
        <f t="shared" si="220"/>
        <v>1.09375</v>
      </c>
      <c r="M130" s="190">
        <v>0.125</v>
      </c>
      <c r="N130" s="14">
        <f t="shared" si="221"/>
        <v>0.32500000000000001</v>
      </c>
      <c r="O130" s="14">
        <f t="shared" si="222"/>
        <v>0.56874999999999998</v>
      </c>
      <c r="P130" s="190">
        <v>0.15</v>
      </c>
      <c r="Q130" s="14">
        <f t="shared" si="223"/>
        <v>0.30000000000000004</v>
      </c>
      <c r="R130" s="14">
        <f t="shared" si="224"/>
        <v>0.52500000000000013</v>
      </c>
      <c r="S130" s="14"/>
      <c r="T130" s="14"/>
      <c r="U130" s="191">
        <f t="shared" si="216"/>
        <v>0</v>
      </c>
      <c r="V130" s="14"/>
      <c r="W130" s="14"/>
      <c r="X130" s="14"/>
      <c r="Y130" s="14"/>
      <c r="Z130" s="14"/>
      <c r="AA130" s="14"/>
      <c r="AB130" s="14">
        <f t="shared" si="217"/>
        <v>0</v>
      </c>
      <c r="AC130" s="14"/>
      <c r="AE130" s="11"/>
      <c r="AG130" s="52">
        <f t="shared" si="225"/>
        <v>1.4437500000000001</v>
      </c>
      <c r="AH130" s="52">
        <f t="shared" si="226"/>
        <v>0</v>
      </c>
      <c r="AI130" s="193">
        <f t="shared" si="234"/>
        <v>0</v>
      </c>
      <c r="AJ130" s="194">
        <f t="shared" si="235"/>
        <v>0</v>
      </c>
      <c r="AK130" s="195">
        <f t="shared" si="236"/>
        <v>1.4437500000000001</v>
      </c>
      <c r="AL130" s="196">
        <f t="shared" si="237"/>
        <v>0</v>
      </c>
      <c r="AM130" s="52">
        <f t="shared" si="230"/>
        <v>0</v>
      </c>
      <c r="AN130" s="52">
        <f t="shared" si="231"/>
        <v>0</v>
      </c>
      <c r="AO130" s="52">
        <f t="shared" si="232"/>
        <v>1.75</v>
      </c>
      <c r="AP130" s="52">
        <f t="shared" si="233"/>
        <v>0</v>
      </c>
    </row>
    <row r="131" spans="1:42" ht="20.100000000000001" customHeight="1" x14ac:dyDescent="0.25">
      <c r="A131" s="129"/>
      <c r="B131" s="182" t="s">
        <v>101</v>
      </c>
      <c r="C131" s="183"/>
      <c r="E131" s="189" t="s">
        <v>272</v>
      </c>
      <c r="F131" s="14">
        <v>1</v>
      </c>
      <c r="G131" s="14">
        <v>0.4</v>
      </c>
      <c r="H131" s="14">
        <v>0.1</v>
      </c>
      <c r="I131" s="14">
        <v>0.45</v>
      </c>
      <c r="J131" s="11">
        <f>+PRODUCT(F131:I131)</f>
        <v>1.8000000000000006E-2</v>
      </c>
      <c r="K131" s="11">
        <f>PRODUCT(F131,G131,H131)</f>
        <v>4.0000000000000008E-2</v>
      </c>
      <c r="L131" s="11">
        <f>+O131+R131-AB131+U131</f>
        <v>0.13500000000000001</v>
      </c>
      <c r="M131" s="190"/>
      <c r="N131" s="14"/>
      <c r="O131" s="14"/>
      <c r="P131" s="190"/>
      <c r="Q131" s="14">
        <f>+I131-P131</f>
        <v>0.45</v>
      </c>
      <c r="R131" s="14">
        <f>+PRODUCT(F131:G131,Q131)</f>
        <v>0.18000000000000002</v>
      </c>
      <c r="S131" s="14"/>
      <c r="T131" s="14"/>
      <c r="U131" s="191">
        <f>+SUM(S131:T131)*(N131+Q131)/2*2</f>
        <v>0</v>
      </c>
      <c r="V131" s="14" t="s">
        <v>271</v>
      </c>
      <c r="W131" s="14"/>
      <c r="X131" s="14"/>
      <c r="Y131" s="14"/>
      <c r="Z131" s="14"/>
      <c r="AA131" s="14"/>
      <c r="AB131" s="14">
        <f t="shared" si="217"/>
        <v>4.5000000000000005E-2</v>
      </c>
      <c r="AC131" s="14"/>
      <c r="AE131" s="11"/>
      <c r="AG131" s="52">
        <f>+IF(I131&lt;0.75,(K131+L131),0)</f>
        <v>0.17500000000000002</v>
      </c>
      <c r="AH131" s="52">
        <f>+IF(I131&lt;0.75,0,(K131+L131))</f>
        <v>0</v>
      </c>
      <c r="AI131" s="193">
        <f>IF(P131=0,(+IF(I131&lt;0.75,(K131+L131),0)),0)</f>
        <v>0.17500000000000002</v>
      </c>
      <c r="AJ131" s="194">
        <f>IF(P131=0,(+IF(I131&lt;0.75,0,(K131+L131))),0)</f>
        <v>0</v>
      </c>
      <c r="AK131" s="195">
        <f>+AG131-AI131</f>
        <v>0</v>
      </c>
      <c r="AL131" s="196">
        <f>+AH131-AJ131</f>
        <v>0</v>
      </c>
      <c r="AM131" s="52">
        <f>+IF(AI131=0,0,G131)</f>
        <v>0.4</v>
      </c>
      <c r="AN131" s="52">
        <f>+IF(AJ131=0,0,G131)</f>
        <v>0</v>
      </c>
      <c r="AO131" s="52">
        <f>+IF(AK131=0,0,G131)</f>
        <v>0</v>
      </c>
      <c r="AP131" s="52">
        <f>+IF(AL131=0,0,G131)</f>
        <v>0</v>
      </c>
    </row>
    <row r="132" spans="1:42" ht="20.100000000000001" customHeight="1" x14ac:dyDescent="0.25">
      <c r="A132" s="129"/>
      <c r="B132" s="182" t="s">
        <v>101</v>
      </c>
      <c r="C132" s="183"/>
      <c r="E132" s="189" t="s">
        <v>271</v>
      </c>
      <c r="F132" s="14">
        <v>1</v>
      </c>
      <c r="G132" s="14">
        <v>0.3</v>
      </c>
      <c r="H132" s="14">
        <v>0.1</v>
      </c>
      <c r="I132" s="14">
        <v>0.45</v>
      </c>
      <c r="J132" s="11">
        <f t="shared" ref="J132" si="238">+PRODUCT(F132:I132)</f>
        <v>1.35E-2</v>
      </c>
      <c r="K132" s="11">
        <f t="shared" ref="K132" si="239">PRODUCT(F132,G132,H132)</f>
        <v>0.03</v>
      </c>
      <c r="L132" s="11">
        <f t="shared" ref="L132" si="240">+O132+R132-AB132+U132</f>
        <v>0.13500000000000001</v>
      </c>
      <c r="M132" s="190"/>
      <c r="N132" s="14"/>
      <c r="O132" s="14"/>
      <c r="P132" s="190"/>
      <c r="Q132" s="14">
        <f t="shared" ref="Q132" si="241">+I132-P132</f>
        <v>0.45</v>
      </c>
      <c r="R132" s="14">
        <f t="shared" ref="R132" si="242">+PRODUCT(F132:G132,Q132)</f>
        <v>0.13500000000000001</v>
      </c>
      <c r="S132" s="14"/>
      <c r="T132" s="14"/>
      <c r="U132" s="191">
        <f t="shared" ref="U132" si="243">+SUM(S132:T132)*(N132+Q132)/2*2</f>
        <v>0</v>
      </c>
      <c r="V132" s="14"/>
      <c r="W132" s="14"/>
      <c r="X132" s="14"/>
      <c r="Y132" s="14"/>
      <c r="Z132" s="14"/>
      <c r="AA132" s="14"/>
      <c r="AB132" s="14">
        <f t="shared" si="217"/>
        <v>0</v>
      </c>
      <c r="AC132" s="14"/>
      <c r="AE132" s="11"/>
      <c r="AG132" s="52">
        <f t="shared" ref="AG132" si="244">+IF(I132&lt;0.75,(K132+L132),0)</f>
        <v>0.16500000000000001</v>
      </c>
      <c r="AH132" s="52">
        <f t="shared" ref="AH132" si="245">+IF(I132&lt;0.75,0,(K132+L132))</f>
        <v>0</v>
      </c>
      <c r="AI132" s="193">
        <f t="shared" ref="AI132" si="246">IF(P132=0,(+IF(I132&lt;0.75,(K132+L132),0)),0)</f>
        <v>0.16500000000000001</v>
      </c>
      <c r="AJ132" s="194">
        <f t="shared" ref="AJ132" si="247">IF(P132=0,(+IF(I132&lt;0.75,0,(K132+L132))),0)</f>
        <v>0</v>
      </c>
      <c r="AK132" s="195">
        <f t="shared" ref="AK132" si="248">+AG132-AI132</f>
        <v>0</v>
      </c>
      <c r="AL132" s="196">
        <f t="shared" ref="AL132" si="249">+AH132-AJ132</f>
        <v>0</v>
      </c>
      <c r="AM132" s="52">
        <f t="shared" ref="AM132" si="250">+IF(AI132=0,0,G132)</f>
        <v>0.3</v>
      </c>
      <c r="AN132" s="52">
        <f t="shared" ref="AN132" si="251">+IF(AJ132=0,0,G132)</f>
        <v>0</v>
      </c>
      <c r="AO132" s="52">
        <f t="shared" ref="AO132" si="252">+IF(AK132=0,0,G132)</f>
        <v>0</v>
      </c>
      <c r="AP132" s="52">
        <f t="shared" ref="AP132" si="253">+IF(AL132=0,0,G132)</f>
        <v>0</v>
      </c>
    </row>
    <row r="133" spans="1:42" ht="20.100000000000001" customHeight="1" x14ac:dyDescent="0.25">
      <c r="A133" s="129"/>
      <c r="B133" s="182" t="s">
        <v>85</v>
      </c>
      <c r="C133" s="183"/>
      <c r="E133" s="189" t="s">
        <v>197</v>
      </c>
      <c r="F133" s="14">
        <v>1</v>
      </c>
      <c r="G133" s="14">
        <v>4.55</v>
      </c>
      <c r="H133" s="14">
        <v>0.2</v>
      </c>
      <c r="I133" s="14">
        <v>0.45</v>
      </c>
      <c r="J133" s="11">
        <f t="shared" si="218"/>
        <v>0.40950000000000003</v>
      </c>
      <c r="K133" s="11">
        <f t="shared" si="219"/>
        <v>0.91</v>
      </c>
      <c r="L133" s="11">
        <f t="shared" si="220"/>
        <v>4.2949999999999999</v>
      </c>
      <c r="M133" s="190">
        <v>0.125</v>
      </c>
      <c r="N133" s="14">
        <f t="shared" si="221"/>
        <v>0.32500000000000001</v>
      </c>
      <c r="O133" s="14">
        <f t="shared" si="222"/>
        <v>1.47875</v>
      </c>
      <c r="P133" s="190"/>
      <c r="Q133" s="14">
        <f t="shared" si="223"/>
        <v>0.45</v>
      </c>
      <c r="R133" s="14">
        <f t="shared" si="224"/>
        <v>2.0474999999999999</v>
      </c>
      <c r="S133" s="14">
        <v>0.45</v>
      </c>
      <c r="T133" s="14">
        <v>0.6</v>
      </c>
      <c r="U133" s="191">
        <f t="shared" si="216"/>
        <v>0.81375000000000008</v>
      </c>
      <c r="V133" s="14" t="s">
        <v>268</v>
      </c>
      <c r="W133" s="14"/>
      <c r="X133" s="14"/>
      <c r="Y133" s="14"/>
      <c r="Z133" s="14"/>
      <c r="AA133" s="14"/>
      <c r="AB133" s="14">
        <f t="shared" si="217"/>
        <v>4.5000000000000005E-2</v>
      </c>
      <c r="AC133" s="14"/>
      <c r="AE133" s="11"/>
      <c r="AG133" s="52">
        <f t="shared" si="225"/>
        <v>5.2050000000000001</v>
      </c>
      <c r="AH133" s="52">
        <f t="shared" si="226"/>
        <v>0</v>
      </c>
      <c r="AI133" s="193">
        <f t="shared" si="234"/>
        <v>5.2050000000000001</v>
      </c>
      <c r="AJ133" s="194">
        <f t="shared" si="235"/>
        <v>0</v>
      </c>
      <c r="AK133" s="195">
        <f t="shared" si="236"/>
        <v>0</v>
      </c>
      <c r="AL133" s="196">
        <f t="shared" si="237"/>
        <v>0</v>
      </c>
      <c r="AM133" s="52">
        <f t="shared" si="230"/>
        <v>4.55</v>
      </c>
      <c r="AN133" s="52">
        <f t="shared" si="231"/>
        <v>0</v>
      </c>
      <c r="AO133" s="52">
        <f t="shared" si="232"/>
        <v>0</v>
      </c>
      <c r="AP133" s="52">
        <f t="shared" si="233"/>
        <v>0</v>
      </c>
    </row>
    <row r="134" spans="1:42" ht="20.100000000000001" customHeight="1" x14ac:dyDescent="0.25">
      <c r="A134" s="129"/>
      <c r="B134" s="182" t="s">
        <v>85</v>
      </c>
      <c r="C134" s="183"/>
      <c r="E134" s="189" t="s">
        <v>198</v>
      </c>
      <c r="F134" s="14">
        <v>1</v>
      </c>
      <c r="G134" s="14">
        <v>0.6</v>
      </c>
      <c r="H134" s="14">
        <v>0.1</v>
      </c>
      <c r="I134" s="14">
        <v>0.45</v>
      </c>
      <c r="J134" s="11">
        <f t="shared" si="218"/>
        <v>2.7E-2</v>
      </c>
      <c r="K134" s="11">
        <f t="shared" si="219"/>
        <v>0.06</v>
      </c>
      <c r="L134" s="11">
        <f t="shared" si="220"/>
        <v>0.18</v>
      </c>
      <c r="M134" s="190"/>
      <c r="N134" s="14"/>
      <c r="O134" s="14"/>
      <c r="P134" s="190"/>
      <c r="Q134" s="14">
        <f t="shared" si="223"/>
        <v>0.45</v>
      </c>
      <c r="R134" s="14">
        <f t="shared" si="224"/>
        <v>0.27</v>
      </c>
      <c r="S134" s="14"/>
      <c r="T134" s="14"/>
      <c r="U134" s="191">
        <f t="shared" si="216"/>
        <v>0</v>
      </c>
      <c r="V134" s="14" t="s">
        <v>199</v>
      </c>
      <c r="W134" s="14" t="s">
        <v>199</v>
      </c>
      <c r="X134" s="14"/>
      <c r="Y134" s="14"/>
      <c r="Z134" s="14"/>
      <c r="AA134" s="14"/>
      <c r="AB134" s="14">
        <f t="shared" si="217"/>
        <v>9.0000000000000011E-2</v>
      </c>
      <c r="AC134" s="14"/>
      <c r="AE134" s="11"/>
      <c r="AG134" s="52">
        <f t="shared" si="225"/>
        <v>0.24</v>
      </c>
      <c r="AH134" s="52">
        <f t="shared" si="226"/>
        <v>0</v>
      </c>
      <c r="AI134" s="193">
        <f t="shared" si="234"/>
        <v>0.24</v>
      </c>
      <c r="AJ134" s="194">
        <f t="shared" si="235"/>
        <v>0</v>
      </c>
      <c r="AK134" s="195">
        <f t="shared" si="236"/>
        <v>0</v>
      </c>
      <c r="AL134" s="196">
        <f t="shared" si="237"/>
        <v>0</v>
      </c>
      <c r="AM134" s="52">
        <f t="shared" si="230"/>
        <v>0.6</v>
      </c>
      <c r="AN134" s="52">
        <f t="shared" si="231"/>
        <v>0</v>
      </c>
      <c r="AO134" s="52">
        <f t="shared" si="232"/>
        <v>0</v>
      </c>
      <c r="AP134" s="52">
        <f t="shared" si="233"/>
        <v>0</v>
      </c>
    </row>
    <row r="135" spans="1:42" ht="20.100000000000001" customHeight="1" x14ac:dyDescent="0.25">
      <c r="A135" s="129"/>
      <c r="B135" s="182" t="s">
        <v>85</v>
      </c>
      <c r="C135" s="183"/>
      <c r="E135" s="189" t="s">
        <v>199</v>
      </c>
      <c r="F135" s="14">
        <v>2</v>
      </c>
      <c r="G135" s="14">
        <v>0.2</v>
      </c>
      <c r="H135" s="14">
        <v>0.1</v>
      </c>
      <c r="I135" s="14">
        <v>0.45</v>
      </c>
      <c r="J135" s="11">
        <f t="shared" si="218"/>
        <v>1.8000000000000006E-2</v>
      </c>
      <c r="K135" s="11">
        <f t="shared" si="219"/>
        <v>4.0000000000000008E-2</v>
      </c>
      <c r="L135" s="11">
        <f t="shared" si="220"/>
        <v>0.18000000000000002</v>
      </c>
      <c r="M135" s="190"/>
      <c r="N135" s="14"/>
      <c r="O135" s="14"/>
      <c r="P135" s="190"/>
      <c r="Q135" s="14">
        <f t="shared" si="223"/>
        <v>0.45</v>
      </c>
      <c r="R135" s="14">
        <f t="shared" si="224"/>
        <v>0.18000000000000002</v>
      </c>
      <c r="S135" s="14"/>
      <c r="T135" s="14"/>
      <c r="U135" s="191">
        <f t="shared" si="216"/>
        <v>0</v>
      </c>
      <c r="V135" s="14"/>
      <c r="W135" s="14"/>
      <c r="X135" s="14"/>
      <c r="Y135" s="14"/>
      <c r="Z135" s="14"/>
      <c r="AA135" s="14"/>
      <c r="AB135" s="14">
        <f t="shared" si="217"/>
        <v>0</v>
      </c>
      <c r="AC135" s="14"/>
      <c r="AE135" s="11"/>
      <c r="AG135" s="52">
        <f t="shared" si="225"/>
        <v>0.22000000000000003</v>
      </c>
      <c r="AH135" s="52">
        <f t="shared" si="226"/>
        <v>0</v>
      </c>
      <c r="AI135" s="193">
        <f t="shared" si="234"/>
        <v>0.22000000000000003</v>
      </c>
      <c r="AJ135" s="194">
        <f t="shared" si="235"/>
        <v>0</v>
      </c>
      <c r="AK135" s="195">
        <f t="shared" si="236"/>
        <v>0</v>
      </c>
      <c r="AL135" s="196">
        <f t="shared" si="237"/>
        <v>0</v>
      </c>
      <c r="AM135" s="52">
        <f t="shared" si="230"/>
        <v>0.2</v>
      </c>
      <c r="AN135" s="52">
        <f t="shared" si="231"/>
        <v>0</v>
      </c>
      <c r="AO135" s="52">
        <f t="shared" si="232"/>
        <v>0</v>
      </c>
      <c r="AP135" s="52">
        <f t="shared" si="233"/>
        <v>0</v>
      </c>
    </row>
    <row r="136" spans="1:42" ht="20.100000000000001" customHeight="1" x14ac:dyDescent="0.25">
      <c r="A136" s="129"/>
      <c r="B136" s="182" t="s">
        <v>85</v>
      </c>
      <c r="C136" s="183"/>
      <c r="E136" s="189" t="s">
        <v>200</v>
      </c>
      <c r="F136" s="14">
        <v>1</v>
      </c>
      <c r="G136" s="14">
        <v>0.75</v>
      </c>
      <c r="H136" s="14">
        <v>0.15</v>
      </c>
      <c r="I136" s="14">
        <v>0.45</v>
      </c>
      <c r="J136" s="11">
        <f t="shared" si="218"/>
        <v>5.0624999999999996E-2</v>
      </c>
      <c r="K136" s="11">
        <f t="shared" si="219"/>
        <v>0.11249999999999999</v>
      </c>
      <c r="L136" s="11">
        <f t="shared" si="220"/>
        <v>0.51375000000000004</v>
      </c>
      <c r="M136" s="190">
        <v>0.125</v>
      </c>
      <c r="N136" s="14">
        <f t="shared" ref="N136:N145" si="254">+I136-M136</f>
        <v>0.32500000000000001</v>
      </c>
      <c r="O136" s="14">
        <f t="shared" ref="O136:O145" si="255">+PRODUCT(F136,G136,N136)</f>
        <v>0.24375000000000002</v>
      </c>
      <c r="P136" s="190"/>
      <c r="Q136" s="14">
        <f t="shared" si="223"/>
        <v>0.45</v>
      </c>
      <c r="R136" s="14">
        <f t="shared" si="224"/>
        <v>0.33750000000000002</v>
      </c>
      <c r="S136" s="14"/>
      <c r="T136" s="14"/>
      <c r="U136" s="191">
        <f t="shared" si="216"/>
        <v>0</v>
      </c>
      <c r="V136" s="14" t="s">
        <v>201</v>
      </c>
      <c r="W136" s="14"/>
      <c r="X136" s="14"/>
      <c r="Y136" s="14"/>
      <c r="Z136" s="14"/>
      <c r="AA136" s="14"/>
      <c r="AB136" s="14">
        <f t="shared" si="217"/>
        <v>6.7500000000000004E-2</v>
      </c>
      <c r="AC136" s="14"/>
      <c r="AE136" s="11"/>
      <c r="AG136" s="52">
        <f t="shared" si="225"/>
        <v>0.62624999999999997</v>
      </c>
      <c r="AH136" s="52">
        <f t="shared" si="226"/>
        <v>0</v>
      </c>
      <c r="AI136" s="193">
        <f t="shared" si="234"/>
        <v>0.62624999999999997</v>
      </c>
      <c r="AJ136" s="194">
        <f t="shared" si="235"/>
        <v>0</v>
      </c>
      <c r="AK136" s="195">
        <f t="shared" si="236"/>
        <v>0</v>
      </c>
      <c r="AL136" s="196">
        <f t="shared" si="237"/>
        <v>0</v>
      </c>
      <c r="AM136" s="52">
        <f t="shared" si="230"/>
        <v>0.75</v>
      </c>
      <c r="AN136" s="52">
        <f t="shared" si="231"/>
        <v>0</v>
      </c>
      <c r="AO136" s="52">
        <f t="shared" si="232"/>
        <v>0</v>
      </c>
      <c r="AP136" s="52">
        <f t="shared" si="233"/>
        <v>0</v>
      </c>
    </row>
    <row r="137" spans="1:42" ht="20.100000000000001" customHeight="1" x14ac:dyDescent="0.25">
      <c r="A137" s="129"/>
      <c r="B137" s="182" t="s">
        <v>85</v>
      </c>
      <c r="C137" s="183"/>
      <c r="E137" s="189" t="s">
        <v>201</v>
      </c>
      <c r="F137" s="14">
        <v>1</v>
      </c>
      <c r="G137" s="14">
        <v>0.35</v>
      </c>
      <c r="H137" s="14">
        <v>0.15</v>
      </c>
      <c r="I137" s="14">
        <v>0.45</v>
      </c>
      <c r="J137" s="11">
        <f t="shared" si="218"/>
        <v>2.3625E-2</v>
      </c>
      <c r="K137" s="11">
        <f t="shared" si="219"/>
        <v>5.2499999999999998E-2</v>
      </c>
      <c r="L137" s="11">
        <f t="shared" si="220"/>
        <v>0.27124999999999999</v>
      </c>
      <c r="M137" s="190">
        <v>0.125</v>
      </c>
      <c r="N137" s="14">
        <f t="shared" si="254"/>
        <v>0.32500000000000001</v>
      </c>
      <c r="O137" s="14">
        <f t="shared" si="255"/>
        <v>0.11374999999999999</v>
      </c>
      <c r="P137" s="190"/>
      <c r="Q137" s="14">
        <f t="shared" si="223"/>
        <v>0.45</v>
      </c>
      <c r="R137" s="14">
        <f t="shared" si="224"/>
        <v>0.1575</v>
      </c>
      <c r="S137" s="14"/>
      <c r="T137" s="14"/>
      <c r="U137" s="191">
        <f t="shared" si="216"/>
        <v>0</v>
      </c>
      <c r="V137" s="14"/>
      <c r="W137" s="14"/>
      <c r="X137" s="14"/>
      <c r="Y137" s="14"/>
      <c r="Z137" s="14"/>
      <c r="AA137" s="14"/>
      <c r="AB137" s="14">
        <f t="shared" si="217"/>
        <v>0</v>
      </c>
      <c r="AC137" s="14"/>
      <c r="AE137" s="11"/>
      <c r="AG137" s="52">
        <f t="shared" si="225"/>
        <v>0.32374999999999998</v>
      </c>
      <c r="AH137" s="52">
        <f t="shared" si="226"/>
        <v>0</v>
      </c>
      <c r="AI137" s="193">
        <f t="shared" si="234"/>
        <v>0.32374999999999998</v>
      </c>
      <c r="AJ137" s="194">
        <f t="shared" si="235"/>
        <v>0</v>
      </c>
      <c r="AK137" s="195">
        <f t="shared" si="236"/>
        <v>0</v>
      </c>
      <c r="AL137" s="196">
        <f t="shared" si="237"/>
        <v>0</v>
      </c>
      <c r="AM137" s="52">
        <f t="shared" si="230"/>
        <v>0.35</v>
      </c>
      <c r="AN137" s="52">
        <f t="shared" si="231"/>
        <v>0</v>
      </c>
      <c r="AO137" s="52">
        <f t="shared" si="232"/>
        <v>0</v>
      </c>
      <c r="AP137" s="52">
        <f t="shared" si="233"/>
        <v>0</v>
      </c>
    </row>
    <row r="138" spans="1:42" ht="20.100000000000001" customHeight="1" x14ac:dyDescent="0.25">
      <c r="A138" s="129"/>
      <c r="B138" s="182" t="s">
        <v>85</v>
      </c>
      <c r="C138" s="183"/>
      <c r="E138" s="189" t="s">
        <v>202</v>
      </c>
      <c r="F138" s="14">
        <v>1</v>
      </c>
      <c r="G138" s="14">
        <v>4.5</v>
      </c>
      <c r="H138" s="14">
        <v>0.2</v>
      </c>
      <c r="I138" s="14">
        <v>0.45</v>
      </c>
      <c r="J138" s="11">
        <f t="shared" si="218"/>
        <v>0.40500000000000003</v>
      </c>
      <c r="K138" s="11">
        <f t="shared" si="219"/>
        <v>0.9</v>
      </c>
      <c r="L138" s="11">
        <f t="shared" si="220"/>
        <v>2.7225000000000001</v>
      </c>
      <c r="M138" s="190">
        <v>0.125</v>
      </c>
      <c r="N138" s="14">
        <f t="shared" si="254"/>
        <v>0.32500000000000001</v>
      </c>
      <c r="O138" s="14">
        <f t="shared" si="255"/>
        <v>1.4625000000000001</v>
      </c>
      <c r="P138" s="190">
        <v>0.15</v>
      </c>
      <c r="Q138" s="14">
        <f t="shared" si="223"/>
        <v>0.30000000000000004</v>
      </c>
      <c r="R138" s="14">
        <f t="shared" si="224"/>
        <v>1.35</v>
      </c>
      <c r="S138" s="14"/>
      <c r="T138" s="14"/>
      <c r="U138" s="191">
        <f t="shared" si="216"/>
        <v>0</v>
      </c>
      <c r="V138" s="14" t="s">
        <v>255</v>
      </c>
      <c r="W138" s="14"/>
      <c r="X138" s="14"/>
      <c r="Y138" s="14"/>
      <c r="Z138" s="14"/>
      <c r="AA138" s="14"/>
      <c r="AB138" s="14">
        <f t="shared" si="217"/>
        <v>9.0000000000000011E-2</v>
      </c>
      <c r="AC138" s="14"/>
      <c r="AE138" s="11"/>
      <c r="AG138" s="52">
        <f t="shared" si="225"/>
        <v>3.6225000000000001</v>
      </c>
      <c r="AH138" s="52">
        <f t="shared" si="226"/>
        <v>0</v>
      </c>
      <c r="AI138" s="193">
        <f t="shared" si="234"/>
        <v>0</v>
      </c>
      <c r="AJ138" s="194">
        <f t="shared" si="235"/>
        <v>0</v>
      </c>
      <c r="AK138" s="195">
        <f t="shared" si="236"/>
        <v>3.6225000000000001</v>
      </c>
      <c r="AL138" s="196">
        <f t="shared" si="237"/>
        <v>0</v>
      </c>
      <c r="AM138" s="52">
        <f t="shared" si="230"/>
        <v>0</v>
      </c>
      <c r="AN138" s="52">
        <f t="shared" si="231"/>
        <v>0</v>
      </c>
      <c r="AO138" s="52">
        <f t="shared" si="232"/>
        <v>4.5</v>
      </c>
      <c r="AP138" s="52">
        <f t="shared" si="233"/>
        <v>0</v>
      </c>
    </row>
    <row r="139" spans="1:42" ht="20.100000000000001" customHeight="1" x14ac:dyDescent="0.25">
      <c r="A139" s="129"/>
      <c r="B139" s="182" t="s">
        <v>85</v>
      </c>
      <c r="C139" s="183"/>
      <c r="E139" s="189" t="s">
        <v>203</v>
      </c>
      <c r="F139" s="14">
        <v>1</v>
      </c>
      <c r="G139" s="14">
        <v>1.5</v>
      </c>
      <c r="H139" s="14">
        <v>0.2</v>
      </c>
      <c r="I139" s="14">
        <v>0.45</v>
      </c>
      <c r="J139" s="11">
        <f t="shared" si="218"/>
        <v>0.13500000000000004</v>
      </c>
      <c r="K139" s="11">
        <f t="shared" si="219"/>
        <v>0.30000000000000004</v>
      </c>
      <c r="L139" s="11">
        <f t="shared" si="220"/>
        <v>0.97500000000000009</v>
      </c>
      <c r="M139" s="190">
        <v>0.125</v>
      </c>
      <c r="N139" s="14">
        <f t="shared" si="254"/>
        <v>0.32500000000000001</v>
      </c>
      <c r="O139" s="14">
        <f t="shared" si="255"/>
        <v>0.48750000000000004</v>
      </c>
      <c r="P139" s="190">
        <v>0.125</v>
      </c>
      <c r="Q139" s="14">
        <f t="shared" si="223"/>
        <v>0.32500000000000001</v>
      </c>
      <c r="R139" s="14">
        <f t="shared" si="224"/>
        <v>0.48750000000000004</v>
      </c>
      <c r="S139" s="14"/>
      <c r="T139" s="14"/>
      <c r="U139" s="191">
        <f t="shared" si="216"/>
        <v>0</v>
      </c>
      <c r="V139" s="14"/>
      <c r="W139" s="14"/>
      <c r="X139" s="14"/>
      <c r="Y139" s="14"/>
      <c r="Z139" s="14"/>
      <c r="AA139" s="14"/>
      <c r="AB139" s="14">
        <f t="shared" si="217"/>
        <v>0</v>
      </c>
      <c r="AC139" s="14"/>
      <c r="AE139" s="11"/>
      <c r="AG139" s="52">
        <f t="shared" si="225"/>
        <v>1.2750000000000001</v>
      </c>
      <c r="AH139" s="52">
        <f t="shared" si="226"/>
        <v>0</v>
      </c>
      <c r="AI139" s="193">
        <f t="shared" si="234"/>
        <v>0</v>
      </c>
      <c r="AJ139" s="194">
        <f t="shared" si="235"/>
        <v>0</v>
      </c>
      <c r="AK139" s="195">
        <f t="shared" si="236"/>
        <v>1.2750000000000001</v>
      </c>
      <c r="AL139" s="196">
        <f t="shared" si="237"/>
        <v>0</v>
      </c>
      <c r="AM139" s="52">
        <f t="shared" si="230"/>
        <v>0</v>
      </c>
      <c r="AN139" s="52">
        <f t="shared" si="231"/>
        <v>0</v>
      </c>
      <c r="AO139" s="52">
        <f t="shared" si="232"/>
        <v>1.5</v>
      </c>
      <c r="AP139" s="52">
        <f t="shared" si="233"/>
        <v>0</v>
      </c>
    </row>
    <row r="140" spans="1:42" ht="20.100000000000001" customHeight="1" x14ac:dyDescent="0.25">
      <c r="A140" s="129"/>
      <c r="B140" s="182" t="s">
        <v>85</v>
      </c>
      <c r="C140" s="183"/>
      <c r="E140" s="189" t="s">
        <v>204</v>
      </c>
      <c r="F140" s="14">
        <v>1</v>
      </c>
      <c r="G140" s="14">
        <v>1.5</v>
      </c>
      <c r="H140" s="14">
        <v>0.2</v>
      </c>
      <c r="I140" s="14">
        <v>0.45</v>
      </c>
      <c r="J140" s="11">
        <f t="shared" si="218"/>
        <v>0.13500000000000004</v>
      </c>
      <c r="K140" s="11">
        <f t="shared" si="219"/>
        <v>0.30000000000000004</v>
      </c>
      <c r="L140" s="11">
        <f t="shared" si="220"/>
        <v>0.97500000000000009</v>
      </c>
      <c r="M140" s="190">
        <v>0.125</v>
      </c>
      <c r="N140" s="14">
        <f t="shared" si="254"/>
        <v>0.32500000000000001</v>
      </c>
      <c r="O140" s="14">
        <f t="shared" si="255"/>
        <v>0.48750000000000004</v>
      </c>
      <c r="P140" s="190">
        <v>0.125</v>
      </c>
      <c r="Q140" s="14">
        <f t="shared" si="223"/>
        <v>0.32500000000000001</v>
      </c>
      <c r="R140" s="14">
        <f t="shared" si="224"/>
        <v>0.48750000000000004</v>
      </c>
      <c r="S140" s="14"/>
      <c r="T140" s="14"/>
      <c r="U140" s="191">
        <f t="shared" si="216"/>
        <v>0</v>
      </c>
      <c r="V140" s="14"/>
      <c r="W140" s="14"/>
      <c r="X140" s="14"/>
      <c r="Y140" s="14"/>
      <c r="Z140" s="14"/>
      <c r="AA140" s="14"/>
      <c r="AB140" s="14">
        <f t="shared" si="217"/>
        <v>0</v>
      </c>
      <c r="AC140" s="14"/>
      <c r="AE140" s="11"/>
      <c r="AG140" s="52">
        <f t="shared" si="225"/>
        <v>1.2750000000000001</v>
      </c>
      <c r="AH140" s="52">
        <f t="shared" si="226"/>
        <v>0</v>
      </c>
      <c r="AI140" s="193">
        <f t="shared" si="234"/>
        <v>0</v>
      </c>
      <c r="AJ140" s="194">
        <f t="shared" si="235"/>
        <v>0</v>
      </c>
      <c r="AK140" s="195">
        <f t="shared" si="236"/>
        <v>1.2750000000000001</v>
      </c>
      <c r="AL140" s="196">
        <f t="shared" si="237"/>
        <v>0</v>
      </c>
      <c r="AM140" s="52">
        <f t="shared" si="230"/>
        <v>0</v>
      </c>
      <c r="AN140" s="52">
        <f t="shared" si="231"/>
        <v>0</v>
      </c>
      <c r="AO140" s="52">
        <f t="shared" si="232"/>
        <v>1.5</v>
      </c>
      <c r="AP140" s="52">
        <f t="shared" si="233"/>
        <v>0</v>
      </c>
    </row>
    <row r="141" spans="1:42" ht="20.100000000000001" customHeight="1" x14ac:dyDescent="0.25">
      <c r="A141" s="129"/>
      <c r="B141" s="182" t="s">
        <v>85</v>
      </c>
      <c r="C141" s="183"/>
      <c r="E141" s="189" t="s">
        <v>205</v>
      </c>
      <c r="F141" s="14">
        <v>1</v>
      </c>
      <c r="G141" s="14">
        <v>1.75</v>
      </c>
      <c r="H141" s="14">
        <v>0.2</v>
      </c>
      <c r="I141" s="14">
        <v>0.45</v>
      </c>
      <c r="J141" s="11">
        <f t="shared" si="218"/>
        <v>0.15750000000000003</v>
      </c>
      <c r="K141" s="11">
        <f t="shared" si="219"/>
        <v>0.35000000000000003</v>
      </c>
      <c r="L141" s="11">
        <f t="shared" si="220"/>
        <v>1.09375</v>
      </c>
      <c r="M141" s="190">
        <v>0.125</v>
      </c>
      <c r="N141" s="14">
        <f t="shared" si="254"/>
        <v>0.32500000000000001</v>
      </c>
      <c r="O141" s="14">
        <f t="shared" si="255"/>
        <v>0.56874999999999998</v>
      </c>
      <c r="P141" s="190">
        <v>0.15</v>
      </c>
      <c r="Q141" s="14">
        <f t="shared" si="223"/>
        <v>0.30000000000000004</v>
      </c>
      <c r="R141" s="14">
        <f t="shared" si="224"/>
        <v>0.52500000000000013</v>
      </c>
      <c r="S141" s="14"/>
      <c r="T141" s="14"/>
      <c r="U141" s="191">
        <f t="shared" si="216"/>
        <v>0</v>
      </c>
      <c r="V141" s="14"/>
      <c r="W141" s="14"/>
      <c r="X141" s="14"/>
      <c r="Y141" s="14"/>
      <c r="Z141" s="14"/>
      <c r="AA141" s="14"/>
      <c r="AB141" s="14">
        <f t="shared" si="217"/>
        <v>0</v>
      </c>
      <c r="AC141" s="14"/>
      <c r="AE141" s="11"/>
      <c r="AG141" s="52">
        <f t="shared" si="225"/>
        <v>1.4437500000000001</v>
      </c>
      <c r="AH141" s="52">
        <f t="shared" si="226"/>
        <v>0</v>
      </c>
      <c r="AI141" s="193">
        <f t="shared" si="234"/>
        <v>0</v>
      </c>
      <c r="AJ141" s="194">
        <f t="shared" si="235"/>
        <v>0</v>
      </c>
      <c r="AK141" s="195">
        <f t="shared" si="236"/>
        <v>1.4437500000000001</v>
      </c>
      <c r="AL141" s="196">
        <f t="shared" si="237"/>
        <v>0</v>
      </c>
      <c r="AM141" s="52">
        <f t="shared" si="230"/>
        <v>0</v>
      </c>
      <c r="AN141" s="52">
        <f t="shared" si="231"/>
        <v>0</v>
      </c>
      <c r="AO141" s="52">
        <f t="shared" si="232"/>
        <v>1.75</v>
      </c>
      <c r="AP141" s="52">
        <f t="shared" si="233"/>
        <v>0</v>
      </c>
    </row>
    <row r="142" spans="1:42" ht="20.100000000000001" customHeight="1" x14ac:dyDescent="0.25">
      <c r="A142" s="129"/>
      <c r="B142" s="182" t="s">
        <v>85</v>
      </c>
      <c r="C142" s="183"/>
      <c r="E142" s="189" t="s">
        <v>206</v>
      </c>
      <c r="F142" s="10">
        <v>1</v>
      </c>
      <c r="G142" s="14">
        <v>4.75</v>
      </c>
      <c r="H142" s="14">
        <v>0.2</v>
      </c>
      <c r="I142" s="14">
        <v>0.45</v>
      </c>
      <c r="J142" s="11">
        <f t="shared" si="218"/>
        <v>0.42750000000000005</v>
      </c>
      <c r="K142" s="11">
        <f t="shared" si="219"/>
        <v>0.95000000000000007</v>
      </c>
      <c r="L142" s="11">
        <f t="shared" si="220"/>
        <v>3.2850000000000001</v>
      </c>
      <c r="M142" s="190">
        <v>0.125</v>
      </c>
      <c r="N142" s="14">
        <f t="shared" si="254"/>
        <v>0.32500000000000001</v>
      </c>
      <c r="O142" s="14">
        <f t="shared" si="255"/>
        <v>1.54375</v>
      </c>
      <c r="P142" s="190">
        <v>0.15</v>
      </c>
      <c r="Q142" s="14">
        <f t="shared" si="223"/>
        <v>0.30000000000000004</v>
      </c>
      <c r="R142" s="14">
        <f t="shared" si="224"/>
        <v>1.4250000000000003</v>
      </c>
      <c r="S142" s="14">
        <v>0.65</v>
      </c>
      <c r="T142" s="14"/>
      <c r="U142" s="191">
        <f t="shared" si="216"/>
        <v>0.40625</v>
      </c>
      <c r="V142" s="14" t="s">
        <v>273</v>
      </c>
      <c r="W142" s="14"/>
      <c r="X142" s="14"/>
      <c r="Y142" s="14"/>
      <c r="Z142" s="14"/>
      <c r="AA142" s="14"/>
      <c r="AB142" s="14">
        <f t="shared" si="217"/>
        <v>9.0000000000000011E-2</v>
      </c>
      <c r="AC142" s="14"/>
      <c r="AE142" s="11"/>
      <c r="AG142" s="52">
        <f t="shared" si="225"/>
        <v>4.2350000000000003</v>
      </c>
      <c r="AH142" s="52">
        <f t="shared" si="226"/>
        <v>0</v>
      </c>
      <c r="AI142" s="193">
        <f t="shared" si="234"/>
        <v>0</v>
      </c>
      <c r="AJ142" s="194">
        <f t="shared" si="235"/>
        <v>0</v>
      </c>
      <c r="AK142" s="195">
        <f t="shared" si="236"/>
        <v>4.2350000000000003</v>
      </c>
      <c r="AL142" s="196">
        <f t="shared" si="237"/>
        <v>0</v>
      </c>
      <c r="AM142" s="52">
        <f t="shared" si="230"/>
        <v>0</v>
      </c>
      <c r="AN142" s="52">
        <f t="shared" si="231"/>
        <v>0</v>
      </c>
      <c r="AO142" s="52">
        <f t="shared" si="232"/>
        <v>4.75</v>
      </c>
      <c r="AP142" s="52">
        <f t="shared" si="233"/>
        <v>0</v>
      </c>
    </row>
    <row r="143" spans="1:42" ht="20.100000000000001" customHeight="1" x14ac:dyDescent="0.25">
      <c r="A143" s="129"/>
      <c r="B143" s="182" t="s">
        <v>85</v>
      </c>
      <c r="C143" s="183"/>
      <c r="E143" s="189" t="s">
        <v>207</v>
      </c>
      <c r="F143" s="10">
        <v>1</v>
      </c>
      <c r="G143" s="14">
        <v>3.7360000000000002</v>
      </c>
      <c r="H143" s="14">
        <v>0.2</v>
      </c>
      <c r="I143" s="14">
        <v>0.45</v>
      </c>
      <c r="J143" s="11">
        <f t="shared" si="218"/>
        <v>0.33624000000000004</v>
      </c>
      <c r="K143" s="11">
        <f t="shared" si="219"/>
        <v>0.74720000000000009</v>
      </c>
      <c r="L143" s="11">
        <f t="shared" si="220"/>
        <v>3.1541500000000005</v>
      </c>
      <c r="M143" s="190">
        <v>0.125</v>
      </c>
      <c r="N143" s="14">
        <f t="shared" si="254"/>
        <v>0.32500000000000001</v>
      </c>
      <c r="O143" s="14">
        <f t="shared" si="255"/>
        <v>1.2142000000000002</v>
      </c>
      <c r="P143" s="190"/>
      <c r="Q143" s="14">
        <f t="shared" si="223"/>
        <v>0.45</v>
      </c>
      <c r="R143" s="14">
        <f t="shared" si="224"/>
        <v>1.6812</v>
      </c>
      <c r="S143" s="14">
        <v>0.45</v>
      </c>
      <c r="T143" s="14"/>
      <c r="U143" s="191">
        <f t="shared" si="216"/>
        <v>0.34875</v>
      </c>
      <c r="V143" s="14" t="s">
        <v>255</v>
      </c>
      <c r="W143" s="14"/>
      <c r="X143" s="14"/>
      <c r="Y143" s="14"/>
      <c r="Z143" s="14"/>
      <c r="AA143" s="14"/>
      <c r="AB143" s="14">
        <f t="shared" si="217"/>
        <v>9.0000000000000011E-2</v>
      </c>
      <c r="AC143" s="14"/>
      <c r="AE143" s="11"/>
      <c r="AG143" s="52">
        <f t="shared" si="225"/>
        <v>3.9013500000000008</v>
      </c>
      <c r="AH143" s="52">
        <f t="shared" si="226"/>
        <v>0</v>
      </c>
      <c r="AI143" s="193">
        <f t="shared" si="234"/>
        <v>3.9013500000000008</v>
      </c>
      <c r="AJ143" s="194">
        <f t="shared" si="235"/>
        <v>0</v>
      </c>
      <c r="AK143" s="195">
        <f t="shared" si="236"/>
        <v>0</v>
      </c>
      <c r="AL143" s="196">
        <f t="shared" si="237"/>
        <v>0</v>
      </c>
      <c r="AM143" s="52">
        <f t="shared" si="230"/>
        <v>3.7360000000000002</v>
      </c>
      <c r="AN143" s="52">
        <f t="shared" si="231"/>
        <v>0</v>
      </c>
      <c r="AO143" s="52">
        <f t="shared" si="232"/>
        <v>0</v>
      </c>
      <c r="AP143" s="52">
        <f t="shared" si="233"/>
        <v>0</v>
      </c>
    </row>
    <row r="144" spans="1:42" ht="20.100000000000001" customHeight="1" x14ac:dyDescent="0.25">
      <c r="A144" s="129"/>
      <c r="B144" s="182" t="s">
        <v>85</v>
      </c>
      <c r="C144" s="183"/>
      <c r="E144" s="189" t="s">
        <v>208</v>
      </c>
      <c r="F144" s="14">
        <v>1</v>
      </c>
      <c r="G144" s="14">
        <v>1.5</v>
      </c>
      <c r="H144" s="14">
        <v>0.2</v>
      </c>
      <c r="I144" s="14">
        <v>0.45</v>
      </c>
      <c r="J144" s="11">
        <f t="shared" si="218"/>
        <v>0.13500000000000004</v>
      </c>
      <c r="K144" s="11">
        <f t="shared" si="219"/>
        <v>0.30000000000000004</v>
      </c>
      <c r="L144" s="11">
        <f t="shared" si="220"/>
        <v>0.97500000000000009</v>
      </c>
      <c r="M144" s="190">
        <v>0.125</v>
      </c>
      <c r="N144" s="14">
        <f t="shared" si="254"/>
        <v>0.32500000000000001</v>
      </c>
      <c r="O144" s="14">
        <f t="shared" si="255"/>
        <v>0.48750000000000004</v>
      </c>
      <c r="P144" s="190">
        <v>0.125</v>
      </c>
      <c r="Q144" s="14">
        <f t="shared" si="223"/>
        <v>0.32500000000000001</v>
      </c>
      <c r="R144" s="14">
        <f t="shared" si="224"/>
        <v>0.48750000000000004</v>
      </c>
      <c r="S144" s="14"/>
      <c r="T144" s="14"/>
      <c r="U144" s="191">
        <f t="shared" si="216"/>
        <v>0</v>
      </c>
      <c r="V144" s="14"/>
      <c r="W144" s="14"/>
      <c r="X144" s="14"/>
      <c r="Y144" s="14"/>
      <c r="Z144" s="14"/>
      <c r="AA144" s="14"/>
      <c r="AB144" s="14">
        <f t="shared" si="217"/>
        <v>0</v>
      </c>
      <c r="AC144" s="14"/>
      <c r="AE144" s="11"/>
      <c r="AG144" s="52">
        <f t="shared" si="225"/>
        <v>1.2750000000000001</v>
      </c>
      <c r="AH144" s="52">
        <f t="shared" si="226"/>
        <v>0</v>
      </c>
      <c r="AI144" s="193">
        <f t="shared" si="234"/>
        <v>0</v>
      </c>
      <c r="AJ144" s="194">
        <f t="shared" si="235"/>
        <v>0</v>
      </c>
      <c r="AK144" s="195">
        <f t="shared" si="236"/>
        <v>1.2750000000000001</v>
      </c>
      <c r="AL144" s="196">
        <f t="shared" si="237"/>
        <v>0</v>
      </c>
      <c r="AM144" s="52">
        <f t="shared" si="230"/>
        <v>0</v>
      </c>
      <c r="AN144" s="52">
        <f t="shared" si="231"/>
        <v>0</v>
      </c>
      <c r="AO144" s="52">
        <f t="shared" si="232"/>
        <v>1.5</v>
      </c>
      <c r="AP144" s="52">
        <f t="shared" si="233"/>
        <v>0</v>
      </c>
    </row>
    <row r="145" spans="1:42" ht="20.100000000000001" customHeight="1" x14ac:dyDescent="0.25">
      <c r="A145" s="129"/>
      <c r="B145" s="182" t="s">
        <v>85</v>
      </c>
      <c r="C145" s="183"/>
      <c r="E145" s="189" t="s">
        <v>209</v>
      </c>
      <c r="F145" s="14">
        <v>1</v>
      </c>
      <c r="G145" s="14">
        <v>4.55</v>
      </c>
      <c r="H145" s="14">
        <v>0.2</v>
      </c>
      <c r="I145" s="14">
        <v>0.45</v>
      </c>
      <c r="J145" s="11">
        <f t="shared" si="218"/>
        <v>0.40950000000000003</v>
      </c>
      <c r="K145" s="11">
        <f t="shared" si="219"/>
        <v>0.91</v>
      </c>
      <c r="L145" s="11">
        <f t="shared" si="220"/>
        <v>4.34</v>
      </c>
      <c r="M145" s="190">
        <v>0.125</v>
      </c>
      <c r="N145" s="14">
        <f t="shared" si="254"/>
        <v>0.32500000000000001</v>
      </c>
      <c r="O145" s="14">
        <f t="shared" si="255"/>
        <v>1.47875</v>
      </c>
      <c r="P145" s="190"/>
      <c r="Q145" s="14">
        <f t="shared" si="223"/>
        <v>0.45</v>
      </c>
      <c r="R145" s="14">
        <f t="shared" si="224"/>
        <v>2.0474999999999999</v>
      </c>
      <c r="S145" s="14">
        <v>0.45</v>
      </c>
      <c r="T145" s="14">
        <v>0.6</v>
      </c>
      <c r="U145" s="191">
        <f t="shared" si="216"/>
        <v>0.81375000000000008</v>
      </c>
      <c r="V145" s="14"/>
      <c r="W145" s="14"/>
      <c r="X145" s="14"/>
      <c r="Y145" s="14"/>
      <c r="Z145" s="14"/>
      <c r="AA145" s="14"/>
      <c r="AB145" s="14">
        <f t="shared" si="217"/>
        <v>0</v>
      </c>
      <c r="AC145" s="14"/>
      <c r="AE145" s="11"/>
      <c r="AG145" s="52">
        <f t="shared" si="225"/>
        <v>5.25</v>
      </c>
      <c r="AH145" s="52">
        <f t="shared" si="226"/>
        <v>0</v>
      </c>
      <c r="AI145" s="193">
        <f t="shared" si="234"/>
        <v>5.25</v>
      </c>
      <c r="AJ145" s="194">
        <f t="shared" si="235"/>
        <v>0</v>
      </c>
      <c r="AK145" s="195">
        <f t="shared" si="236"/>
        <v>0</v>
      </c>
      <c r="AL145" s="196">
        <f t="shared" si="237"/>
        <v>0</v>
      </c>
      <c r="AM145" s="52">
        <f t="shared" si="230"/>
        <v>4.55</v>
      </c>
      <c r="AN145" s="52">
        <f t="shared" si="231"/>
        <v>0</v>
      </c>
      <c r="AO145" s="52">
        <f t="shared" si="232"/>
        <v>0</v>
      </c>
      <c r="AP145" s="52">
        <f t="shared" si="233"/>
        <v>0</v>
      </c>
    </row>
    <row r="146" spans="1:42" ht="20.100000000000001" customHeight="1" x14ac:dyDescent="0.25">
      <c r="A146" s="129"/>
      <c r="B146" s="182" t="s">
        <v>85</v>
      </c>
      <c r="C146" s="183"/>
      <c r="E146" s="189" t="s">
        <v>210</v>
      </c>
      <c r="F146" s="14">
        <v>1</v>
      </c>
      <c r="G146" s="14">
        <v>0.4</v>
      </c>
      <c r="H146" s="14">
        <v>0.1</v>
      </c>
      <c r="I146" s="14">
        <v>0.45</v>
      </c>
      <c r="J146" s="11">
        <f>+PRODUCT(F146:I146)</f>
        <v>1.8000000000000006E-2</v>
      </c>
      <c r="K146" s="11">
        <f>PRODUCT(F146,G146,H146)</f>
        <v>4.0000000000000008E-2</v>
      </c>
      <c r="L146" s="11">
        <f>+O146+R146-AB146+U146</f>
        <v>0.13500000000000001</v>
      </c>
      <c r="M146" s="190"/>
      <c r="N146" s="14"/>
      <c r="O146" s="14"/>
      <c r="P146" s="190"/>
      <c r="Q146" s="14">
        <f>+I146-P146</f>
        <v>0.45</v>
      </c>
      <c r="R146" s="14">
        <f>+PRODUCT(F146:G146,Q146)</f>
        <v>0.18000000000000002</v>
      </c>
      <c r="S146" s="14"/>
      <c r="T146" s="14"/>
      <c r="U146" s="191">
        <f>+SUM(S146:T146)*(N146+Q146)/2*2</f>
        <v>0</v>
      </c>
      <c r="V146" s="14" t="s">
        <v>211</v>
      </c>
      <c r="W146" s="14"/>
      <c r="X146" s="14"/>
      <c r="Y146" s="14"/>
      <c r="Z146" s="14"/>
      <c r="AA146" s="14"/>
      <c r="AB146" s="14">
        <f t="shared" si="217"/>
        <v>4.5000000000000005E-2</v>
      </c>
      <c r="AC146" s="14"/>
      <c r="AE146" s="11"/>
      <c r="AG146" s="52">
        <f>+IF(I146&lt;0.75,(K146+L146),0)</f>
        <v>0.17500000000000002</v>
      </c>
      <c r="AH146" s="52">
        <f>+IF(I146&lt;0.75,0,(K146+L146))</f>
        <v>0</v>
      </c>
      <c r="AI146" s="193">
        <f>IF(P146=0,(+IF(I146&lt;0.75,(K146+L146),0)),0)</f>
        <v>0.17500000000000002</v>
      </c>
      <c r="AJ146" s="194">
        <f>IF(P146=0,(+IF(I146&lt;0.75,0,(K146+L146))),0)</f>
        <v>0</v>
      </c>
      <c r="AK146" s="195">
        <f>+AG146-AI146</f>
        <v>0</v>
      </c>
      <c r="AL146" s="196">
        <f>+AH146-AJ146</f>
        <v>0</v>
      </c>
      <c r="AM146" s="52">
        <f>+IF(AI146=0,0,G146)</f>
        <v>0.4</v>
      </c>
      <c r="AN146" s="52">
        <f>+IF(AJ146=0,0,G146)</f>
        <v>0</v>
      </c>
      <c r="AO146" s="52">
        <f>+IF(AK146=0,0,G146)</f>
        <v>0</v>
      </c>
      <c r="AP146" s="52">
        <f>+IF(AL146=0,0,G146)</f>
        <v>0</v>
      </c>
    </row>
    <row r="147" spans="1:42" ht="20.100000000000001" customHeight="1" x14ac:dyDescent="0.25">
      <c r="A147" s="129"/>
      <c r="B147" s="182" t="s">
        <v>85</v>
      </c>
      <c r="C147" s="183"/>
      <c r="E147" s="189" t="s">
        <v>211</v>
      </c>
      <c r="F147" s="14">
        <v>1</v>
      </c>
      <c r="G147" s="14">
        <v>0.3</v>
      </c>
      <c r="H147" s="14">
        <v>0.1</v>
      </c>
      <c r="I147" s="14">
        <v>0.45</v>
      </c>
      <c r="J147" s="11">
        <f t="shared" ref="J147:J209" si="256">+PRODUCT(F147:I147)</f>
        <v>1.35E-2</v>
      </c>
      <c r="K147" s="11">
        <f t="shared" ref="K147:K209" si="257">PRODUCT(F147,G147,H147)</f>
        <v>0.03</v>
      </c>
      <c r="L147" s="11">
        <f t="shared" ref="L147:L209" si="258">+O147+R147-AB147+U147</f>
        <v>0.13500000000000001</v>
      </c>
      <c r="M147" s="190"/>
      <c r="N147" s="14"/>
      <c r="O147" s="14"/>
      <c r="P147" s="190"/>
      <c r="Q147" s="14">
        <f t="shared" ref="Q147:Q209" si="259">+I147-P147</f>
        <v>0.45</v>
      </c>
      <c r="R147" s="14">
        <f t="shared" ref="R147:R209" si="260">+PRODUCT(F147:G147,Q147)</f>
        <v>0.13500000000000001</v>
      </c>
      <c r="S147" s="14"/>
      <c r="T147" s="14"/>
      <c r="U147" s="191">
        <f t="shared" ref="U147:U192" si="261">+SUM(S147:T147)*(N147+Q147)/2*2</f>
        <v>0</v>
      </c>
      <c r="V147" s="14"/>
      <c r="W147" s="14"/>
      <c r="X147" s="14"/>
      <c r="Y147" s="14"/>
      <c r="Z147" s="14"/>
      <c r="AA147" s="14"/>
      <c r="AB147" s="14">
        <f t="shared" si="217"/>
        <v>0</v>
      </c>
      <c r="AC147" s="14"/>
      <c r="AE147" s="11"/>
      <c r="AG147" s="52">
        <f t="shared" ref="AG147:AG209" si="262">+IF(I147&lt;0.75,(K147+L147),0)</f>
        <v>0.16500000000000001</v>
      </c>
      <c r="AH147" s="52">
        <f t="shared" ref="AH147:AH209" si="263">+IF(I147&lt;0.75,0,(K147+L147))</f>
        <v>0</v>
      </c>
      <c r="AI147" s="193">
        <f t="shared" ref="AI147:AI209" si="264">IF(P147=0,(+IF(I147&lt;0.75,(K147+L147),0)),0)</f>
        <v>0.16500000000000001</v>
      </c>
      <c r="AJ147" s="194">
        <f t="shared" ref="AJ147:AJ209" si="265">IF(P147=0,(+IF(I147&lt;0.75,0,(K147+L147))),0)</f>
        <v>0</v>
      </c>
      <c r="AK147" s="195">
        <f t="shared" ref="AK147:AK209" si="266">+AG147-AI147</f>
        <v>0</v>
      </c>
      <c r="AL147" s="196">
        <f t="shared" ref="AL147:AL209" si="267">+AH147-AJ147</f>
        <v>0</v>
      </c>
      <c r="AM147" s="52">
        <f t="shared" ref="AM147:AM209" si="268">+IF(AI147=0,0,G147)</f>
        <v>0.3</v>
      </c>
      <c r="AN147" s="52">
        <f t="shared" ref="AN147:AN209" si="269">+IF(AJ147=0,0,G147)</f>
        <v>0</v>
      </c>
      <c r="AO147" s="52">
        <f t="shared" ref="AO147:AO209" si="270">+IF(AK147=0,0,G147)</f>
        <v>0</v>
      </c>
      <c r="AP147" s="52">
        <f t="shared" ref="AP147:AP209" si="271">+IF(AL147=0,0,G147)</f>
        <v>0</v>
      </c>
    </row>
    <row r="148" spans="1:42" ht="20.100000000000001" customHeight="1" x14ac:dyDescent="0.25">
      <c r="A148" s="129"/>
      <c r="B148" s="182" t="s">
        <v>85</v>
      </c>
      <c r="C148" s="183"/>
      <c r="E148" s="189" t="s">
        <v>212</v>
      </c>
      <c r="F148" s="14">
        <v>1</v>
      </c>
      <c r="G148" s="14">
        <v>0.6</v>
      </c>
      <c r="H148" s="14">
        <v>0.1</v>
      </c>
      <c r="I148" s="14">
        <v>0.45</v>
      </c>
      <c r="J148" s="11">
        <f t="shared" si="256"/>
        <v>2.7E-2</v>
      </c>
      <c r="K148" s="11">
        <f t="shared" si="257"/>
        <v>0.06</v>
      </c>
      <c r="L148" s="11">
        <f t="shared" si="258"/>
        <v>0.18</v>
      </c>
      <c r="M148" s="190"/>
      <c r="N148" s="14"/>
      <c r="O148" s="14"/>
      <c r="P148" s="190"/>
      <c r="Q148" s="14">
        <f t="shared" si="259"/>
        <v>0.45</v>
      </c>
      <c r="R148" s="14">
        <f t="shared" si="260"/>
        <v>0.27</v>
      </c>
      <c r="S148" s="14"/>
      <c r="T148" s="14"/>
      <c r="U148" s="191">
        <f t="shared" si="261"/>
        <v>0</v>
      </c>
      <c r="V148" s="14" t="s">
        <v>213</v>
      </c>
      <c r="W148" s="14" t="s">
        <v>213</v>
      </c>
      <c r="X148" s="14"/>
      <c r="Y148" s="14"/>
      <c r="Z148" s="14"/>
      <c r="AA148" s="14"/>
      <c r="AB148" s="14">
        <f t="shared" ref="AB148:AB179" si="272">IFERROR(VLOOKUP(V148,$E$19:$I$625,4,FALSE)*VLOOKUP(V148,$E$19:$I$625,5,FALSE),)+IFERROR(VLOOKUP(W148,$E$19:$I$625,4,FALSE)*VLOOKUP(W148,$E$19:$I$625,5,FALSE),)+IFERROR(VLOOKUP(X148,$E$19:$I$625,4,FALSE)*VLOOKUP(X148,$E$19:$I$625,5,FALSE),)+IFERROR(VLOOKUP(Y148,$E$19:$I$625,4,FALSE)*VLOOKUP(Y148,$E$19:$I$625,5,FALSE),)+IFERROR(VLOOKUP(Z148,$E$19:$I$625,4,FALSE)*VLOOKUP(Z148,$E$19:$I$625,5,FALSE),)+IFERROR(VLOOKUP(AA148,$E$19:$I$625,4,FALSE)*VLOOKUP(AA148,$E$19:$I$625,5,FALSE),)</f>
        <v>9.0000000000000011E-2</v>
      </c>
      <c r="AC148" s="14"/>
      <c r="AE148" s="11"/>
      <c r="AG148" s="52">
        <f t="shared" si="262"/>
        <v>0.24</v>
      </c>
      <c r="AH148" s="52">
        <f t="shared" si="263"/>
        <v>0</v>
      </c>
      <c r="AI148" s="193">
        <f t="shared" si="264"/>
        <v>0.24</v>
      </c>
      <c r="AJ148" s="194">
        <f t="shared" si="265"/>
        <v>0</v>
      </c>
      <c r="AK148" s="195">
        <f t="shared" si="266"/>
        <v>0</v>
      </c>
      <c r="AL148" s="196">
        <f t="shared" si="267"/>
        <v>0</v>
      </c>
      <c r="AM148" s="52">
        <f t="shared" si="268"/>
        <v>0.6</v>
      </c>
      <c r="AN148" s="52">
        <f t="shared" si="269"/>
        <v>0</v>
      </c>
      <c r="AO148" s="52">
        <f t="shared" si="270"/>
        <v>0</v>
      </c>
      <c r="AP148" s="52">
        <f t="shared" si="271"/>
        <v>0</v>
      </c>
    </row>
    <row r="149" spans="1:42" ht="20.100000000000001" customHeight="1" x14ac:dyDescent="0.25">
      <c r="A149" s="129"/>
      <c r="B149" s="182" t="s">
        <v>85</v>
      </c>
      <c r="C149" s="183"/>
      <c r="E149" s="189" t="s">
        <v>213</v>
      </c>
      <c r="F149" s="14">
        <v>2</v>
      </c>
      <c r="G149" s="14">
        <v>0.2</v>
      </c>
      <c r="H149" s="14">
        <v>0.1</v>
      </c>
      <c r="I149" s="14">
        <v>0.45</v>
      </c>
      <c r="J149" s="11">
        <f t="shared" si="256"/>
        <v>1.8000000000000006E-2</v>
      </c>
      <c r="K149" s="11">
        <f t="shared" si="257"/>
        <v>4.0000000000000008E-2</v>
      </c>
      <c r="L149" s="11">
        <f t="shared" si="258"/>
        <v>0.18000000000000002</v>
      </c>
      <c r="M149" s="190"/>
      <c r="N149" s="14"/>
      <c r="O149" s="14"/>
      <c r="P149" s="190"/>
      <c r="Q149" s="14">
        <f t="shared" si="259"/>
        <v>0.45</v>
      </c>
      <c r="R149" s="14">
        <f t="shared" si="260"/>
        <v>0.18000000000000002</v>
      </c>
      <c r="S149" s="14"/>
      <c r="T149" s="14"/>
      <c r="U149" s="191">
        <f t="shared" si="261"/>
        <v>0</v>
      </c>
      <c r="V149" s="14"/>
      <c r="W149" s="14"/>
      <c r="X149" s="14"/>
      <c r="Y149" s="14"/>
      <c r="Z149" s="14"/>
      <c r="AA149" s="14"/>
      <c r="AB149" s="14">
        <f t="shared" si="272"/>
        <v>0</v>
      </c>
      <c r="AC149" s="14"/>
      <c r="AE149" s="11"/>
      <c r="AG149" s="52">
        <f t="shared" si="262"/>
        <v>0.22000000000000003</v>
      </c>
      <c r="AH149" s="52">
        <f t="shared" si="263"/>
        <v>0</v>
      </c>
      <c r="AI149" s="193">
        <f t="shared" si="264"/>
        <v>0.22000000000000003</v>
      </c>
      <c r="AJ149" s="194">
        <f t="shared" si="265"/>
        <v>0</v>
      </c>
      <c r="AK149" s="195">
        <f t="shared" si="266"/>
        <v>0</v>
      </c>
      <c r="AL149" s="196">
        <f t="shared" si="267"/>
        <v>0</v>
      </c>
      <c r="AM149" s="52">
        <f t="shared" si="268"/>
        <v>0.2</v>
      </c>
      <c r="AN149" s="52">
        <f t="shared" si="269"/>
        <v>0</v>
      </c>
      <c r="AO149" s="52">
        <f t="shared" si="270"/>
        <v>0</v>
      </c>
      <c r="AP149" s="52">
        <f t="shared" si="271"/>
        <v>0</v>
      </c>
    </row>
    <row r="150" spans="1:42" ht="20.100000000000001" customHeight="1" x14ac:dyDescent="0.25">
      <c r="A150" s="129"/>
      <c r="B150" s="182" t="s">
        <v>85</v>
      </c>
      <c r="C150" s="183"/>
      <c r="E150" s="189" t="s">
        <v>214</v>
      </c>
      <c r="F150" s="14">
        <v>1</v>
      </c>
      <c r="G150" s="14">
        <v>1.5</v>
      </c>
      <c r="H150" s="14">
        <v>0.2</v>
      </c>
      <c r="I150" s="14">
        <v>0.45</v>
      </c>
      <c r="J150" s="11">
        <f t="shared" si="256"/>
        <v>0.13500000000000004</v>
      </c>
      <c r="K150" s="11">
        <f t="shared" si="257"/>
        <v>0.30000000000000004</v>
      </c>
      <c r="L150" s="11">
        <f t="shared" si="258"/>
        <v>1.2675000000000001</v>
      </c>
      <c r="M150" s="190">
        <v>0.125</v>
      </c>
      <c r="N150" s="14">
        <f t="shared" ref="N150:N209" si="273">+I150-M150</f>
        <v>0.32500000000000001</v>
      </c>
      <c r="O150" s="14">
        <f t="shared" ref="O150:O209" si="274">+PRODUCT(F150,G150,N150)</f>
        <v>0.48750000000000004</v>
      </c>
      <c r="P150" s="190">
        <v>0.125</v>
      </c>
      <c r="Q150" s="14">
        <f t="shared" si="259"/>
        <v>0.32500000000000001</v>
      </c>
      <c r="R150" s="14">
        <f t="shared" si="260"/>
        <v>0.48750000000000004</v>
      </c>
      <c r="S150" s="14">
        <v>0.45</v>
      </c>
      <c r="T150" s="14"/>
      <c r="U150" s="191">
        <f t="shared" si="261"/>
        <v>0.29250000000000004</v>
      </c>
      <c r="V150" s="14"/>
      <c r="W150" s="14"/>
      <c r="X150" s="14"/>
      <c r="Y150" s="14"/>
      <c r="Z150" s="14"/>
      <c r="AA150" s="14"/>
      <c r="AB150" s="14">
        <f t="shared" si="272"/>
        <v>0</v>
      </c>
      <c r="AC150" s="14"/>
      <c r="AE150" s="11"/>
      <c r="AG150" s="52">
        <f t="shared" si="262"/>
        <v>1.5675000000000001</v>
      </c>
      <c r="AH150" s="52">
        <f t="shared" si="263"/>
        <v>0</v>
      </c>
      <c r="AI150" s="193">
        <f t="shared" si="264"/>
        <v>0</v>
      </c>
      <c r="AJ150" s="194">
        <f t="shared" si="265"/>
        <v>0</v>
      </c>
      <c r="AK150" s="195">
        <f t="shared" si="266"/>
        <v>1.5675000000000001</v>
      </c>
      <c r="AL150" s="196">
        <f t="shared" si="267"/>
        <v>0</v>
      </c>
      <c r="AM150" s="52">
        <f t="shared" si="268"/>
        <v>0</v>
      </c>
      <c r="AN150" s="52">
        <f t="shared" si="269"/>
        <v>0</v>
      </c>
      <c r="AO150" s="52">
        <f t="shared" si="270"/>
        <v>1.5</v>
      </c>
      <c r="AP150" s="52">
        <f t="shared" si="271"/>
        <v>0</v>
      </c>
    </row>
    <row r="151" spans="1:42" ht="20.100000000000001" customHeight="1" x14ac:dyDescent="0.25">
      <c r="A151" s="129"/>
      <c r="B151" s="182" t="s">
        <v>85</v>
      </c>
      <c r="C151" s="183"/>
      <c r="E151" s="189" t="s">
        <v>215</v>
      </c>
      <c r="F151" s="14">
        <v>1</v>
      </c>
      <c r="G151" s="14">
        <v>2.8</v>
      </c>
      <c r="H151" s="14">
        <v>0.2</v>
      </c>
      <c r="I151" s="14">
        <v>0.45</v>
      </c>
      <c r="J151" s="11">
        <f t="shared" si="256"/>
        <v>0.252</v>
      </c>
      <c r="K151" s="11">
        <f t="shared" si="257"/>
        <v>0.55999999999999994</v>
      </c>
      <c r="L151" s="11">
        <f t="shared" si="258"/>
        <v>1.9500000000000002</v>
      </c>
      <c r="M151" s="190">
        <v>0.15</v>
      </c>
      <c r="N151" s="14">
        <f t="shared" si="273"/>
        <v>0.30000000000000004</v>
      </c>
      <c r="O151" s="14">
        <f t="shared" si="274"/>
        <v>0.84000000000000008</v>
      </c>
      <c r="P151" s="190">
        <v>0.15</v>
      </c>
      <c r="Q151" s="14">
        <f t="shared" si="259"/>
        <v>0.30000000000000004</v>
      </c>
      <c r="R151" s="14">
        <f t="shared" si="260"/>
        <v>0.84000000000000008</v>
      </c>
      <c r="S151" s="14">
        <v>0.45</v>
      </c>
      <c r="T151" s="14"/>
      <c r="U151" s="191">
        <f t="shared" si="261"/>
        <v>0.27000000000000007</v>
      </c>
      <c r="V151" s="14" t="s">
        <v>269</v>
      </c>
      <c r="W151" s="14"/>
      <c r="X151" s="14"/>
      <c r="Y151" s="14"/>
      <c r="Z151" s="14"/>
      <c r="AA151" s="14"/>
      <c r="AB151" s="14">
        <f t="shared" si="272"/>
        <v>0</v>
      </c>
      <c r="AC151" s="14"/>
      <c r="AE151" s="11"/>
      <c r="AG151" s="52">
        <f t="shared" si="262"/>
        <v>2.5100000000000002</v>
      </c>
      <c r="AH151" s="52">
        <f t="shared" si="263"/>
        <v>0</v>
      </c>
      <c r="AI151" s="193">
        <f t="shared" si="264"/>
        <v>0</v>
      </c>
      <c r="AJ151" s="194">
        <f t="shared" si="265"/>
        <v>0</v>
      </c>
      <c r="AK151" s="195">
        <f t="shared" si="266"/>
        <v>2.5100000000000002</v>
      </c>
      <c r="AL151" s="196">
        <f t="shared" si="267"/>
        <v>0</v>
      </c>
      <c r="AM151" s="52">
        <f t="shared" si="268"/>
        <v>0</v>
      </c>
      <c r="AN151" s="52">
        <f t="shared" si="269"/>
        <v>0</v>
      </c>
      <c r="AO151" s="52">
        <f t="shared" si="270"/>
        <v>2.8</v>
      </c>
      <c r="AP151" s="52">
        <f t="shared" si="271"/>
        <v>0</v>
      </c>
    </row>
    <row r="152" spans="1:42" ht="20.100000000000001" customHeight="1" x14ac:dyDescent="0.25">
      <c r="A152" s="129"/>
      <c r="B152" s="182" t="s">
        <v>85</v>
      </c>
      <c r="C152" s="183"/>
      <c r="E152" s="189" t="s">
        <v>216</v>
      </c>
      <c r="F152" s="14">
        <v>1</v>
      </c>
      <c r="G152" s="14">
        <v>3.6</v>
      </c>
      <c r="H152" s="14">
        <v>0.2</v>
      </c>
      <c r="I152" s="14">
        <v>0.45</v>
      </c>
      <c r="J152" s="11">
        <f t="shared" si="256"/>
        <v>0.32400000000000007</v>
      </c>
      <c r="K152" s="11">
        <f t="shared" si="257"/>
        <v>0.72000000000000008</v>
      </c>
      <c r="L152" s="11">
        <f t="shared" si="258"/>
        <v>2.4525000000000001</v>
      </c>
      <c r="M152" s="190">
        <v>0.125</v>
      </c>
      <c r="N152" s="14">
        <f t="shared" si="273"/>
        <v>0.32500000000000001</v>
      </c>
      <c r="O152" s="14">
        <f t="shared" si="274"/>
        <v>1.1700000000000002</v>
      </c>
      <c r="P152" s="190">
        <v>0.125</v>
      </c>
      <c r="Q152" s="14">
        <f t="shared" si="259"/>
        <v>0.32500000000000001</v>
      </c>
      <c r="R152" s="14">
        <f t="shared" si="260"/>
        <v>1.1700000000000002</v>
      </c>
      <c r="S152" s="14">
        <v>0.45</v>
      </c>
      <c r="T152" s="14"/>
      <c r="U152" s="191">
        <f t="shared" si="261"/>
        <v>0.29250000000000004</v>
      </c>
      <c r="V152" s="14" t="s">
        <v>248</v>
      </c>
      <c r="W152" s="14" t="s">
        <v>249</v>
      </c>
      <c r="X152" s="14"/>
      <c r="Y152" s="14"/>
      <c r="Z152" s="14"/>
      <c r="AA152" s="14"/>
      <c r="AB152" s="14">
        <f t="shared" si="272"/>
        <v>0.18000000000000002</v>
      </c>
      <c r="AC152" s="14"/>
      <c r="AE152" s="11"/>
      <c r="AG152" s="52">
        <f t="shared" si="262"/>
        <v>3.1725000000000003</v>
      </c>
      <c r="AH152" s="52">
        <f t="shared" si="263"/>
        <v>0</v>
      </c>
      <c r="AI152" s="193">
        <f t="shared" si="264"/>
        <v>0</v>
      </c>
      <c r="AJ152" s="194">
        <f t="shared" si="265"/>
        <v>0</v>
      </c>
      <c r="AK152" s="195">
        <f t="shared" si="266"/>
        <v>3.1725000000000003</v>
      </c>
      <c r="AL152" s="196">
        <f t="shared" si="267"/>
        <v>0</v>
      </c>
      <c r="AM152" s="52">
        <f t="shared" si="268"/>
        <v>0</v>
      </c>
      <c r="AN152" s="52">
        <f t="shared" si="269"/>
        <v>0</v>
      </c>
      <c r="AO152" s="52">
        <f t="shared" si="270"/>
        <v>3.6</v>
      </c>
      <c r="AP152" s="52">
        <f t="shared" si="271"/>
        <v>0</v>
      </c>
    </row>
    <row r="153" spans="1:42" ht="20.100000000000001" customHeight="1" x14ac:dyDescent="0.25">
      <c r="A153" s="129"/>
      <c r="B153" s="182" t="s">
        <v>85</v>
      </c>
      <c r="C153" s="183"/>
      <c r="E153" s="189" t="s">
        <v>217</v>
      </c>
      <c r="F153" s="14">
        <v>1</v>
      </c>
      <c r="G153" s="14">
        <v>3.6</v>
      </c>
      <c r="H153" s="14">
        <v>0.2</v>
      </c>
      <c r="I153" s="14">
        <v>0.45</v>
      </c>
      <c r="J153" s="11">
        <f t="shared" si="256"/>
        <v>0.32400000000000007</v>
      </c>
      <c r="K153" s="11">
        <f t="shared" si="257"/>
        <v>0.72000000000000008</v>
      </c>
      <c r="L153" s="11">
        <f t="shared" si="258"/>
        <v>3.0375000000000001</v>
      </c>
      <c r="M153" s="190">
        <v>0.15</v>
      </c>
      <c r="N153" s="14">
        <f t="shared" si="273"/>
        <v>0.30000000000000004</v>
      </c>
      <c r="O153" s="14">
        <f t="shared" si="274"/>
        <v>1.0800000000000003</v>
      </c>
      <c r="P153" s="190"/>
      <c r="Q153" s="14">
        <f t="shared" si="259"/>
        <v>0.45</v>
      </c>
      <c r="R153" s="14">
        <f t="shared" si="260"/>
        <v>1.62</v>
      </c>
      <c r="S153" s="14">
        <v>0.45</v>
      </c>
      <c r="T153" s="14"/>
      <c r="U153" s="191">
        <f t="shared" si="261"/>
        <v>0.33750000000000002</v>
      </c>
      <c r="V153" s="14"/>
      <c r="W153" s="14"/>
      <c r="X153" s="14"/>
      <c r="Y153" s="14"/>
      <c r="Z153" s="14"/>
      <c r="AA153" s="14"/>
      <c r="AB153" s="14">
        <f t="shared" si="272"/>
        <v>0</v>
      </c>
      <c r="AC153" s="14"/>
      <c r="AE153" s="11"/>
      <c r="AG153" s="52">
        <f t="shared" si="262"/>
        <v>3.7575000000000003</v>
      </c>
      <c r="AH153" s="52">
        <f t="shared" si="263"/>
        <v>0</v>
      </c>
      <c r="AI153" s="193">
        <f t="shared" si="264"/>
        <v>3.7575000000000003</v>
      </c>
      <c r="AJ153" s="194">
        <f t="shared" si="265"/>
        <v>0</v>
      </c>
      <c r="AK153" s="195">
        <f t="shared" si="266"/>
        <v>0</v>
      </c>
      <c r="AL153" s="196">
        <f t="shared" si="267"/>
        <v>0</v>
      </c>
      <c r="AM153" s="52">
        <f t="shared" si="268"/>
        <v>3.6</v>
      </c>
      <c r="AN153" s="52">
        <f t="shared" si="269"/>
        <v>0</v>
      </c>
      <c r="AO153" s="52">
        <f t="shared" si="270"/>
        <v>0</v>
      </c>
      <c r="AP153" s="52">
        <f t="shared" si="271"/>
        <v>0</v>
      </c>
    </row>
    <row r="154" spans="1:42" ht="20.100000000000001" customHeight="1" x14ac:dyDescent="0.25">
      <c r="A154" s="129"/>
      <c r="B154" s="182" t="s">
        <v>85</v>
      </c>
      <c r="C154" s="183"/>
      <c r="E154" s="189" t="s">
        <v>218</v>
      </c>
      <c r="F154" s="14">
        <v>1</v>
      </c>
      <c r="G154" s="14">
        <v>1.5</v>
      </c>
      <c r="H154" s="14">
        <v>0.2</v>
      </c>
      <c r="I154" s="14">
        <v>0.45</v>
      </c>
      <c r="J154" s="11">
        <f t="shared" si="256"/>
        <v>0.13500000000000004</v>
      </c>
      <c r="K154" s="11">
        <f t="shared" si="257"/>
        <v>0.30000000000000004</v>
      </c>
      <c r="L154" s="11">
        <f t="shared" si="258"/>
        <v>0.97500000000000009</v>
      </c>
      <c r="M154" s="190">
        <v>0.125</v>
      </c>
      <c r="N154" s="14">
        <f t="shared" si="273"/>
        <v>0.32500000000000001</v>
      </c>
      <c r="O154" s="14">
        <f t="shared" si="274"/>
        <v>0.48750000000000004</v>
      </c>
      <c r="P154" s="190">
        <v>0.125</v>
      </c>
      <c r="Q154" s="14">
        <f t="shared" si="259"/>
        <v>0.32500000000000001</v>
      </c>
      <c r="R154" s="14">
        <f t="shared" si="260"/>
        <v>0.48750000000000004</v>
      </c>
      <c r="S154" s="14"/>
      <c r="T154" s="14"/>
      <c r="U154" s="191">
        <f t="shared" si="261"/>
        <v>0</v>
      </c>
      <c r="V154" s="14"/>
      <c r="W154" s="14"/>
      <c r="X154" s="14"/>
      <c r="Y154" s="14"/>
      <c r="Z154" s="14"/>
      <c r="AA154" s="14"/>
      <c r="AB154" s="14">
        <f t="shared" si="272"/>
        <v>0</v>
      </c>
      <c r="AC154" s="14"/>
      <c r="AE154" s="11"/>
      <c r="AG154" s="52">
        <f t="shared" si="262"/>
        <v>1.2750000000000001</v>
      </c>
      <c r="AH154" s="52">
        <f t="shared" si="263"/>
        <v>0</v>
      </c>
      <c r="AI154" s="193">
        <f t="shared" si="264"/>
        <v>0</v>
      </c>
      <c r="AJ154" s="194">
        <f t="shared" si="265"/>
        <v>0</v>
      </c>
      <c r="AK154" s="195">
        <f t="shared" si="266"/>
        <v>1.2750000000000001</v>
      </c>
      <c r="AL154" s="196">
        <f t="shared" si="267"/>
        <v>0</v>
      </c>
      <c r="AM154" s="52">
        <f t="shared" si="268"/>
        <v>0</v>
      </c>
      <c r="AN154" s="52">
        <f t="shared" si="269"/>
        <v>0</v>
      </c>
      <c r="AO154" s="52">
        <f t="shared" si="270"/>
        <v>1.5</v>
      </c>
      <c r="AP154" s="52">
        <f t="shared" si="271"/>
        <v>0</v>
      </c>
    </row>
    <row r="155" spans="1:42" ht="20.100000000000001" customHeight="1" x14ac:dyDescent="0.25">
      <c r="A155" s="129"/>
      <c r="B155" s="182" t="s">
        <v>85</v>
      </c>
      <c r="C155" s="183"/>
      <c r="E155" s="189" t="s">
        <v>219</v>
      </c>
      <c r="F155" s="14">
        <v>0</v>
      </c>
      <c r="G155" s="14"/>
      <c r="H155" s="14"/>
      <c r="I155" s="14"/>
      <c r="J155" s="11">
        <f t="shared" si="256"/>
        <v>0</v>
      </c>
      <c r="K155" s="11">
        <f t="shared" si="257"/>
        <v>0</v>
      </c>
      <c r="L155" s="11">
        <f t="shared" si="258"/>
        <v>0</v>
      </c>
      <c r="M155" s="190"/>
      <c r="N155" s="14">
        <f t="shared" si="273"/>
        <v>0</v>
      </c>
      <c r="O155" s="14">
        <f t="shared" si="274"/>
        <v>0</v>
      </c>
      <c r="P155" s="190"/>
      <c r="Q155" s="14">
        <f t="shared" si="259"/>
        <v>0</v>
      </c>
      <c r="R155" s="14">
        <f t="shared" si="260"/>
        <v>0</v>
      </c>
      <c r="S155" s="14"/>
      <c r="T155" s="14"/>
      <c r="U155" s="191">
        <f t="shared" si="261"/>
        <v>0</v>
      </c>
      <c r="V155" s="14"/>
      <c r="W155" s="14"/>
      <c r="X155" s="14"/>
      <c r="Y155" s="14"/>
      <c r="Z155" s="14"/>
      <c r="AA155" s="14"/>
      <c r="AB155" s="14">
        <f t="shared" si="272"/>
        <v>0</v>
      </c>
      <c r="AC155" s="14"/>
      <c r="AE155" s="11"/>
      <c r="AG155" s="52">
        <f t="shared" si="262"/>
        <v>0</v>
      </c>
      <c r="AH155" s="52">
        <f t="shared" si="263"/>
        <v>0</v>
      </c>
      <c r="AI155" s="193">
        <f t="shared" si="264"/>
        <v>0</v>
      </c>
      <c r="AJ155" s="194">
        <f t="shared" si="265"/>
        <v>0</v>
      </c>
      <c r="AK155" s="195">
        <f t="shared" si="266"/>
        <v>0</v>
      </c>
      <c r="AL155" s="196">
        <f t="shared" si="267"/>
        <v>0</v>
      </c>
      <c r="AM155" s="52">
        <f t="shared" si="268"/>
        <v>0</v>
      </c>
      <c r="AN155" s="52">
        <f t="shared" si="269"/>
        <v>0</v>
      </c>
      <c r="AO155" s="52">
        <f t="shared" si="270"/>
        <v>0</v>
      </c>
      <c r="AP155" s="52">
        <f t="shared" si="271"/>
        <v>0</v>
      </c>
    </row>
    <row r="156" spans="1:42" ht="20.100000000000001" customHeight="1" x14ac:dyDescent="0.25">
      <c r="A156" s="129"/>
      <c r="B156" s="182" t="s">
        <v>85</v>
      </c>
      <c r="C156" s="183"/>
      <c r="E156" s="189" t="s">
        <v>220</v>
      </c>
      <c r="F156" s="14">
        <v>0</v>
      </c>
      <c r="G156" s="14"/>
      <c r="H156" s="14"/>
      <c r="I156" s="14"/>
      <c r="J156" s="11">
        <f t="shared" si="256"/>
        <v>0</v>
      </c>
      <c r="K156" s="11">
        <f t="shared" si="257"/>
        <v>0</v>
      </c>
      <c r="L156" s="11">
        <f t="shared" si="258"/>
        <v>0</v>
      </c>
      <c r="M156" s="190"/>
      <c r="N156" s="14">
        <f t="shared" si="273"/>
        <v>0</v>
      </c>
      <c r="O156" s="14">
        <f t="shared" si="274"/>
        <v>0</v>
      </c>
      <c r="P156" s="190"/>
      <c r="Q156" s="14">
        <f t="shared" si="259"/>
        <v>0</v>
      </c>
      <c r="R156" s="14">
        <f t="shared" si="260"/>
        <v>0</v>
      </c>
      <c r="S156" s="14"/>
      <c r="T156" s="14"/>
      <c r="U156" s="191">
        <f t="shared" si="261"/>
        <v>0</v>
      </c>
      <c r="V156" s="14"/>
      <c r="W156" s="14"/>
      <c r="X156" s="14"/>
      <c r="Y156" s="14"/>
      <c r="Z156" s="14"/>
      <c r="AA156" s="14"/>
      <c r="AB156" s="14">
        <f t="shared" si="272"/>
        <v>0</v>
      </c>
      <c r="AC156" s="14"/>
      <c r="AE156" s="11"/>
      <c r="AG156" s="52">
        <f t="shared" si="262"/>
        <v>0</v>
      </c>
      <c r="AH156" s="52">
        <f t="shared" si="263"/>
        <v>0</v>
      </c>
      <c r="AI156" s="193">
        <f t="shared" si="264"/>
        <v>0</v>
      </c>
      <c r="AJ156" s="194">
        <f t="shared" si="265"/>
        <v>0</v>
      </c>
      <c r="AK156" s="195">
        <f t="shared" si="266"/>
        <v>0</v>
      </c>
      <c r="AL156" s="196">
        <f t="shared" si="267"/>
        <v>0</v>
      </c>
      <c r="AM156" s="52">
        <f t="shared" si="268"/>
        <v>0</v>
      </c>
      <c r="AN156" s="52">
        <f t="shared" si="269"/>
        <v>0</v>
      </c>
      <c r="AO156" s="52">
        <f t="shared" si="270"/>
        <v>0</v>
      </c>
      <c r="AP156" s="52">
        <f t="shared" si="271"/>
        <v>0</v>
      </c>
    </row>
    <row r="157" spans="1:42" ht="20.100000000000001" customHeight="1" x14ac:dyDescent="0.25">
      <c r="A157" s="129"/>
      <c r="B157" s="182" t="s">
        <v>85</v>
      </c>
      <c r="C157" s="183"/>
      <c r="E157" s="189" t="s">
        <v>221</v>
      </c>
      <c r="F157" s="14">
        <v>0</v>
      </c>
      <c r="G157" s="14"/>
      <c r="H157" s="14"/>
      <c r="I157" s="14"/>
      <c r="J157" s="11">
        <f t="shared" si="256"/>
        <v>0</v>
      </c>
      <c r="K157" s="11">
        <f t="shared" si="257"/>
        <v>0</v>
      </c>
      <c r="L157" s="11">
        <f t="shared" si="258"/>
        <v>0</v>
      </c>
      <c r="M157" s="190"/>
      <c r="N157" s="14">
        <f t="shared" si="273"/>
        <v>0</v>
      </c>
      <c r="O157" s="14">
        <f t="shared" si="274"/>
        <v>0</v>
      </c>
      <c r="P157" s="190"/>
      <c r="Q157" s="14">
        <f t="shared" si="259"/>
        <v>0</v>
      </c>
      <c r="R157" s="14">
        <f t="shared" si="260"/>
        <v>0</v>
      </c>
      <c r="S157" s="14"/>
      <c r="T157" s="14"/>
      <c r="U157" s="191">
        <f t="shared" si="261"/>
        <v>0</v>
      </c>
      <c r="V157" s="14"/>
      <c r="W157" s="14"/>
      <c r="X157" s="14"/>
      <c r="Y157" s="14"/>
      <c r="Z157" s="14"/>
      <c r="AA157" s="14"/>
      <c r="AB157" s="14">
        <f t="shared" si="272"/>
        <v>0</v>
      </c>
      <c r="AC157" s="14"/>
      <c r="AE157" s="11"/>
      <c r="AG157" s="52">
        <f t="shared" si="262"/>
        <v>0</v>
      </c>
      <c r="AH157" s="52">
        <f t="shared" si="263"/>
        <v>0</v>
      </c>
      <c r="AI157" s="193">
        <f t="shared" si="264"/>
        <v>0</v>
      </c>
      <c r="AJ157" s="194">
        <f t="shared" si="265"/>
        <v>0</v>
      </c>
      <c r="AK157" s="195">
        <f t="shared" si="266"/>
        <v>0</v>
      </c>
      <c r="AL157" s="196">
        <f t="shared" si="267"/>
        <v>0</v>
      </c>
      <c r="AM157" s="52">
        <f t="shared" si="268"/>
        <v>0</v>
      </c>
      <c r="AN157" s="52">
        <f t="shared" si="269"/>
        <v>0</v>
      </c>
      <c r="AO157" s="52">
        <f t="shared" si="270"/>
        <v>0</v>
      </c>
      <c r="AP157" s="52">
        <f t="shared" si="271"/>
        <v>0</v>
      </c>
    </row>
    <row r="158" spans="1:42" ht="20.100000000000001" customHeight="1" x14ac:dyDescent="0.25">
      <c r="A158" s="129"/>
      <c r="B158" s="182" t="s">
        <v>85</v>
      </c>
      <c r="C158" s="183"/>
      <c r="E158" s="189" t="s">
        <v>222</v>
      </c>
      <c r="F158" s="14">
        <v>1</v>
      </c>
      <c r="G158" s="14">
        <v>3.85</v>
      </c>
      <c r="H158" s="14">
        <v>0.2</v>
      </c>
      <c r="I158" s="14">
        <v>0.45</v>
      </c>
      <c r="J158" s="11">
        <f t="shared" si="256"/>
        <v>0.34650000000000003</v>
      </c>
      <c r="K158" s="11">
        <f t="shared" si="257"/>
        <v>0.77</v>
      </c>
      <c r="L158" s="11">
        <f t="shared" si="258"/>
        <v>2.4125000000000001</v>
      </c>
      <c r="M158" s="190">
        <v>0.125</v>
      </c>
      <c r="N158" s="14">
        <f t="shared" si="273"/>
        <v>0.32500000000000001</v>
      </c>
      <c r="O158" s="14">
        <f t="shared" si="274"/>
        <v>1.25125</v>
      </c>
      <c r="P158" s="190">
        <v>0.125</v>
      </c>
      <c r="Q158" s="14">
        <f t="shared" si="259"/>
        <v>0.32500000000000001</v>
      </c>
      <c r="R158" s="14">
        <f t="shared" si="260"/>
        <v>1.25125</v>
      </c>
      <c r="S158" s="14"/>
      <c r="T158" s="14"/>
      <c r="U158" s="191">
        <f t="shared" si="261"/>
        <v>0</v>
      </c>
      <c r="V158" s="14" t="s">
        <v>248</v>
      </c>
      <c r="W158" s="14"/>
      <c r="X158" s="14"/>
      <c r="Y158" s="14"/>
      <c r="Z158" s="14"/>
      <c r="AA158" s="14"/>
      <c r="AB158" s="14">
        <f t="shared" si="272"/>
        <v>9.0000000000000011E-2</v>
      </c>
      <c r="AC158" s="14"/>
      <c r="AE158" s="11"/>
      <c r="AG158" s="52">
        <f t="shared" si="262"/>
        <v>3.1825000000000001</v>
      </c>
      <c r="AH158" s="52">
        <f t="shared" si="263"/>
        <v>0</v>
      </c>
      <c r="AI158" s="193">
        <f t="shared" si="264"/>
        <v>0</v>
      </c>
      <c r="AJ158" s="194">
        <f t="shared" si="265"/>
        <v>0</v>
      </c>
      <c r="AK158" s="195">
        <f t="shared" si="266"/>
        <v>3.1825000000000001</v>
      </c>
      <c r="AL158" s="196">
        <f t="shared" si="267"/>
        <v>0</v>
      </c>
      <c r="AM158" s="52">
        <f t="shared" si="268"/>
        <v>0</v>
      </c>
      <c r="AN158" s="52">
        <f t="shared" si="269"/>
        <v>0</v>
      </c>
      <c r="AO158" s="52">
        <f t="shared" si="270"/>
        <v>3.85</v>
      </c>
      <c r="AP158" s="52">
        <f t="shared" si="271"/>
        <v>0</v>
      </c>
    </row>
    <row r="159" spans="1:42" ht="20.100000000000001" customHeight="1" x14ac:dyDescent="0.25">
      <c r="A159" s="129"/>
      <c r="B159" s="182" t="s">
        <v>85</v>
      </c>
      <c r="C159" s="183"/>
      <c r="E159" s="189" t="s">
        <v>223</v>
      </c>
      <c r="F159" s="14">
        <v>0</v>
      </c>
      <c r="G159" s="14"/>
      <c r="H159" s="14"/>
      <c r="I159" s="14"/>
      <c r="J159" s="11">
        <f t="shared" si="256"/>
        <v>0</v>
      </c>
      <c r="K159" s="11">
        <f t="shared" si="257"/>
        <v>0</v>
      </c>
      <c r="L159" s="11">
        <f t="shared" si="258"/>
        <v>0</v>
      </c>
      <c r="M159" s="190"/>
      <c r="N159" s="14">
        <f t="shared" si="273"/>
        <v>0</v>
      </c>
      <c r="O159" s="14">
        <f t="shared" si="274"/>
        <v>0</v>
      </c>
      <c r="P159" s="190"/>
      <c r="Q159" s="14">
        <f t="shared" si="259"/>
        <v>0</v>
      </c>
      <c r="R159" s="14">
        <f t="shared" si="260"/>
        <v>0</v>
      </c>
      <c r="S159" s="14"/>
      <c r="T159" s="14"/>
      <c r="U159" s="191">
        <f t="shared" si="261"/>
        <v>0</v>
      </c>
      <c r="V159" s="14"/>
      <c r="W159" s="14"/>
      <c r="X159" s="14"/>
      <c r="Y159" s="14"/>
      <c r="Z159" s="14"/>
      <c r="AA159" s="14"/>
      <c r="AB159" s="14">
        <f t="shared" si="272"/>
        <v>0</v>
      </c>
      <c r="AC159" s="14"/>
      <c r="AE159" s="11"/>
      <c r="AG159" s="52">
        <f t="shared" si="262"/>
        <v>0</v>
      </c>
      <c r="AH159" s="52">
        <f t="shared" si="263"/>
        <v>0</v>
      </c>
      <c r="AI159" s="193">
        <f t="shared" si="264"/>
        <v>0</v>
      </c>
      <c r="AJ159" s="194">
        <f t="shared" si="265"/>
        <v>0</v>
      </c>
      <c r="AK159" s="195">
        <f t="shared" si="266"/>
        <v>0</v>
      </c>
      <c r="AL159" s="196">
        <f t="shared" si="267"/>
        <v>0</v>
      </c>
      <c r="AM159" s="52">
        <f t="shared" si="268"/>
        <v>0</v>
      </c>
      <c r="AN159" s="52">
        <f t="shared" si="269"/>
        <v>0</v>
      </c>
      <c r="AO159" s="52">
        <f t="shared" si="270"/>
        <v>0</v>
      </c>
      <c r="AP159" s="52">
        <f t="shared" si="271"/>
        <v>0</v>
      </c>
    </row>
    <row r="160" spans="1:42" ht="20.100000000000001" customHeight="1" x14ac:dyDescent="0.25">
      <c r="A160" s="129"/>
      <c r="B160" s="182" t="s">
        <v>85</v>
      </c>
      <c r="C160" s="183"/>
      <c r="E160" s="189" t="s">
        <v>224</v>
      </c>
      <c r="F160" s="14">
        <v>1</v>
      </c>
      <c r="G160" s="14">
        <v>1.1000000000000001</v>
      </c>
      <c r="H160" s="14">
        <v>0.15</v>
      </c>
      <c r="I160" s="14">
        <v>0.45</v>
      </c>
      <c r="J160" s="11">
        <f t="shared" si="256"/>
        <v>7.425000000000001E-2</v>
      </c>
      <c r="K160" s="11">
        <f t="shared" si="257"/>
        <v>0.16500000000000001</v>
      </c>
      <c r="L160" s="11">
        <f t="shared" si="258"/>
        <v>0.64750000000000008</v>
      </c>
      <c r="M160" s="190">
        <v>0.125</v>
      </c>
      <c r="N160" s="14">
        <f t="shared" si="273"/>
        <v>0.32500000000000001</v>
      </c>
      <c r="O160" s="14">
        <f t="shared" si="274"/>
        <v>0.35750000000000004</v>
      </c>
      <c r="P160" s="190">
        <v>0.125</v>
      </c>
      <c r="Q160" s="14">
        <f t="shared" si="259"/>
        <v>0.32500000000000001</v>
      </c>
      <c r="R160" s="14">
        <f t="shared" si="260"/>
        <v>0.35750000000000004</v>
      </c>
      <c r="S160" s="14"/>
      <c r="T160" s="14"/>
      <c r="U160" s="191">
        <f t="shared" si="261"/>
        <v>0</v>
      </c>
      <c r="V160" s="14" t="s">
        <v>225</v>
      </c>
      <c r="W160" s="14"/>
      <c r="X160" s="14"/>
      <c r="Y160" s="14"/>
      <c r="Z160" s="14"/>
      <c r="AA160" s="14"/>
      <c r="AB160" s="14">
        <f t="shared" si="272"/>
        <v>6.7500000000000004E-2</v>
      </c>
      <c r="AC160" s="14"/>
      <c r="AE160" s="11"/>
      <c r="AG160" s="52">
        <f t="shared" si="262"/>
        <v>0.81250000000000011</v>
      </c>
      <c r="AH160" s="52">
        <f t="shared" si="263"/>
        <v>0</v>
      </c>
      <c r="AI160" s="193">
        <f t="shared" si="264"/>
        <v>0</v>
      </c>
      <c r="AJ160" s="194">
        <f t="shared" si="265"/>
        <v>0</v>
      </c>
      <c r="AK160" s="195">
        <f t="shared" si="266"/>
        <v>0.81250000000000011</v>
      </c>
      <c r="AL160" s="196">
        <f t="shared" si="267"/>
        <v>0</v>
      </c>
      <c r="AM160" s="52">
        <f t="shared" si="268"/>
        <v>0</v>
      </c>
      <c r="AN160" s="52">
        <f t="shared" si="269"/>
        <v>0</v>
      </c>
      <c r="AO160" s="52">
        <f t="shared" si="270"/>
        <v>1.1000000000000001</v>
      </c>
      <c r="AP160" s="52">
        <f t="shared" si="271"/>
        <v>0</v>
      </c>
    </row>
    <row r="161" spans="1:42" ht="20.100000000000001" customHeight="1" x14ac:dyDescent="0.25">
      <c r="A161" s="129"/>
      <c r="B161" s="182" t="s">
        <v>85</v>
      </c>
      <c r="C161" s="183"/>
      <c r="E161" s="189" t="s">
        <v>225</v>
      </c>
      <c r="F161" s="14">
        <v>1</v>
      </c>
      <c r="G161" s="14">
        <v>0.45</v>
      </c>
      <c r="H161" s="14">
        <v>0.15</v>
      </c>
      <c r="I161" s="14">
        <v>0.45</v>
      </c>
      <c r="J161" s="11">
        <f t="shared" si="256"/>
        <v>3.0375000000000003E-2</v>
      </c>
      <c r="K161" s="11">
        <f t="shared" si="257"/>
        <v>6.7500000000000004E-2</v>
      </c>
      <c r="L161" s="11">
        <f t="shared" si="258"/>
        <v>0.29250000000000004</v>
      </c>
      <c r="M161" s="190">
        <v>0.125</v>
      </c>
      <c r="N161" s="14">
        <f t="shared" si="273"/>
        <v>0.32500000000000001</v>
      </c>
      <c r="O161" s="14">
        <f t="shared" si="274"/>
        <v>0.14625000000000002</v>
      </c>
      <c r="P161" s="190">
        <v>0.125</v>
      </c>
      <c r="Q161" s="14">
        <f t="shared" si="259"/>
        <v>0.32500000000000001</v>
      </c>
      <c r="R161" s="14">
        <f t="shared" si="260"/>
        <v>0.14625000000000002</v>
      </c>
      <c r="S161" s="14"/>
      <c r="T161" s="14"/>
      <c r="U161" s="191">
        <f t="shared" si="261"/>
        <v>0</v>
      </c>
      <c r="V161" s="14"/>
      <c r="W161" s="14"/>
      <c r="X161" s="14"/>
      <c r="Y161" s="14"/>
      <c r="Z161" s="14"/>
      <c r="AA161" s="14"/>
      <c r="AB161" s="14">
        <f t="shared" si="272"/>
        <v>0</v>
      </c>
      <c r="AC161" s="14"/>
      <c r="AE161" s="11"/>
      <c r="AG161" s="52">
        <f t="shared" si="262"/>
        <v>0.36000000000000004</v>
      </c>
      <c r="AH161" s="52">
        <f t="shared" si="263"/>
        <v>0</v>
      </c>
      <c r="AI161" s="193">
        <f t="shared" si="264"/>
        <v>0</v>
      </c>
      <c r="AJ161" s="194">
        <f t="shared" si="265"/>
        <v>0</v>
      </c>
      <c r="AK161" s="195">
        <f t="shared" si="266"/>
        <v>0.36000000000000004</v>
      </c>
      <c r="AL161" s="196">
        <f t="shared" si="267"/>
        <v>0</v>
      </c>
      <c r="AM161" s="52">
        <f t="shared" si="268"/>
        <v>0</v>
      </c>
      <c r="AN161" s="52">
        <f t="shared" si="269"/>
        <v>0</v>
      </c>
      <c r="AO161" s="52">
        <f t="shared" si="270"/>
        <v>0.45</v>
      </c>
      <c r="AP161" s="52">
        <f t="shared" si="271"/>
        <v>0</v>
      </c>
    </row>
    <row r="162" spans="1:42" ht="20.100000000000001" customHeight="1" x14ac:dyDescent="0.25">
      <c r="A162" s="129"/>
      <c r="B162" s="182" t="s">
        <v>85</v>
      </c>
      <c r="C162" s="183"/>
      <c r="E162" s="189" t="s">
        <v>226</v>
      </c>
      <c r="F162" s="14">
        <v>1</v>
      </c>
      <c r="G162" s="14">
        <v>1.5</v>
      </c>
      <c r="H162" s="14">
        <v>0.2</v>
      </c>
      <c r="I162" s="14">
        <v>0.45</v>
      </c>
      <c r="J162" s="11">
        <f t="shared" si="256"/>
        <v>0.13500000000000004</v>
      </c>
      <c r="K162" s="11">
        <f t="shared" si="257"/>
        <v>0.30000000000000004</v>
      </c>
      <c r="L162" s="11">
        <f t="shared" si="258"/>
        <v>1.2675000000000001</v>
      </c>
      <c r="M162" s="190">
        <v>0.125</v>
      </c>
      <c r="N162" s="14">
        <f t="shared" si="273"/>
        <v>0.32500000000000001</v>
      </c>
      <c r="O162" s="14">
        <f t="shared" si="274"/>
        <v>0.48750000000000004</v>
      </c>
      <c r="P162" s="190">
        <v>0.125</v>
      </c>
      <c r="Q162" s="14">
        <f t="shared" si="259"/>
        <v>0.32500000000000001</v>
      </c>
      <c r="R162" s="14">
        <f t="shared" si="260"/>
        <v>0.48750000000000004</v>
      </c>
      <c r="S162" s="14">
        <v>0.45</v>
      </c>
      <c r="T162" s="14"/>
      <c r="U162" s="191">
        <f t="shared" si="261"/>
        <v>0.29250000000000004</v>
      </c>
      <c r="V162" s="14"/>
      <c r="W162" s="14"/>
      <c r="X162" s="14"/>
      <c r="Y162" s="14"/>
      <c r="Z162" s="14"/>
      <c r="AA162" s="14"/>
      <c r="AB162" s="14">
        <f t="shared" si="272"/>
        <v>0</v>
      </c>
      <c r="AC162" s="14"/>
      <c r="AE162" s="11"/>
      <c r="AG162" s="52">
        <f t="shared" si="262"/>
        <v>1.5675000000000001</v>
      </c>
      <c r="AH162" s="52">
        <f t="shared" si="263"/>
        <v>0</v>
      </c>
      <c r="AI162" s="193">
        <f t="shared" si="264"/>
        <v>0</v>
      </c>
      <c r="AJ162" s="194">
        <f t="shared" si="265"/>
        <v>0</v>
      </c>
      <c r="AK162" s="195">
        <f t="shared" si="266"/>
        <v>1.5675000000000001</v>
      </c>
      <c r="AL162" s="196">
        <f t="shared" si="267"/>
        <v>0</v>
      </c>
      <c r="AM162" s="52">
        <f t="shared" si="268"/>
        <v>0</v>
      </c>
      <c r="AN162" s="52">
        <f t="shared" si="269"/>
        <v>0</v>
      </c>
      <c r="AO162" s="52">
        <f t="shared" si="270"/>
        <v>1.5</v>
      </c>
      <c r="AP162" s="52">
        <f t="shared" si="271"/>
        <v>0</v>
      </c>
    </row>
    <row r="163" spans="1:42" ht="20.100000000000001" customHeight="1" x14ac:dyDescent="0.25">
      <c r="A163" s="129"/>
      <c r="B163" s="182" t="s">
        <v>85</v>
      </c>
      <c r="C163" s="183"/>
      <c r="E163" s="189" t="s">
        <v>227</v>
      </c>
      <c r="F163" s="14">
        <v>1</v>
      </c>
      <c r="G163" s="14">
        <v>2.8</v>
      </c>
      <c r="H163" s="14">
        <v>0.2</v>
      </c>
      <c r="I163" s="14">
        <v>0.6</v>
      </c>
      <c r="J163" s="11">
        <f t="shared" si="256"/>
        <v>0.33599999999999997</v>
      </c>
      <c r="K163" s="11">
        <f t="shared" si="257"/>
        <v>0.55999999999999994</v>
      </c>
      <c r="L163" s="11">
        <f t="shared" si="258"/>
        <v>3.0062499999999996</v>
      </c>
      <c r="M163" s="190">
        <v>0.125</v>
      </c>
      <c r="N163" s="14">
        <f t="shared" si="273"/>
        <v>0.47499999999999998</v>
      </c>
      <c r="O163" s="14">
        <f t="shared" si="274"/>
        <v>1.3299999999999998</v>
      </c>
      <c r="P163" s="190">
        <v>0.15</v>
      </c>
      <c r="Q163" s="14">
        <f t="shared" si="259"/>
        <v>0.44999999999999996</v>
      </c>
      <c r="R163" s="14">
        <f t="shared" si="260"/>
        <v>1.2599999999999998</v>
      </c>
      <c r="S163" s="14">
        <v>0.45</v>
      </c>
      <c r="T163" s="14"/>
      <c r="U163" s="191">
        <f t="shared" si="261"/>
        <v>0.41624999999999995</v>
      </c>
      <c r="V163" s="14"/>
      <c r="W163" s="14"/>
      <c r="X163" s="14"/>
      <c r="Y163" s="14"/>
      <c r="Z163" s="14"/>
      <c r="AA163" s="14"/>
      <c r="AB163" s="14">
        <f t="shared" si="272"/>
        <v>0</v>
      </c>
      <c r="AC163" s="14"/>
      <c r="AE163" s="11"/>
      <c r="AG163" s="52">
        <f t="shared" si="262"/>
        <v>3.5662499999999997</v>
      </c>
      <c r="AH163" s="52">
        <f t="shared" si="263"/>
        <v>0</v>
      </c>
      <c r="AI163" s="193">
        <f t="shared" si="264"/>
        <v>0</v>
      </c>
      <c r="AJ163" s="194">
        <f t="shared" si="265"/>
        <v>0</v>
      </c>
      <c r="AK163" s="195">
        <f t="shared" si="266"/>
        <v>3.5662499999999997</v>
      </c>
      <c r="AL163" s="196">
        <f t="shared" si="267"/>
        <v>0</v>
      </c>
      <c r="AM163" s="52">
        <f t="shared" si="268"/>
        <v>0</v>
      </c>
      <c r="AN163" s="52">
        <f t="shared" si="269"/>
        <v>0</v>
      </c>
      <c r="AO163" s="52">
        <f t="shared" si="270"/>
        <v>2.8</v>
      </c>
      <c r="AP163" s="52">
        <f t="shared" si="271"/>
        <v>0</v>
      </c>
    </row>
    <row r="164" spans="1:42" ht="20.100000000000001" customHeight="1" x14ac:dyDescent="0.25">
      <c r="A164" s="129"/>
      <c r="B164" s="182" t="s">
        <v>85</v>
      </c>
      <c r="C164" s="183"/>
      <c r="E164" s="189" t="s">
        <v>228</v>
      </c>
      <c r="F164" s="14">
        <v>1</v>
      </c>
      <c r="G164" s="14">
        <v>3.6</v>
      </c>
      <c r="H164" s="14">
        <v>0.2</v>
      </c>
      <c r="I164" s="14">
        <v>0.55000000000000004</v>
      </c>
      <c r="J164" s="11">
        <f t="shared" si="256"/>
        <v>0.39600000000000007</v>
      </c>
      <c r="K164" s="11">
        <f t="shared" si="257"/>
        <v>0.72000000000000008</v>
      </c>
      <c r="L164" s="11">
        <f t="shared" si="258"/>
        <v>3.4425000000000008</v>
      </c>
      <c r="M164" s="190">
        <v>0.125</v>
      </c>
      <c r="N164" s="14">
        <f t="shared" si="273"/>
        <v>0.42500000000000004</v>
      </c>
      <c r="O164" s="14">
        <f t="shared" si="274"/>
        <v>1.5300000000000002</v>
      </c>
      <c r="P164" s="190">
        <v>0.125</v>
      </c>
      <c r="Q164" s="14">
        <f t="shared" si="259"/>
        <v>0.42500000000000004</v>
      </c>
      <c r="R164" s="14">
        <f t="shared" si="260"/>
        <v>1.5300000000000002</v>
      </c>
      <c r="S164" s="14">
        <v>0.45</v>
      </c>
      <c r="T164" s="14"/>
      <c r="U164" s="191">
        <f t="shared" si="261"/>
        <v>0.38250000000000006</v>
      </c>
      <c r="V164" s="14" t="s">
        <v>270</v>
      </c>
      <c r="W164" s="14"/>
      <c r="X164" s="14"/>
      <c r="Y164" s="14"/>
      <c r="Z164" s="14"/>
      <c r="AA164" s="14"/>
      <c r="AB164" s="14">
        <f t="shared" si="272"/>
        <v>0</v>
      </c>
      <c r="AC164" s="14"/>
      <c r="AE164" s="11"/>
      <c r="AG164" s="52">
        <f t="shared" si="262"/>
        <v>4.1625000000000005</v>
      </c>
      <c r="AH164" s="52">
        <f t="shared" si="263"/>
        <v>0</v>
      </c>
      <c r="AI164" s="193">
        <f t="shared" si="264"/>
        <v>0</v>
      </c>
      <c r="AJ164" s="194">
        <f t="shared" si="265"/>
        <v>0</v>
      </c>
      <c r="AK164" s="195">
        <f t="shared" si="266"/>
        <v>4.1625000000000005</v>
      </c>
      <c r="AL164" s="196">
        <f t="shared" si="267"/>
        <v>0</v>
      </c>
      <c r="AM164" s="52">
        <f t="shared" si="268"/>
        <v>0</v>
      </c>
      <c r="AN164" s="52">
        <f t="shared" si="269"/>
        <v>0</v>
      </c>
      <c r="AO164" s="52">
        <f t="shared" si="270"/>
        <v>3.6</v>
      </c>
      <c r="AP164" s="52">
        <f t="shared" si="271"/>
        <v>0</v>
      </c>
    </row>
    <row r="165" spans="1:42" ht="20.100000000000001" customHeight="1" x14ac:dyDescent="0.25">
      <c r="A165" s="129"/>
      <c r="B165" s="182" t="s">
        <v>85</v>
      </c>
      <c r="C165" s="183"/>
      <c r="E165" s="189" t="s">
        <v>229</v>
      </c>
      <c r="F165" s="14">
        <v>1</v>
      </c>
      <c r="G165" s="14">
        <v>3.6150000000000002</v>
      </c>
      <c r="H165" s="14">
        <v>0.2</v>
      </c>
      <c r="I165" s="14">
        <v>0.55000000000000004</v>
      </c>
      <c r="J165" s="11">
        <f t="shared" si="256"/>
        <v>0.39765000000000006</v>
      </c>
      <c r="K165" s="11">
        <f t="shared" si="257"/>
        <v>0.72300000000000009</v>
      </c>
      <c r="L165" s="11">
        <f t="shared" si="258"/>
        <v>3.3536250000000001</v>
      </c>
      <c r="M165" s="190">
        <v>0.125</v>
      </c>
      <c r="N165" s="14">
        <f t="shared" si="273"/>
        <v>0.42500000000000004</v>
      </c>
      <c r="O165" s="14">
        <f t="shared" si="274"/>
        <v>1.5363750000000003</v>
      </c>
      <c r="P165" s="190">
        <v>0.15</v>
      </c>
      <c r="Q165" s="14">
        <f t="shared" si="259"/>
        <v>0.4</v>
      </c>
      <c r="R165" s="14">
        <f t="shared" si="260"/>
        <v>1.4460000000000002</v>
      </c>
      <c r="S165" s="14">
        <v>0.45</v>
      </c>
      <c r="T165" s="14"/>
      <c r="U165" s="191">
        <f t="shared" si="261"/>
        <v>0.37125000000000002</v>
      </c>
      <c r="V165" s="14"/>
      <c r="W165" s="14"/>
      <c r="X165" s="14"/>
      <c r="Y165" s="14"/>
      <c r="Z165" s="14"/>
      <c r="AA165" s="14"/>
      <c r="AB165" s="14">
        <f t="shared" si="272"/>
        <v>0</v>
      </c>
      <c r="AC165" s="14"/>
      <c r="AE165" s="11"/>
      <c r="AG165" s="52">
        <f t="shared" si="262"/>
        <v>4.0766249999999999</v>
      </c>
      <c r="AH165" s="52">
        <f t="shared" si="263"/>
        <v>0</v>
      </c>
      <c r="AI165" s="193">
        <f t="shared" si="264"/>
        <v>0</v>
      </c>
      <c r="AJ165" s="194">
        <f t="shared" si="265"/>
        <v>0</v>
      </c>
      <c r="AK165" s="195">
        <f t="shared" si="266"/>
        <v>4.0766249999999999</v>
      </c>
      <c r="AL165" s="196">
        <f t="shared" si="267"/>
        <v>0</v>
      </c>
      <c r="AM165" s="52">
        <f t="shared" si="268"/>
        <v>0</v>
      </c>
      <c r="AN165" s="52">
        <f t="shared" si="269"/>
        <v>0</v>
      </c>
      <c r="AO165" s="52">
        <f t="shared" si="270"/>
        <v>3.6150000000000002</v>
      </c>
      <c r="AP165" s="52">
        <f t="shared" si="271"/>
        <v>0</v>
      </c>
    </row>
    <row r="166" spans="1:42" ht="20.100000000000001" customHeight="1" x14ac:dyDescent="0.25">
      <c r="A166" s="129"/>
      <c r="B166" s="182" t="s">
        <v>85</v>
      </c>
      <c r="C166" s="183"/>
      <c r="E166" s="189" t="s">
        <v>230</v>
      </c>
      <c r="F166" s="14">
        <v>1</v>
      </c>
      <c r="G166" s="14">
        <v>1.5</v>
      </c>
      <c r="H166" s="14">
        <v>0.2</v>
      </c>
      <c r="I166" s="14">
        <v>0.55000000000000004</v>
      </c>
      <c r="J166" s="11">
        <f t="shared" si="256"/>
        <v>0.16500000000000004</v>
      </c>
      <c r="K166" s="11">
        <f t="shared" si="257"/>
        <v>0.30000000000000004</v>
      </c>
      <c r="L166" s="11">
        <f t="shared" si="258"/>
        <v>1.2750000000000001</v>
      </c>
      <c r="M166" s="190">
        <v>0.125</v>
      </c>
      <c r="N166" s="14">
        <f t="shared" si="273"/>
        <v>0.42500000000000004</v>
      </c>
      <c r="O166" s="14">
        <f t="shared" si="274"/>
        <v>0.63750000000000007</v>
      </c>
      <c r="P166" s="190">
        <v>0.125</v>
      </c>
      <c r="Q166" s="14">
        <f t="shared" si="259"/>
        <v>0.42500000000000004</v>
      </c>
      <c r="R166" s="14">
        <f t="shared" si="260"/>
        <v>0.63750000000000007</v>
      </c>
      <c r="S166" s="14"/>
      <c r="T166" s="14"/>
      <c r="U166" s="191">
        <f t="shared" si="261"/>
        <v>0</v>
      </c>
      <c r="V166" s="14"/>
      <c r="W166" s="14"/>
      <c r="X166" s="14"/>
      <c r="Y166" s="14"/>
      <c r="Z166" s="14"/>
      <c r="AA166" s="14"/>
      <c r="AB166" s="14">
        <f t="shared" si="272"/>
        <v>0</v>
      </c>
      <c r="AC166" s="14"/>
      <c r="AE166" s="11"/>
      <c r="AG166" s="52">
        <f t="shared" si="262"/>
        <v>1.5750000000000002</v>
      </c>
      <c r="AH166" s="52">
        <f t="shared" si="263"/>
        <v>0</v>
      </c>
      <c r="AI166" s="193">
        <f t="shared" si="264"/>
        <v>0</v>
      </c>
      <c r="AJ166" s="194">
        <f t="shared" si="265"/>
        <v>0</v>
      </c>
      <c r="AK166" s="195">
        <f t="shared" si="266"/>
        <v>1.5750000000000002</v>
      </c>
      <c r="AL166" s="196">
        <f t="shared" si="267"/>
        <v>0</v>
      </c>
      <c r="AM166" s="52">
        <f t="shared" si="268"/>
        <v>0</v>
      </c>
      <c r="AN166" s="52">
        <f t="shared" si="269"/>
        <v>0</v>
      </c>
      <c r="AO166" s="52">
        <f t="shared" si="270"/>
        <v>1.5</v>
      </c>
      <c r="AP166" s="52">
        <f t="shared" si="271"/>
        <v>0</v>
      </c>
    </row>
    <row r="167" spans="1:42" ht="20.100000000000001" customHeight="1" x14ac:dyDescent="0.25">
      <c r="A167" s="129"/>
      <c r="B167" s="182" t="s">
        <v>85</v>
      </c>
      <c r="C167" s="183"/>
      <c r="E167" s="189" t="s">
        <v>231</v>
      </c>
      <c r="F167" s="14">
        <v>1</v>
      </c>
      <c r="G167" s="14">
        <v>6.6639999999999997</v>
      </c>
      <c r="H167" s="14">
        <v>0.2</v>
      </c>
      <c r="I167" s="14">
        <v>0.7</v>
      </c>
      <c r="J167" s="11">
        <f t="shared" si="256"/>
        <v>0.9329599999999999</v>
      </c>
      <c r="K167" s="11">
        <f t="shared" si="257"/>
        <v>1.3328</v>
      </c>
      <c r="L167" s="11">
        <f t="shared" si="258"/>
        <v>9.4640999999999984</v>
      </c>
      <c r="M167" s="190">
        <v>0.125</v>
      </c>
      <c r="N167" s="14">
        <f t="shared" si="273"/>
        <v>0.57499999999999996</v>
      </c>
      <c r="O167" s="14">
        <f t="shared" si="274"/>
        <v>3.8317999999999994</v>
      </c>
      <c r="P167" s="190"/>
      <c r="Q167" s="14">
        <f t="shared" si="259"/>
        <v>0.7</v>
      </c>
      <c r="R167" s="14">
        <f t="shared" si="260"/>
        <v>4.6647999999999996</v>
      </c>
      <c r="S167" s="14">
        <v>0.45</v>
      </c>
      <c r="T167" s="14">
        <v>0.45</v>
      </c>
      <c r="U167" s="191">
        <f t="shared" si="261"/>
        <v>1.1475</v>
      </c>
      <c r="V167" s="14" t="s">
        <v>238</v>
      </c>
      <c r="W167" s="14" t="s">
        <v>246</v>
      </c>
      <c r="X167" s="14"/>
      <c r="Y167" s="14"/>
      <c r="Z167" s="14"/>
      <c r="AA167" s="14"/>
      <c r="AB167" s="14">
        <f t="shared" si="272"/>
        <v>0.18000000000000002</v>
      </c>
      <c r="AC167" s="14"/>
      <c r="AE167" s="11"/>
      <c r="AG167" s="52">
        <f t="shared" si="262"/>
        <v>10.796899999999999</v>
      </c>
      <c r="AH167" s="52">
        <f t="shared" si="263"/>
        <v>0</v>
      </c>
      <c r="AI167" s="193">
        <f t="shared" si="264"/>
        <v>10.796899999999999</v>
      </c>
      <c r="AJ167" s="194">
        <f t="shared" si="265"/>
        <v>0</v>
      </c>
      <c r="AK167" s="195">
        <f t="shared" si="266"/>
        <v>0</v>
      </c>
      <c r="AL167" s="196">
        <f t="shared" si="267"/>
        <v>0</v>
      </c>
      <c r="AM167" s="52">
        <f t="shared" si="268"/>
        <v>6.6639999999999997</v>
      </c>
      <c r="AN167" s="52">
        <f t="shared" si="269"/>
        <v>0</v>
      </c>
      <c r="AO167" s="52">
        <f t="shared" si="270"/>
        <v>0</v>
      </c>
      <c r="AP167" s="52">
        <f t="shared" si="271"/>
        <v>0</v>
      </c>
    </row>
    <row r="168" spans="1:42" ht="20.100000000000001" customHeight="1" x14ac:dyDescent="0.25">
      <c r="A168" s="129"/>
      <c r="B168" s="182" t="s">
        <v>85</v>
      </c>
      <c r="C168" s="183"/>
      <c r="E168" s="189" t="s">
        <v>232</v>
      </c>
      <c r="F168" s="14">
        <v>1</v>
      </c>
      <c r="G168" s="14">
        <v>7.4530000000000003</v>
      </c>
      <c r="H168" s="14">
        <v>0.2</v>
      </c>
      <c r="I168" s="14">
        <v>0.7</v>
      </c>
      <c r="J168" s="11">
        <f t="shared" si="256"/>
        <v>1.04342</v>
      </c>
      <c r="K168" s="11">
        <f t="shared" si="257"/>
        <v>1.4906000000000001</v>
      </c>
      <c r="L168" s="11">
        <f t="shared" si="258"/>
        <v>9.8963250000000009</v>
      </c>
      <c r="M168" s="190">
        <v>0.125</v>
      </c>
      <c r="N168" s="14">
        <f t="shared" si="273"/>
        <v>0.57499999999999996</v>
      </c>
      <c r="O168" s="14">
        <f t="shared" si="274"/>
        <v>4.2854749999999999</v>
      </c>
      <c r="P168" s="190"/>
      <c r="Q168" s="14">
        <f t="shared" si="259"/>
        <v>0.7</v>
      </c>
      <c r="R168" s="14">
        <f t="shared" si="260"/>
        <v>5.2171000000000003</v>
      </c>
      <c r="S168" s="14">
        <v>0.45</v>
      </c>
      <c r="T168" s="14"/>
      <c r="U168" s="191">
        <f t="shared" si="261"/>
        <v>0.57374999999999998</v>
      </c>
      <c r="V168" s="14" t="s">
        <v>254</v>
      </c>
      <c r="W168" s="14" t="s">
        <v>258</v>
      </c>
      <c r="X168" s="14"/>
      <c r="Y168" s="14"/>
      <c r="Z168" s="14"/>
      <c r="AA168" s="14"/>
      <c r="AB168" s="14">
        <f t="shared" si="272"/>
        <v>0.18000000000000002</v>
      </c>
      <c r="AC168" s="14"/>
      <c r="AE168" s="11"/>
      <c r="AG168" s="52">
        <f t="shared" si="262"/>
        <v>11.386925000000002</v>
      </c>
      <c r="AH168" s="52">
        <f t="shared" si="263"/>
        <v>0</v>
      </c>
      <c r="AI168" s="193">
        <f t="shared" si="264"/>
        <v>11.386925000000002</v>
      </c>
      <c r="AJ168" s="194">
        <f t="shared" si="265"/>
        <v>0</v>
      </c>
      <c r="AK168" s="195">
        <f t="shared" si="266"/>
        <v>0</v>
      </c>
      <c r="AL168" s="196">
        <f t="shared" si="267"/>
        <v>0</v>
      </c>
      <c r="AM168" s="52">
        <f t="shared" si="268"/>
        <v>7.4530000000000003</v>
      </c>
      <c r="AN168" s="52">
        <f t="shared" si="269"/>
        <v>0</v>
      </c>
      <c r="AO168" s="52">
        <f t="shared" si="270"/>
        <v>0</v>
      </c>
      <c r="AP168" s="52">
        <f t="shared" si="271"/>
        <v>0</v>
      </c>
    </row>
    <row r="169" spans="1:42" ht="20.100000000000001" customHeight="1" x14ac:dyDescent="0.25">
      <c r="A169" s="129"/>
      <c r="B169" s="182" t="s">
        <v>85</v>
      </c>
      <c r="C169" s="183"/>
      <c r="E169" s="189" t="s">
        <v>233</v>
      </c>
      <c r="F169" s="14">
        <v>0</v>
      </c>
      <c r="G169" s="14"/>
      <c r="H169" s="14"/>
      <c r="I169" s="14"/>
      <c r="J169" s="11">
        <f t="shared" si="256"/>
        <v>0</v>
      </c>
      <c r="K169" s="11">
        <f t="shared" si="257"/>
        <v>0</v>
      </c>
      <c r="L169" s="11">
        <f t="shared" si="258"/>
        <v>0</v>
      </c>
      <c r="M169" s="190"/>
      <c r="N169" s="14">
        <f t="shared" si="273"/>
        <v>0</v>
      </c>
      <c r="O169" s="14">
        <f t="shared" si="274"/>
        <v>0</v>
      </c>
      <c r="P169" s="190"/>
      <c r="Q169" s="14">
        <f t="shared" si="259"/>
        <v>0</v>
      </c>
      <c r="R169" s="14">
        <f t="shared" si="260"/>
        <v>0</v>
      </c>
      <c r="S169" s="14"/>
      <c r="T169" s="14"/>
      <c r="U169" s="191">
        <f t="shared" si="261"/>
        <v>0</v>
      </c>
      <c r="V169" s="14"/>
      <c r="W169" s="14"/>
      <c r="X169" s="14"/>
      <c r="Y169" s="14"/>
      <c r="Z169" s="14"/>
      <c r="AA169" s="14"/>
      <c r="AB169" s="14">
        <f t="shared" si="272"/>
        <v>0</v>
      </c>
      <c r="AC169" s="14"/>
      <c r="AE169" s="11"/>
      <c r="AG169" s="52">
        <f t="shared" si="262"/>
        <v>0</v>
      </c>
      <c r="AH169" s="52">
        <f t="shared" si="263"/>
        <v>0</v>
      </c>
      <c r="AI169" s="193">
        <f t="shared" si="264"/>
        <v>0</v>
      </c>
      <c r="AJ169" s="194">
        <f t="shared" si="265"/>
        <v>0</v>
      </c>
      <c r="AK169" s="195">
        <f t="shared" si="266"/>
        <v>0</v>
      </c>
      <c r="AL169" s="196">
        <f t="shared" si="267"/>
        <v>0</v>
      </c>
      <c r="AM169" s="52">
        <f t="shared" si="268"/>
        <v>0</v>
      </c>
      <c r="AN169" s="52">
        <f t="shared" si="269"/>
        <v>0</v>
      </c>
      <c r="AO169" s="52">
        <f t="shared" si="270"/>
        <v>0</v>
      </c>
      <c r="AP169" s="52">
        <f t="shared" si="271"/>
        <v>0</v>
      </c>
    </row>
    <row r="170" spans="1:42" ht="20.100000000000001" customHeight="1" x14ac:dyDescent="0.25">
      <c r="A170" s="129"/>
      <c r="B170" s="182" t="s">
        <v>85</v>
      </c>
      <c r="C170" s="183"/>
      <c r="E170" s="189" t="s">
        <v>234</v>
      </c>
      <c r="F170" s="14">
        <v>1</v>
      </c>
      <c r="G170" s="14">
        <v>4.3620000000000001</v>
      </c>
      <c r="H170" s="14">
        <v>0.2</v>
      </c>
      <c r="I170" s="14">
        <v>0.7</v>
      </c>
      <c r="J170" s="11">
        <f t="shared" si="256"/>
        <v>0.61068</v>
      </c>
      <c r="K170" s="11">
        <f t="shared" si="257"/>
        <v>0.87240000000000006</v>
      </c>
      <c r="L170" s="11">
        <f t="shared" si="258"/>
        <v>6.0452999999999992</v>
      </c>
      <c r="M170" s="190">
        <v>0.125</v>
      </c>
      <c r="N170" s="14">
        <f t="shared" si="273"/>
        <v>0.57499999999999996</v>
      </c>
      <c r="O170" s="14">
        <f t="shared" si="274"/>
        <v>2.5081499999999997</v>
      </c>
      <c r="P170" s="190"/>
      <c r="Q170" s="14">
        <f t="shared" si="259"/>
        <v>0.7</v>
      </c>
      <c r="R170" s="14">
        <f t="shared" si="260"/>
        <v>3.0533999999999999</v>
      </c>
      <c r="S170" s="14">
        <v>0.45</v>
      </c>
      <c r="T170" s="14"/>
      <c r="U170" s="191">
        <f t="shared" si="261"/>
        <v>0.57374999999999998</v>
      </c>
      <c r="V170" s="14" t="s">
        <v>226</v>
      </c>
      <c r="W170" s="14"/>
      <c r="X170" s="14"/>
      <c r="Y170" s="14"/>
      <c r="Z170" s="14"/>
      <c r="AA170" s="14"/>
      <c r="AB170" s="14">
        <f t="shared" si="272"/>
        <v>9.0000000000000011E-2</v>
      </c>
      <c r="AC170" s="14"/>
      <c r="AE170" s="11"/>
      <c r="AG170" s="52">
        <f t="shared" si="262"/>
        <v>6.9176999999999991</v>
      </c>
      <c r="AH170" s="52">
        <f t="shared" si="263"/>
        <v>0</v>
      </c>
      <c r="AI170" s="193">
        <f t="shared" si="264"/>
        <v>6.9176999999999991</v>
      </c>
      <c r="AJ170" s="194">
        <f t="shared" si="265"/>
        <v>0</v>
      </c>
      <c r="AK170" s="195">
        <f t="shared" si="266"/>
        <v>0</v>
      </c>
      <c r="AL170" s="196">
        <f t="shared" si="267"/>
        <v>0</v>
      </c>
      <c r="AM170" s="52">
        <f t="shared" si="268"/>
        <v>4.3620000000000001</v>
      </c>
      <c r="AN170" s="52">
        <f t="shared" si="269"/>
        <v>0</v>
      </c>
      <c r="AO170" s="52">
        <f t="shared" si="270"/>
        <v>0</v>
      </c>
      <c r="AP170" s="52">
        <f t="shared" si="271"/>
        <v>0</v>
      </c>
    </row>
    <row r="171" spans="1:42" ht="20.100000000000001" customHeight="1" x14ac:dyDescent="0.25">
      <c r="A171" s="129"/>
      <c r="B171" s="182" t="s">
        <v>85</v>
      </c>
      <c r="C171" s="183"/>
      <c r="E171" s="189" t="s">
        <v>235</v>
      </c>
      <c r="F171" s="14">
        <v>1</v>
      </c>
      <c r="G171" s="14">
        <v>9.0280000000000005</v>
      </c>
      <c r="H171" s="14">
        <v>0.2</v>
      </c>
      <c r="I171" s="14">
        <v>0.7</v>
      </c>
      <c r="J171" s="11">
        <f t="shared" si="256"/>
        <v>1.2639199999999999</v>
      </c>
      <c r="K171" s="11">
        <f t="shared" si="257"/>
        <v>1.8056000000000001</v>
      </c>
      <c r="L171" s="11">
        <f t="shared" si="258"/>
        <v>11.904450000000001</v>
      </c>
      <c r="M171" s="190">
        <v>0.125</v>
      </c>
      <c r="N171" s="14">
        <f t="shared" si="273"/>
        <v>0.57499999999999996</v>
      </c>
      <c r="O171" s="14">
        <f t="shared" si="274"/>
        <v>5.1910999999999996</v>
      </c>
      <c r="P171" s="190"/>
      <c r="Q171" s="14">
        <f t="shared" si="259"/>
        <v>0.7</v>
      </c>
      <c r="R171" s="14">
        <f t="shared" si="260"/>
        <v>6.3196000000000003</v>
      </c>
      <c r="S171" s="14">
        <v>0.45</v>
      </c>
      <c r="T171" s="14"/>
      <c r="U171" s="191">
        <f t="shared" si="261"/>
        <v>0.57374999999999998</v>
      </c>
      <c r="V171" s="14" t="s">
        <v>204</v>
      </c>
      <c r="W171" s="14" t="s">
        <v>214</v>
      </c>
      <c r="X171" s="14"/>
      <c r="Y171" s="14"/>
      <c r="Z171" s="14"/>
      <c r="AA171" s="14"/>
      <c r="AB171" s="14">
        <f t="shared" si="272"/>
        <v>0.18000000000000002</v>
      </c>
      <c r="AC171" s="14"/>
      <c r="AE171" s="11"/>
      <c r="AG171" s="52">
        <f t="shared" si="262"/>
        <v>13.710050000000001</v>
      </c>
      <c r="AH171" s="52">
        <f t="shared" si="263"/>
        <v>0</v>
      </c>
      <c r="AI171" s="193">
        <f t="shared" si="264"/>
        <v>13.710050000000001</v>
      </c>
      <c r="AJ171" s="194">
        <f t="shared" si="265"/>
        <v>0</v>
      </c>
      <c r="AK171" s="195">
        <f t="shared" si="266"/>
        <v>0</v>
      </c>
      <c r="AL171" s="196">
        <f t="shared" si="267"/>
        <v>0</v>
      </c>
      <c r="AM171" s="52">
        <f t="shared" si="268"/>
        <v>9.0280000000000005</v>
      </c>
      <c r="AN171" s="52">
        <f t="shared" si="269"/>
        <v>0</v>
      </c>
      <c r="AO171" s="52">
        <f t="shared" si="270"/>
        <v>0</v>
      </c>
      <c r="AP171" s="52">
        <f t="shared" si="271"/>
        <v>0</v>
      </c>
    </row>
    <row r="172" spans="1:42" ht="20.100000000000001" customHeight="1" x14ac:dyDescent="0.25">
      <c r="A172" s="129"/>
      <c r="B172" s="182" t="s">
        <v>85</v>
      </c>
      <c r="C172" s="183"/>
      <c r="E172" s="189" t="s">
        <v>236</v>
      </c>
      <c r="F172" s="14">
        <v>1</v>
      </c>
      <c r="G172" s="14">
        <v>5.25</v>
      </c>
      <c r="H172" s="14">
        <v>0.2</v>
      </c>
      <c r="I172" s="14">
        <v>0.7</v>
      </c>
      <c r="J172" s="11">
        <f t="shared" si="256"/>
        <v>0.73499999999999999</v>
      </c>
      <c r="K172" s="11">
        <f t="shared" si="257"/>
        <v>1.05</v>
      </c>
      <c r="L172" s="11">
        <f t="shared" si="258"/>
        <v>6.6037499999999998</v>
      </c>
      <c r="M172" s="190">
        <v>0.125</v>
      </c>
      <c r="N172" s="14">
        <f t="shared" si="273"/>
        <v>0.57499999999999996</v>
      </c>
      <c r="O172" s="14">
        <f t="shared" si="274"/>
        <v>3.0187499999999998</v>
      </c>
      <c r="P172" s="190"/>
      <c r="Q172" s="14">
        <f t="shared" si="259"/>
        <v>0.7</v>
      </c>
      <c r="R172" s="14">
        <f t="shared" si="260"/>
        <v>3.6749999999999998</v>
      </c>
      <c r="S172" s="14"/>
      <c r="T172" s="14"/>
      <c r="U172" s="191">
        <f t="shared" si="261"/>
        <v>0</v>
      </c>
      <c r="V172" s="14" t="s">
        <v>184</v>
      </c>
      <c r="W172" s="14"/>
      <c r="X172" s="14"/>
      <c r="Y172" s="14"/>
      <c r="Z172" s="14"/>
      <c r="AA172" s="14"/>
      <c r="AB172" s="14">
        <f t="shared" si="272"/>
        <v>9.0000000000000011E-2</v>
      </c>
      <c r="AC172" s="14"/>
      <c r="AE172" s="11"/>
      <c r="AG172" s="52">
        <f t="shared" si="262"/>
        <v>7.6537499999999996</v>
      </c>
      <c r="AH172" s="52">
        <f t="shared" si="263"/>
        <v>0</v>
      </c>
      <c r="AI172" s="193">
        <f t="shared" si="264"/>
        <v>7.6537499999999996</v>
      </c>
      <c r="AJ172" s="194">
        <f t="shared" si="265"/>
        <v>0</v>
      </c>
      <c r="AK172" s="195">
        <f t="shared" si="266"/>
        <v>0</v>
      </c>
      <c r="AL172" s="196">
        <f t="shared" si="267"/>
        <v>0</v>
      </c>
      <c r="AM172" s="52">
        <f t="shared" si="268"/>
        <v>5.25</v>
      </c>
      <c r="AN172" s="52">
        <f t="shared" si="269"/>
        <v>0</v>
      </c>
      <c r="AO172" s="52">
        <f t="shared" si="270"/>
        <v>0</v>
      </c>
      <c r="AP172" s="52">
        <f t="shared" si="271"/>
        <v>0</v>
      </c>
    </row>
    <row r="173" spans="1:42" ht="20.100000000000001" customHeight="1" x14ac:dyDescent="0.25">
      <c r="A173" s="129"/>
      <c r="B173" s="182" t="s">
        <v>85</v>
      </c>
      <c r="C173" s="183"/>
      <c r="E173" s="189" t="s">
        <v>237</v>
      </c>
      <c r="F173" s="14">
        <v>1</v>
      </c>
      <c r="G173" s="14">
        <v>4</v>
      </c>
      <c r="H173" s="14">
        <v>0.2</v>
      </c>
      <c r="I173" s="14">
        <v>0.6</v>
      </c>
      <c r="J173" s="11">
        <f t="shared" si="256"/>
        <v>0.48</v>
      </c>
      <c r="K173" s="11">
        <f t="shared" si="257"/>
        <v>0.8</v>
      </c>
      <c r="L173" s="11">
        <f t="shared" si="258"/>
        <v>3.8</v>
      </c>
      <c r="M173" s="190">
        <v>0.125</v>
      </c>
      <c r="N173" s="14">
        <f t="shared" si="273"/>
        <v>0.47499999999999998</v>
      </c>
      <c r="O173" s="14">
        <f t="shared" si="274"/>
        <v>1.9</v>
      </c>
      <c r="P173" s="190">
        <v>0.125</v>
      </c>
      <c r="Q173" s="14">
        <f t="shared" si="259"/>
        <v>0.47499999999999998</v>
      </c>
      <c r="R173" s="14">
        <f t="shared" si="260"/>
        <v>1.9</v>
      </c>
      <c r="S173" s="14"/>
      <c r="T173" s="14"/>
      <c r="U173" s="191">
        <f t="shared" si="261"/>
        <v>0</v>
      </c>
      <c r="V173" s="14" t="s">
        <v>220</v>
      </c>
      <c r="W173" s="14" t="s">
        <v>219</v>
      </c>
      <c r="X173" s="14"/>
      <c r="Y173" s="14"/>
      <c r="Z173" s="14"/>
      <c r="AA173" s="14"/>
      <c r="AB173" s="14">
        <f t="shared" si="272"/>
        <v>0</v>
      </c>
      <c r="AC173" s="14"/>
      <c r="AE173" s="11"/>
      <c r="AG173" s="52">
        <f t="shared" si="262"/>
        <v>4.5999999999999996</v>
      </c>
      <c r="AH173" s="52">
        <f t="shared" si="263"/>
        <v>0</v>
      </c>
      <c r="AI173" s="193">
        <f t="shared" si="264"/>
        <v>0</v>
      </c>
      <c r="AJ173" s="194">
        <f t="shared" si="265"/>
        <v>0</v>
      </c>
      <c r="AK173" s="195">
        <f t="shared" si="266"/>
        <v>4.5999999999999996</v>
      </c>
      <c r="AL173" s="196">
        <f t="shared" si="267"/>
        <v>0</v>
      </c>
      <c r="AM173" s="52">
        <f t="shared" si="268"/>
        <v>0</v>
      </c>
      <c r="AN173" s="52">
        <f t="shared" si="269"/>
        <v>0</v>
      </c>
      <c r="AO173" s="52">
        <f t="shared" si="270"/>
        <v>4</v>
      </c>
      <c r="AP173" s="52">
        <f t="shared" si="271"/>
        <v>0</v>
      </c>
    </row>
    <row r="174" spans="1:42" ht="20.100000000000001" customHeight="1" x14ac:dyDescent="0.25">
      <c r="A174" s="129"/>
      <c r="B174" s="182" t="s">
        <v>85</v>
      </c>
      <c r="C174" s="183"/>
      <c r="E174" s="189" t="s">
        <v>238</v>
      </c>
      <c r="F174" s="14">
        <v>1</v>
      </c>
      <c r="G174" s="14">
        <v>1.5</v>
      </c>
      <c r="H174" s="14">
        <v>0.2</v>
      </c>
      <c r="I174" s="14">
        <v>0.45</v>
      </c>
      <c r="J174" s="11">
        <f t="shared" si="256"/>
        <v>0.13500000000000004</v>
      </c>
      <c r="K174" s="11">
        <f t="shared" si="257"/>
        <v>0.30000000000000004</v>
      </c>
      <c r="L174" s="11">
        <f t="shared" si="258"/>
        <v>0.97500000000000009</v>
      </c>
      <c r="M174" s="190">
        <v>0.125</v>
      </c>
      <c r="N174" s="14">
        <f t="shared" si="273"/>
        <v>0.32500000000000001</v>
      </c>
      <c r="O174" s="14">
        <f t="shared" si="274"/>
        <v>0.48750000000000004</v>
      </c>
      <c r="P174" s="190">
        <v>0.125</v>
      </c>
      <c r="Q174" s="14">
        <f t="shared" si="259"/>
        <v>0.32500000000000001</v>
      </c>
      <c r="R174" s="14">
        <f t="shared" si="260"/>
        <v>0.48750000000000004</v>
      </c>
      <c r="S174" s="14"/>
      <c r="T174" s="14"/>
      <c r="U174" s="191">
        <f t="shared" si="261"/>
        <v>0</v>
      </c>
      <c r="V174" s="14"/>
      <c r="W174" s="14"/>
      <c r="X174" s="14"/>
      <c r="Y174" s="14"/>
      <c r="Z174" s="14"/>
      <c r="AA174" s="14"/>
      <c r="AB174" s="14">
        <f t="shared" si="272"/>
        <v>0</v>
      </c>
      <c r="AC174" s="14"/>
      <c r="AE174" s="11"/>
      <c r="AG174" s="52">
        <f t="shared" si="262"/>
        <v>1.2750000000000001</v>
      </c>
      <c r="AH174" s="52">
        <f t="shared" si="263"/>
        <v>0</v>
      </c>
      <c r="AI174" s="193">
        <f t="shared" si="264"/>
        <v>0</v>
      </c>
      <c r="AJ174" s="194">
        <f t="shared" si="265"/>
        <v>0</v>
      </c>
      <c r="AK174" s="195">
        <f t="shared" si="266"/>
        <v>1.2750000000000001</v>
      </c>
      <c r="AL174" s="196">
        <f t="shared" si="267"/>
        <v>0</v>
      </c>
      <c r="AM174" s="52">
        <f t="shared" si="268"/>
        <v>0</v>
      </c>
      <c r="AN174" s="52">
        <f t="shared" si="269"/>
        <v>0</v>
      </c>
      <c r="AO174" s="52">
        <f t="shared" si="270"/>
        <v>1.5</v>
      </c>
      <c r="AP174" s="52">
        <f t="shared" si="271"/>
        <v>0</v>
      </c>
    </row>
    <row r="175" spans="1:42" ht="20.100000000000001" customHeight="1" x14ac:dyDescent="0.25">
      <c r="A175" s="129"/>
      <c r="B175" s="182" t="s">
        <v>85</v>
      </c>
      <c r="C175" s="183"/>
      <c r="E175" s="189" t="s">
        <v>239</v>
      </c>
      <c r="F175" s="14">
        <v>1</v>
      </c>
      <c r="G175" s="14">
        <v>3.75</v>
      </c>
      <c r="H175" s="14">
        <v>0.2</v>
      </c>
      <c r="I175" s="14">
        <v>0.6</v>
      </c>
      <c r="J175" s="11">
        <f t="shared" si="256"/>
        <v>0.44999999999999996</v>
      </c>
      <c r="K175" s="11">
        <f t="shared" si="257"/>
        <v>0.75</v>
      </c>
      <c r="L175" s="11">
        <f t="shared" si="258"/>
        <v>3.8849999999999998</v>
      </c>
      <c r="M175" s="190">
        <v>0.15</v>
      </c>
      <c r="N175" s="14">
        <f t="shared" si="273"/>
        <v>0.44999999999999996</v>
      </c>
      <c r="O175" s="14">
        <f t="shared" si="274"/>
        <v>1.6874999999999998</v>
      </c>
      <c r="P175" s="190">
        <v>0.125</v>
      </c>
      <c r="Q175" s="14">
        <f t="shared" si="259"/>
        <v>0.47499999999999998</v>
      </c>
      <c r="R175" s="14">
        <f t="shared" si="260"/>
        <v>1.78125</v>
      </c>
      <c r="S175" s="14">
        <v>0.45</v>
      </c>
      <c r="T175" s="14"/>
      <c r="U175" s="191">
        <f t="shared" si="261"/>
        <v>0.41624999999999995</v>
      </c>
      <c r="V175" s="14"/>
      <c r="W175" s="14"/>
      <c r="X175" s="14"/>
      <c r="Y175" s="14"/>
      <c r="Z175" s="14"/>
      <c r="AA175" s="14"/>
      <c r="AB175" s="14">
        <f t="shared" si="272"/>
        <v>0</v>
      </c>
      <c r="AC175" s="14"/>
      <c r="AE175" s="11"/>
      <c r="AG175" s="52">
        <f t="shared" si="262"/>
        <v>4.6349999999999998</v>
      </c>
      <c r="AH175" s="52">
        <f t="shared" si="263"/>
        <v>0</v>
      </c>
      <c r="AI175" s="193">
        <f t="shared" si="264"/>
        <v>0</v>
      </c>
      <c r="AJ175" s="194">
        <f t="shared" si="265"/>
        <v>0</v>
      </c>
      <c r="AK175" s="195">
        <f t="shared" si="266"/>
        <v>4.6349999999999998</v>
      </c>
      <c r="AL175" s="196">
        <f t="shared" si="267"/>
        <v>0</v>
      </c>
      <c r="AM175" s="52">
        <f t="shared" si="268"/>
        <v>0</v>
      </c>
      <c r="AN175" s="52">
        <f t="shared" si="269"/>
        <v>0</v>
      </c>
      <c r="AO175" s="52">
        <f t="shared" si="270"/>
        <v>3.75</v>
      </c>
      <c r="AP175" s="52">
        <f t="shared" si="271"/>
        <v>0</v>
      </c>
    </row>
    <row r="176" spans="1:42" ht="20.100000000000001" customHeight="1" x14ac:dyDescent="0.25">
      <c r="A176" s="129"/>
      <c r="B176" s="182" t="s">
        <v>85</v>
      </c>
      <c r="C176" s="183"/>
      <c r="E176" s="189" t="s">
        <v>240</v>
      </c>
      <c r="F176" s="14">
        <v>1</v>
      </c>
      <c r="G176" s="14">
        <v>3.34</v>
      </c>
      <c r="H176" s="14">
        <v>0.2</v>
      </c>
      <c r="I176" s="14">
        <v>0.6</v>
      </c>
      <c r="J176" s="11">
        <f t="shared" si="256"/>
        <v>0.40079999999999999</v>
      </c>
      <c r="K176" s="11">
        <f t="shared" si="257"/>
        <v>0.66800000000000004</v>
      </c>
      <c r="L176" s="11">
        <f t="shared" si="258"/>
        <v>3.6907499999999995</v>
      </c>
      <c r="M176" s="190">
        <v>0.15</v>
      </c>
      <c r="N176" s="14">
        <f t="shared" si="273"/>
        <v>0.44999999999999996</v>
      </c>
      <c r="O176" s="14">
        <f t="shared" si="274"/>
        <v>1.5029999999999999</v>
      </c>
      <c r="P176" s="190">
        <v>0.125</v>
      </c>
      <c r="Q176" s="14">
        <f t="shared" si="259"/>
        <v>0.47499999999999998</v>
      </c>
      <c r="R176" s="14">
        <f t="shared" si="260"/>
        <v>1.5864999999999998</v>
      </c>
      <c r="S176" s="14">
        <v>0.65</v>
      </c>
      <c r="T176" s="14"/>
      <c r="U176" s="191">
        <f t="shared" si="261"/>
        <v>0.60124999999999995</v>
      </c>
      <c r="V176" s="14"/>
      <c r="W176" s="14"/>
      <c r="X176" s="14"/>
      <c r="Y176" s="14"/>
      <c r="Z176" s="14"/>
      <c r="AA176" s="14"/>
      <c r="AB176" s="14">
        <f t="shared" si="272"/>
        <v>0</v>
      </c>
      <c r="AC176" s="14"/>
      <c r="AE176" s="11"/>
      <c r="AG176" s="52">
        <f t="shared" si="262"/>
        <v>4.3587499999999997</v>
      </c>
      <c r="AH176" s="52">
        <f t="shared" si="263"/>
        <v>0</v>
      </c>
      <c r="AI176" s="193">
        <f t="shared" si="264"/>
        <v>0</v>
      </c>
      <c r="AJ176" s="194">
        <f t="shared" si="265"/>
        <v>0</v>
      </c>
      <c r="AK176" s="195">
        <f t="shared" si="266"/>
        <v>4.3587499999999997</v>
      </c>
      <c r="AL176" s="196">
        <f t="shared" si="267"/>
        <v>0</v>
      </c>
      <c r="AM176" s="52">
        <f t="shared" si="268"/>
        <v>0</v>
      </c>
      <c r="AN176" s="52">
        <f t="shared" si="269"/>
        <v>0</v>
      </c>
      <c r="AO176" s="52">
        <f t="shared" si="270"/>
        <v>3.34</v>
      </c>
      <c r="AP176" s="52">
        <f t="shared" si="271"/>
        <v>0</v>
      </c>
    </row>
    <row r="177" spans="1:42" ht="20.100000000000001" customHeight="1" x14ac:dyDescent="0.25">
      <c r="A177" s="129"/>
      <c r="B177" s="182" t="s">
        <v>85</v>
      </c>
      <c r="C177" s="183"/>
      <c r="E177" s="189" t="s">
        <v>241</v>
      </c>
      <c r="F177" s="14">
        <v>1</v>
      </c>
      <c r="G177" s="14">
        <v>3.55</v>
      </c>
      <c r="H177" s="14">
        <v>0.2</v>
      </c>
      <c r="I177" s="14">
        <v>0.6</v>
      </c>
      <c r="J177" s="11">
        <f t="shared" si="256"/>
        <v>0.42599999999999999</v>
      </c>
      <c r="K177" s="11">
        <f t="shared" si="257"/>
        <v>0.71</v>
      </c>
      <c r="L177" s="11">
        <f t="shared" si="258"/>
        <v>3.2837499999999995</v>
      </c>
      <c r="M177" s="190">
        <v>0.15</v>
      </c>
      <c r="N177" s="14">
        <f t="shared" si="273"/>
        <v>0.44999999999999996</v>
      </c>
      <c r="O177" s="14">
        <f t="shared" si="274"/>
        <v>1.5974999999999997</v>
      </c>
      <c r="P177" s="190">
        <v>0.125</v>
      </c>
      <c r="Q177" s="14">
        <f t="shared" si="259"/>
        <v>0.47499999999999998</v>
      </c>
      <c r="R177" s="14">
        <f t="shared" si="260"/>
        <v>1.6862499999999998</v>
      </c>
      <c r="S177" s="14"/>
      <c r="T177" s="14"/>
      <c r="U177" s="191">
        <f t="shared" si="261"/>
        <v>0</v>
      </c>
      <c r="V177" s="14"/>
      <c r="W177" s="14"/>
      <c r="X177" s="14"/>
      <c r="Y177" s="14"/>
      <c r="Z177" s="14"/>
      <c r="AA177" s="14"/>
      <c r="AB177" s="14">
        <f t="shared" si="272"/>
        <v>0</v>
      </c>
      <c r="AC177" s="14"/>
      <c r="AE177" s="11"/>
      <c r="AG177" s="52">
        <f t="shared" si="262"/>
        <v>3.9937499999999995</v>
      </c>
      <c r="AH177" s="52">
        <f t="shared" si="263"/>
        <v>0</v>
      </c>
      <c r="AI177" s="193">
        <f t="shared" si="264"/>
        <v>0</v>
      </c>
      <c r="AJ177" s="194">
        <f t="shared" si="265"/>
        <v>0</v>
      </c>
      <c r="AK177" s="195">
        <f t="shared" si="266"/>
        <v>3.9937499999999995</v>
      </c>
      <c r="AL177" s="196">
        <f t="shared" si="267"/>
        <v>0</v>
      </c>
      <c r="AM177" s="52">
        <f t="shared" si="268"/>
        <v>0</v>
      </c>
      <c r="AN177" s="52">
        <f t="shared" si="269"/>
        <v>0</v>
      </c>
      <c r="AO177" s="52">
        <f t="shared" si="270"/>
        <v>3.55</v>
      </c>
      <c r="AP177" s="52">
        <f t="shared" si="271"/>
        <v>0</v>
      </c>
    </row>
    <row r="178" spans="1:42" ht="20.100000000000001" customHeight="1" x14ac:dyDescent="0.25">
      <c r="A178" s="129"/>
      <c r="B178" s="182" t="s">
        <v>85</v>
      </c>
      <c r="C178" s="183"/>
      <c r="E178" s="189" t="s">
        <v>242</v>
      </c>
      <c r="F178" s="14">
        <v>1</v>
      </c>
      <c r="G178" s="14">
        <v>1.5</v>
      </c>
      <c r="H178" s="14">
        <v>0.2</v>
      </c>
      <c r="I178" s="14">
        <v>0.45</v>
      </c>
      <c r="J178" s="11">
        <f t="shared" si="256"/>
        <v>0.13500000000000004</v>
      </c>
      <c r="K178" s="11">
        <f t="shared" si="257"/>
        <v>0.30000000000000004</v>
      </c>
      <c r="L178" s="11">
        <f t="shared" si="258"/>
        <v>0.97500000000000009</v>
      </c>
      <c r="M178" s="190">
        <v>0.125</v>
      </c>
      <c r="N178" s="14">
        <f t="shared" si="273"/>
        <v>0.32500000000000001</v>
      </c>
      <c r="O178" s="14">
        <f t="shared" si="274"/>
        <v>0.48750000000000004</v>
      </c>
      <c r="P178" s="190">
        <v>0.125</v>
      </c>
      <c r="Q178" s="14">
        <f t="shared" si="259"/>
        <v>0.32500000000000001</v>
      </c>
      <c r="R178" s="14">
        <f t="shared" si="260"/>
        <v>0.48750000000000004</v>
      </c>
      <c r="S178" s="14"/>
      <c r="T178" s="14"/>
      <c r="U178" s="191">
        <f t="shared" si="261"/>
        <v>0</v>
      </c>
      <c r="V178" s="14"/>
      <c r="W178" s="14"/>
      <c r="X178" s="14"/>
      <c r="Y178" s="14"/>
      <c r="Z178" s="14"/>
      <c r="AA178" s="14"/>
      <c r="AB178" s="14">
        <f t="shared" si="272"/>
        <v>0</v>
      </c>
      <c r="AC178" s="14"/>
      <c r="AE178" s="11"/>
      <c r="AG178" s="52">
        <f t="shared" si="262"/>
        <v>1.2750000000000001</v>
      </c>
      <c r="AH178" s="52">
        <f t="shared" si="263"/>
        <v>0</v>
      </c>
      <c r="AI178" s="193">
        <f t="shared" si="264"/>
        <v>0</v>
      </c>
      <c r="AJ178" s="194">
        <f t="shared" si="265"/>
        <v>0</v>
      </c>
      <c r="AK178" s="195">
        <f t="shared" si="266"/>
        <v>1.2750000000000001</v>
      </c>
      <c r="AL178" s="196">
        <f t="shared" si="267"/>
        <v>0</v>
      </c>
      <c r="AM178" s="52">
        <f t="shared" si="268"/>
        <v>0</v>
      </c>
      <c r="AN178" s="52">
        <f t="shared" si="269"/>
        <v>0</v>
      </c>
      <c r="AO178" s="52">
        <f t="shared" si="270"/>
        <v>1.5</v>
      </c>
      <c r="AP178" s="52">
        <f t="shared" si="271"/>
        <v>0</v>
      </c>
    </row>
    <row r="179" spans="1:42" ht="20.100000000000001" customHeight="1" x14ac:dyDescent="0.25">
      <c r="A179" s="129"/>
      <c r="B179" s="182" t="s">
        <v>85</v>
      </c>
      <c r="C179" s="183"/>
      <c r="E179" s="189" t="s">
        <v>243</v>
      </c>
      <c r="F179" s="14">
        <v>1</v>
      </c>
      <c r="G179" s="14">
        <v>3.49</v>
      </c>
      <c r="H179" s="14">
        <v>0.2</v>
      </c>
      <c r="I179" s="14">
        <v>0.45</v>
      </c>
      <c r="J179" s="11">
        <f t="shared" si="256"/>
        <v>0.31410000000000005</v>
      </c>
      <c r="K179" s="11">
        <f t="shared" si="257"/>
        <v>0.69800000000000006</v>
      </c>
      <c r="L179" s="11">
        <f t="shared" si="258"/>
        <v>3.0535000000000005</v>
      </c>
      <c r="M179" s="190">
        <v>0.125</v>
      </c>
      <c r="N179" s="14">
        <f t="shared" si="273"/>
        <v>0.32500000000000001</v>
      </c>
      <c r="O179" s="14">
        <f t="shared" si="274"/>
        <v>1.1342500000000002</v>
      </c>
      <c r="P179" s="190"/>
      <c r="Q179" s="14">
        <f t="shared" si="259"/>
        <v>0.45</v>
      </c>
      <c r="R179" s="14">
        <f t="shared" si="260"/>
        <v>1.5705000000000002</v>
      </c>
      <c r="S179" s="14">
        <v>0.45</v>
      </c>
      <c r="T179" s="14"/>
      <c r="U179" s="191">
        <f t="shared" si="261"/>
        <v>0.34875</v>
      </c>
      <c r="V179" s="14"/>
      <c r="W179" s="14"/>
      <c r="X179" s="14"/>
      <c r="Y179" s="14"/>
      <c r="Z179" s="14"/>
      <c r="AA179" s="14"/>
      <c r="AB179" s="14">
        <f t="shared" si="272"/>
        <v>0</v>
      </c>
      <c r="AC179" s="14"/>
      <c r="AE179" s="11"/>
      <c r="AG179" s="52">
        <f t="shared" si="262"/>
        <v>3.7515000000000005</v>
      </c>
      <c r="AH179" s="52">
        <f t="shared" si="263"/>
        <v>0</v>
      </c>
      <c r="AI179" s="193">
        <f t="shared" si="264"/>
        <v>3.7515000000000005</v>
      </c>
      <c r="AJ179" s="194">
        <f t="shared" si="265"/>
        <v>0</v>
      </c>
      <c r="AK179" s="195">
        <f t="shared" si="266"/>
        <v>0</v>
      </c>
      <c r="AL179" s="196">
        <f t="shared" si="267"/>
        <v>0</v>
      </c>
      <c r="AM179" s="52">
        <f t="shared" si="268"/>
        <v>3.49</v>
      </c>
      <c r="AN179" s="52">
        <f t="shared" si="269"/>
        <v>0</v>
      </c>
      <c r="AO179" s="52">
        <f t="shared" si="270"/>
        <v>0</v>
      </c>
      <c r="AP179" s="52">
        <f t="shared" si="271"/>
        <v>0</v>
      </c>
    </row>
    <row r="180" spans="1:42" ht="20.100000000000001" customHeight="1" x14ac:dyDescent="0.25">
      <c r="A180" s="129"/>
      <c r="B180" s="182" t="s">
        <v>85</v>
      </c>
      <c r="C180" s="183"/>
      <c r="E180" s="189" t="s">
        <v>244</v>
      </c>
      <c r="F180" s="14">
        <v>0</v>
      </c>
      <c r="G180" s="14"/>
      <c r="H180" s="14"/>
      <c r="I180" s="14"/>
      <c r="J180" s="11">
        <f t="shared" si="256"/>
        <v>0</v>
      </c>
      <c r="K180" s="11">
        <f t="shared" si="257"/>
        <v>0</v>
      </c>
      <c r="L180" s="11">
        <f t="shared" si="258"/>
        <v>0</v>
      </c>
      <c r="M180" s="190"/>
      <c r="N180" s="14">
        <f t="shared" si="273"/>
        <v>0</v>
      </c>
      <c r="O180" s="14">
        <f t="shared" si="274"/>
        <v>0</v>
      </c>
      <c r="P180" s="190"/>
      <c r="Q180" s="14">
        <f t="shared" si="259"/>
        <v>0</v>
      </c>
      <c r="R180" s="14">
        <f t="shared" si="260"/>
        <v>0</v>
      </c>
      <c r="S180" s="14"/>
      <c r="T180" s="14"/>
      <c r="U180" s="191">
        <f t="shared" si="261"/>
        <v>0</v>
      </c>
      <c r="V180" s="14"/>
      <c r="W180" s="14"/>
      <c r="X180" s="14"/>
      <c r="Y180" s="14"/>
      <c r="Z180" s="14"/>
      <c r="AA180" s="14"/>
      <c r="AB180" s="14">
        <f t="shared" ref="AB180:AB209" si="275">IFERROR(VLOOKUP(V180,$E$19:$I$625,4,FALSE)*VLOOKUP(V180,$E$19:$I$625,5,FALSE),)+IFERROR(VLOOKUP(W180,$E$19:$I$625,4,FALSE)*VLOOKUP(W180,$E$19:$I$625,5,FALSE),)+IFERROR(VLOOKUP(X180,$E$19:$I$625,4,FALSE)*VLOOKUP(X180,$E$19:$I$625,5,FALSE),)+IFERROR(VLOOKUP(Y180,$E$19:$I$625,4,FALSE)*VLOOKUP(Y180,$E$19:$I$625,5,FALSE),)+IFERROR(VLOOKUP(Z180,$E$19:$I$625,4,FALSE)*VLOOKUP(Z180,$E$19:$I$625,5,FALSE),)+IFERROR(VLOOKUP(AA180,$E$19:$I$625,4,FALSE)*VLOOKUP(AA180,$E$19:$I$625,5,FALSE),)</f>
        <v>0</v>
      </c>
      <c r="AC180" s="14"/>
      <c r="AE180" s="11"/>
      <c r="AG180" s="52">
        <f t="shared" si="262"/>
        <v>0</v>
      </c>
      <c r="AH180" s="52">
        <f t="shared" si="263"/>
        <v>0</v>
      </c>
      <c r="AI180" s="193">
        <f t="shared" si="264"/>
        <v>0</v>
      </c>
      <c r="AJ180" s="194">
        <f t="shared" si="265"/>
        <v>0</v>
      </c>
      <c r="AK180" s="195">
        <f t="shared" si="266"/>
        <v>0</v>
      </c>
      <c r="AL180" s="196">
        <f t="shared" si="267"/>
        <v>0</v>
      </c>
      <c r="AM180" s="52">
        <f t="shared" si="268"/>
        <v>0</v>
      </c>
      <c r="AN180" s="52">
        <f t="shared" si="269"/>
        <v>0</v>
      </c>
      <c r="AO180" s="52">
        <f t="shared" si="270"/>
        <v>0</v>
      </c>
      <c r="AP180" s="52">
        <f t="shared" si="271"/>
        <v>0</v>
      </c>
    </row>
    <row r="181" spans="1:42" ht="20.100000000000001" customHeight="1" x14ac:dyDescent="0.25">
      <c r="A181" s="129"/>
      <c r="B181" s="182" t="s">
        <v>85</v>
      </c>
      <c r="C181" s="183"/>
      <c r="E181" s="189" t="s">
        <v>245</v>
      </c>
      <c r="F181" s="14">
        <v>1</v>
      </c>
      <c r="G181" s="14">
        <v>4</v>
      </c>
      <c r="H181" s="14">
        <v>0.2</v>
      </c>
      <c r="I181" s="14">
        <v>0.45</v>
      </c>
      <c r="J181" s="11">
        <f t="shared" si="256"/>
        <v>0.36000000000000004</v>
      </c>
      <c r="K181" s="11">
        <f t="shared" si="257"/>
        <v>0.8</v>
      </c>
      <c r="L181" s="11">
        <f t="shared" si="258"/>
        <v>2.5</v>
      </c>
      <c r="M181" s="190">
        <v>0.15</v>
      </c>
      <c r="N181" s="14">
        <f t="shared" si="273"/>
        <v>0.30000000000000004</v>
      </c>
      <c r="O181" s="14">
        <f t="shared" si="274"/>
        <v>1.2000000000000002</v>
      </c>
      <c r="P181" s="190">
        <v>0.125</v>
      </c>
      <c r="Q181" s="14">
        <f t="shared" si="259"/>
        <v>0.32500000000000001</v>
      </c>
      <c r="R181" s="14">
        <f t="shared" si="260"/>
        <v>1.3</v>
      </c>
      <c r="S181" s="14"/>
      <c r="T181" s="14"/>
      <c r="U181" s="191">
        <f t="shared" si="261"/>
        <v>0</v>
      </c>
      <c r="V181" s="14" t="s">
        <v>221</v>
      </c>
      <c r="W181" s="14"/>
      <c r="X181" s="14"/>
      <c r="Y181" s="14"/>
      <c r="Z181" s="14"/>
      <c r="AA181" s="14"/>
      <c r="AB181" s="14">
        <f t="shared" si="275"/>
        <v>0</v>
      </c>
      <c r="AC181" s="14"/>
      <c r="AE181" s="11"/>
      <c r="AG181" s="52">
        <f t="shared" si="262"/>
        <v>3.3</v>
      </c>
      <c r="AH181" s="52">
        <f t="shared" si="263"/>
        <v>0</v>
      </c>
      <c r="AI181" s="193">
        <f t="shared" si="264"/>
        <v>0</v>
      </c>
      <c r="AJ181" s="194">
        <f t="shared" si="265"/>
        <v>0</v>
      </c>
      <c r="AK181" s="195">
        <f t="shared" si="266"/>
        <v>3.3</v>
      </c>
      <c r="AL181" s="196">
        <f t="shared" si="267"/>
        <v>0</v>
      </c>
      <c r="AM181" s="52">
        <f t="shared" si="268"/>
        <v>0</v>
      </c>
      <c r="AN181" s="52">
        <f t="shared" si="269"/>
        <v>0</v>
      </c>
      <c r="AO181" s="52">
        <f t="shared" si="270"/>
        <v>4</v>
      </c>
      <c r="AP181" s="52">
        <f t="shared" si="271"/>
        <v>0</v>
      </c>
    </row>
    <row r="182" spans="1:42" ht="20.100000000000001" customHeight="1" x14ac:dyDescent="0.25">
      <c r="A182" s="129"/>
      <c r="B182" s="182" t="s">
        <v>85</v>
      </c>
      <c r="C182" s="183"/>
      <c r="E182" s="189" t="s">
        <v>246</v>
      </c>
      <c r="F182" s="14">
        <v>1</v>
      </c>
      <c r="G182" s="14">
        <v>1.5</v>
      </c>
      <c r="H182" s="14">
        <v>0.2</v>
      </c>
      <c r="I182" s="14">
        <v>0.45</v>
      </c>
      <c r="J182" s="11">
        <f t="shared" si="256"/>
        <v>0.13500000000000004</v>
      </c>
      <c r="K182" s="11">
        <f t="shared" si="257"/>
        <v>0.30000000000000004</v>
      </c>
      <c r="L182" s="11">
        <f t="shared" si="258"/>
        <v>0.97500000000000009</v>
      </c>
      <c r="M182" s="190">
        <v>0.125</v>
      </c>
      <c r="N182" s="14">
        <f t="shared" si="273"/>
        <v>0.32500000000000001</v>
      </c>
      <c r="O182" s="14">
        <f t="shared" si="274"/>
        <v>0.48750000000000004</v>
      </c>
      <c r="P182" s="190">
        <v>0.125</v>
      </c>
      <c r="Q182" s="14">
        <f t="shared" si="259"/>
        <v>0.32500000000000001</v>
      </c>
      <c r="R182" s="14">
        <f t="shared" si="260"/>
        <v>0.48750000000000004</v>
      </c>
      <c r="S182" s="14"/>
      <c r="T182" s="14"/>
      <c r="U182" s="191">
        <f t="shared" si="261"/>
        <v>0</v>
      </c>
      <c r="V182" s="14"/>
      <c r="W182" s="14"/>
      <c r="X182" s="14"/>
      <c r="Y182" s="14"/>
      <c r="Z182" s="14"/>
      <c r="AA182" s="14"/>
      <c r="AB182" s="14">
        <f t="shared" si="275"/>
        <v>0</v>
      </c>
      <c r="AC182" s="14"/>
      <c r="AE182" s="11"/>
      <c r="AG182" s="52">
        <f t="shared" si="262"/>
        <v>1.2750000000000001</v>
      </c>
      <c r="AH182" s="52">
        <f t="shared" si="263"/>
        <v>0</v>
      </c>
      <c r="AI182" s="193">
        <f t="shared" si="264"/>
        <v>0</v>
      </c>
      <c r="AJ182" s="194">
        <f t="shared" si="265"/>
        <v>0</v>
      </c>
      <c r="AK182" s="195">
        <f t="shared" si="266"/>
        <v>1.2750000000000001</v>
      </c>
      <c r="AL182" s="196">
        <f t="shared" si="267"/>
        <v>0</v>
      </c>
      <c r="AM182" s="52">
        <f t="shared" si="268"/>
        <v>0</v>
      </c>
      <c r="AN182" s="52">
        <f t="shared" si="269"/>
        <v>0</v>
      </c>
      <c r="AO182" s="52">
        <f t="shared" si="270"/>
        <v>1.5</v>
      </c>
      <c r="AP182" s="52">
        <f t="shared" si="271"/>
        <v>0</v>
      </c>
    </row>
    <row r="183" spans="1:42" ht="20.100000000000001" customHeight="1" x14ac:dyDescent="0.25">
      <c r="A183" s="129"/>
      <c r="B183" s="182" t="s">
        <v>85</v>
      </c>
      <c r="C183" s="183"/>
      <c r="D183" s="188" t="s">
        <v>100</v>
      </c>
      <c r="E183" s="189" t="s">
        <v>247</v>
      </c>
      <c r="F183" s="14">
        <v>1</v>
      </c>
      <c r="G183" s="14">
        <v>1.5</v>
      </c>
      <c r="H183" s="14">
        <v>0.2</v>
      </c>
      <c r="I183" s="14">
        <v>0.45</v>
      </c>
      <c r="J183" s="11">
        <f t="shared" si="256"/>
        <v>0.13500000000000004</v>
      </c>
      <c r="K183" s="11">
        <f t="shared" si="257"/>
        <v>0.30000000000000004</v>
      </c>
      <c r="L183" s="11">
        <f t="shared" si="258"/>
        <v>0.97500000000000009</v>
      </c>
      <c r="M183" s="190">
        <v>0.125</v>
      </c>
      <c r="N183" s="14">
        <f t="shared" si="273"/>
        <v>0.32500000000000001</v>
      </c>
      <c r="O183" s="14">
        <f t="shared" si="274"/>
        <v>0.48750000000000004</v>
      </c>
      <c r="P183" s="190">
        <v>0.125</v>
      </c>
      <c r="Q183" s="14">
        <f t="shared" si="259"/>
        <v>0.32500000000000001</v>
      </c>
      <c r="R183" s="14">
        <f t="shared" si="260"/>
        <v>0.48750000000000004</v>
      </c>
      <c r="S183" s="14"/>
      <c r="T183" s="14"/>
      <c r="U183" s="191">
        <f t="shared" si="261"/>
        <v>0</v>
      </c>
      <c r="V183" s="14"/>
      <c r="W183" s="14"/>
      <c r="X183" s="14"/>
      <c r="Y183" s="14"/>
      <c r="Z183" s="14"/>
      <c r="AA183" s="14"/>
      <c r="AB183" s="14">
        <f t="shared" si="275"/>
        <v>0</v>
      </c>
      <c r="AC183" s="14"/>
      <c r="AE183" s="11"/>
      <c r="AG183" s="52">
        <f t="shared" si="262"/>
        <v>1.2750000000000001</v>
      </c>
      <c r="AH183" s="52">
        <f t="shared" si="263"/>
        <v>0</v>
      </c>
      <c r="AI183" s="193">
        <f t="shared" si="264"/>
        <v>0</v>
      </c>
      <c r="AJ183" s="194">
        <f t="shared" si="265"/>
        <v>0</v>
      </c>
      <c r="AK183" s="195">
        <f t="shared" si="266"/>
        <v>1.2750000000000001</v>
      </c>
      <c r="AL183" s="196">
        <f t="shared" si="267"/>
        <v>0</v>
      </c>
      <c r="AM183" s="52">
        <f t="shared" si="268"/>
        <v>0</v>
      </c>
      <c r="AN183" s="52">
        <f t="shared" si="269"/>
        <v>0</v>
      </c>
      <c r="AO183" s="52">
        <f t="shared" si="270"/>
        <v>1.5</v>
      </c>
      <c r="AP183" s="52">
        <f t="shared" si="271"/>
        <v>0</v>
      </c>
    </row>
    <row r="184" spans="1:42" ht="20.100000000000001" customHeight="1" x14ac:dyDescent="0.25">
      <c r="A184" s="129"/>
      <c r="B184" s="182" t="s">
        <v>85</v>
      </c>
      <c r="C184" s="183"/>
      <c r="E184" s="189" t="s">
        <v>248</v>
      </c>
      <c r="F184" s="14">
        <v>1</v>
      </c>
      <c r="G184" s="14">
        <v>2.8</v>
      </c>
      <c r="H184" s="14">
        <v>0.2</v>
      </c>
      <c r="I184" s="14">
        <v>0.45</v>
      </c>
      <c r="J184" s="11">
        <f t="shared" si="256"/>
        <v>0.252</v>
      </c>
      <c r="K184" s="11">
        <f t="shared" si="257"/>
        <v>0.55999999999999994</v>
      </c>
      <c r="L184" s="11">
        <f t="shared" si="258"/>
        <v>1.8199999999999998</v>
      </c>
      <c r="M184" s="190">
        <v>0.125</v>
      </c>
      <c r="N184" s="14">
        <f t="shared" si="273"/>
        <v>0.32500000000000001</v>
      </c>
      <c r="O184" s="14">
        <f t="shared" si="274"/>
        <v>0.90999999999999992</v>
      </c>
      <c r="P184" s="190">
        <v>0.125</v>
      </c>
      <c r="Q184" s="14">
        <f t="shared" si="259"/>
        <v>0.32500000000000001</v>
      </c>
      <c r="R184" s="14">
        <f t="shared" si="260"/>
        <v>0.90999999999999992</v>
      </c>
      <c r="S184" s="14"/>
      <c r="T184" s="14"/>
      <c r="U184" s="191">
        <f t="shared" si="261"/>
        <v>0</v>
      </c>
      <c r="V184" s="14"/>
      <c r="W184" s="14"/>
      <c r="X184" s="14"/>
      <c r="Y184" s="14"/>
      <c r="Z184" s="14"/>
      <c r="AA184" s="14"/>
      <c r="AB184" s="14">
        <f t="shared" si="275"/>
        <v>0</v>
      </c>
      <c r="AC184" s="14"/>
      <c r="AE184" s="11"/>
      <c r="AG184" s="52">
        <f t="shared" si="262"/>
        <v>2.38</v>
      </c>
      <c r="AH184" s="52">
        <f t="shared" si="263"/>
        <v>0</v>
      </c>
      <c r="AI184" s="193">
        <f t="shared" si="264"/>
        <v>0</v>
      </c>
      <c r="AJ184" s="194">
        <f t="shared" si="265"/>
        <v>0</v>
      </c>
      <c r="AK184" s="195">
        <f t="shared" si="266"/>
        <v>2.38</v>
      </c>
      <c r="AL184" s="196">
        <f t="shared" si="267"/>
        <v>0</v>
      </c>
      <c r="AM184" s="52">
        <f t="shared" si="268"/>
        <v>0</v>
      </c>
      <c r="AN184" s="52">
        <f t="shared" si="269"/>
        <v>0</v>
      </c>
      <c r="AO184" s="52">
        <f t="shared" si="270"/>
        <v>2.8</v>
      </c>
      <c r="AP184" s="52">
        <f t="shared" si="271"/>
        <v>0</v>
      </c>
    </row>
    <row r="185" spans="1:42" ht="20.100000000000001" customHeight="1" x14ac:dyDescent="0.25">
      <c r="A185" s="129"/>
      <c r="B185" s="182" t="s">
        <v>85</v>
      </c>
      <c r="C185" s="183"/>
      <c r="E185" s="189" t="s">
        <v>270</v>
      </c>
      <c r="F185" s="14">
        <v>0</v>
      </c>
      <c r="G185" s="14"/>
      <c r="H185" s="14"/>
      <c r="I185" s="14"/>
      <c r="J185" s="11">
        <f t="shared" ref="J185" si="276">+PRODUCT(F185:I185)</f>
        <v>0</v>
      </c>
      <c r="K185" s="11">
        <f t="shared" ref="K185" si="277">PRODUCT(F185,G185,H185)</f>
        <v>0</v>
      </c>
      <c r="L185" s="11">
        <f t="shared" ref="L185" si="278">+O185+R185-AB185+U185</f>
        <v>0</v>
      </c>
      <c r="M185" s="190"/>
      <c r="N185" s="14">
        <f t="shared" ref="N185" si="279">+I185-M185</f>
        <v>0</v>
      </c>
      <c r="O185" s="14">
        <f t="shared" ref="O185" si="280">+PRODUCT(F185,G185,N185)</f>
        <v>0</v>
      </c>
      <c r="P185" s="190"/>
      <c r="Q185" s="14">
        <f t="shared" ref="Q185" si="281">+I185-P185</f>
        <v>0</v>
      </c>
      <c r="R185" s="14">
        <f t="shared" ref="R185" si="282">+PRODUCT(F185:G185,Q185)</f>
        <v>0</v>
      </c>
      <c r="S185" s="14"/>
      <c r="T185" s="14"/>
      <c r="U185" s="191">
        <f t="shared" ref="U185" si="283">+SUM(S185:T185)*(N185+Q185)/2*2</f>
        <v>0</v>
      </c>
      <c r="V185" s="14"/>
      <c r="W185" s="14"/>
      <c r="X185" s="14"/>
      <c r="Y185" s="14"/>
      <c r="Z185" s="14"/>
      <c r="AA185" s="14"/>
      <c r="AB185" s="14">
        <f t="shared" si="275"/>
        <v>0</v>
      </c>
      <c r="AC185" s="14"/>
      <c r="AE185" s="11"/>
      <c r="AG185" s="52">
        <f t="shared" ref="AG185" si="284">+IF(I185&lt;0.75,(K185+L185),0)</f>
        <v>0</v>
      </c>
      <c r="AH185" s="52">
        <f t="shared" ref="AH185" si="285">+IF(I185&lt;0.75,0,(K185+L185))</f>
        <v>0</v>
      </c>
      <c r="AI185" s="193">
        <f t="shared" ref="AI185" si="286">IF(P185=0,(+IF(I185&lt;0.75,(K185+L185),0)),0)</f>
        <v>0</v>
      </c>
      <c r="AJ185" s="194">
        <f t="shared" ref="AJ185" si="287">IF(P185=0,(+IF(I185&lt;0.75,0,(K185+L185))),0)</f>
        <v>0</v>
      </c>
      <c r="AK185" s="195">
        <f t="shared" ref="AK185" si="288">+AG185-AI185</f>
        <v>0</v>
      </c>
      <c r="AL185" s="196">
        <f t="shared" ref="AL185" si="289">+AH185-AJ185</f>
        <v>0</v>
      </c>
      <c r="AM185" s="52">
        <f t="shared" ref="AM185" si="290">+IF(AI185=0,0,G185)</f>
        <v>0</v>
      </c>
      <c r="AN185" s="52">
        <f t="shared" ref="AN185" si="291">+IF(AJ185=0,0,G185)</f>
        <v>0</v>
      </c>
      <c r="AO185" s="52">
        <f t="shared" ref="AO185" si="292">+IF(AK185=0,0,G185)</f>
        <v>0</v>
      </c>
      <c r="AP185" s="52">
        <f t="shared" ref="AP185" si="293">+IF(AL185=0,0,G185)</f>
        <v>0</v>
      </c>
    </row>
    <row r="186" spans="1:42" ht="20.100000000000001" customHeight="1" x14ac:dyDescent="0.25">
      <c r="A186" s="129"/>
      <c r="B186" s="182" t="s">
        <v>85</v>
      </c>
      <c r="C186" s="183"/>
      <c r="D186" s="188" t="s">
        <v>100</v>
      </c>
      <c r="E186" s="189" t="s">
        <v>249</v>
      </c>
      <c r="F186" s="14">
        <v>1</v>
      </c>
      <c r="G186" s="14">
        <v>4</v>
      </c>
      <c r="H186" s="14">
        <v>0.2</v>
      </c>
      <c r="I186" s="14">
        <v>0.45</v>
      </c>
      <c r="J186" s="11">
        <f t="shared" si="256"/>
        <v>0.36000000000000004</v>
      </c>
      <c r="K186" s="11">
        <f t="shared" si="257"/>
        <v>0.8</v>
      </c>
      <c r="L186" s="11">
        <f t="shared" si="258"/>
        <v>2.5</v>
      </c>
      <c r="M186" s="190">
        <v>0.15</v>
      </c>
      <c r="N186" s="14">
        <f t="shared" si="273"/>
        <v>0.30000000000000004</v>
      </c>
      <c r="O186" s="14">
        <f t="shared" si="274"/>
        <v>1.2000000000000002</v>
      </c>
      <c r="P186" s="190">
        <v>0.125</v>
      </c>
      <c r="Q186" s="14">
        <f t="shared" si="259"/>
        <v>0.32500000000000001</v>
      </c>
      <c r="R186" s="14">
        <f t="shared" si="260"/>
        <v>1.3</v>
      </c>
      <c r="S186" s="14"/>
      <c r="T186" s="14"/>
      <c r="U186" s="191">
        <f t="shared" si="261"/>
        <v>0</v>
      </c>
      <c r="V186" s="14"/>
      <c r="W186" s="14"/>
      <c r="X186" s="14"/>
      <c r="Y186" s="14"/>
      <c r="Z186" s="14"/>
      <c r="AA186" s="14"/>
      <c r="AB186" s="14">
        <f t="shared" si="275"/>
        <v>0</v>
      </c>
      <c r="AC186" s="14"/>
      <c r="AE186" s="11"/>
      <c r="AG186" s="52">
        <f t="shared" si="262"/>
        <v>3.3</v>
      </c>
      <c r="AH186" s="52">
        <f t="shared" si="263"/>
        <v>0</v>
      </c>
      <c r="AI186" s="193">
        <f t="shared" si="264"/>
        <v>0</v>
      </c>
      <c r="AJ186" s="194">
        <f t="shared" si="265"/>
        <v>0</v>
      </c>
      <c r="AK186" s="195">
        <f t="shared" si="266"/>
        <v>3.3</v>
      </c>
      <c r="AL186" s="196">
        <f t="shared" si="267"/>
        <v>0</v>
      </c>
      <c r="AM186" s="52">
        <f t="shared" si="268"/>
        <v>0</v>
      </c>
      <c r="AN186" s="52">
        <f t="shared" si="269"/>
        <v>0</v>
      </c>
      <c r="AO186" s="52">
        <f t="shared" si="270"/>
        <v>4</v>
      </c>
      <c r="AP186" s="52">
        <f t="shared" si="271"/>
        <v>0</v>
      </c>
    </row>
    <row r="187" spans="1:42" ht="20.100000000000001" customHeight="1" x14ac:dyDescent="0.25">
      <c r="A187" s="129"/>
      <c r="B187" s="182" t="s">
        <v>85</v>
      </c>
      <c r="C187" s="183"/>
      <c r="E187" s="189" t="s">
        <v>250</v>
      </c>
      <c r="F187" s="14">
        <v>1</v>
      </c>
      <c r="G187" s="14">
        <v>3.74</v>
      </c>
      <c r="H187" s="14">
        <v>0.2</v>
      </c>
      <c r="I187" s="14">
        <v>0.45</v>
      </c>
      <c r="J187" s="11">
        <f t="shared" si="256"/>
        <v>0.33660000000000007</v>
      </c>
      <c r="K187" s="11">
        <f t="shared" si="257"/>
        <v>0.74800000000000011</v>
      </c>
      <c r="L187" s="11">
        <f t="shared" si="258"/>
        <v>2.431</v>
      </c>
      <c r="M187" s="190">
        <v>0.125</v>
      </c>
      <c r="N187" s="14">
        <f t="shared" si="273"/>
        <v>0.32500000000000001</v>
      </c>
      <c r="O187" s="14">
        <f t="shared" si="274"/>
        <v>1.2155</v>
      </c>
      <c r="P187" s="190">
        <v>0.125</v>
      </c>
      <c r="Q187" s="14">
        <f t="shared" si="259"/>
        <v>0.32500000000000001</v>
      </c>
      <c r="R187" s="14">
        <f t="shared" si="260"/>
        <v>1.2155</v>
      </c>
      <c r="S187" s="14"/>
      <c r="T187" s="14"/>
      <c r="U187" s="191">
        <f t="shared" si="261"/>
        <v>0</v>
      </c>
      <c r="V187" s="14"/>
      <c r="W187" s="14"/>
      <c r="X187" s="14"/>
      <c r="Y187" s="14"/>
      <c r="Z187" s="14"/>
      <c r="AA187" s="14"/>
      <c r="AB187" s="14">
        <f t="shared" si="275"/>
        <v>0</v>
      </c>
      <c r="AC187" s="14"/>
      <c r="AE187" s="11"/>
      <c r="AG187" s="52">
        <f t="shared" si="262"/>
        <v>3.1790000000000003</v>
      </c>
      <c r="AH187" s="52">
        <f t="shared" si="263"/>
        <v>0</v>
      </c>
      <c r="AI187" s="193">
        <f t="shared" si="264"/>
        <v>0</v>
      </c>
      <c r="AJ187" s="194">
        <f t="shared" si="265"/>
        <v>0</v>
      </c>
      <c r="AK187" s="195">
        <f t="shared" si="266"/>
        <v>3.1790000000000003</v>
      </c>
      <c r="AL187" s="196">
        <f t="shared" si="267"/>
        <v>0</v>
      </c>
      <c r="AM187" s="52">
        <f t="shared" si="268"/>
        <v>0</v>
      </c>
      <c r="AN187" s="52">
        <f t="shared" si="269"/>
        <v>0</v>
      </c>
      <c r="AO187" s="52">
        <f t="shared" si="270"/>
        <v>3.74</v>
      </c>
      <c r="AP187" s="52">
        <f t="shared" si="271"/>
        <v>0</v>
      </c>
    </row>
    <row r="188" spans="1:42" ht="20.100000000000001" customHeight="1" x14ac:dyDescent="0.25">
      <c r="A188" s="129"/>
      <c r="B188" s="182" t="s">
        <v>85</v>
      </c>
      <c r="C188" s="183"/>
      <c r="E188" s="189" t="s">
        <v>273</v>
      </c>
      <c r="F188" s="14">
        <v>1</v>
      </c>
      <c r="G188" s="14">
        <v>3.74</v>
      </c>
      <c r="H188" s="14">
        <v>0.2</v>
      </c>
      <c r="I188" s="14">
        <v>0.45</v>
      </c>
      <c r="J188" s="11">
        <f t="shared" ref="J188" si="294">+PRODUCT(F188:I188)</f>
        <v>0.33660000000000007</v>
      </c>
      <c r="K188" s="11">
        <f t="shared" ref="K188" si="295">PRODUCT(F188,G188,H188)</f>
        <v>0.74800000000000011</v>
      </c>
      <c r="L188" s="11">
        <f t="shared" ref="L188" si="296">+O188+R188-AB188+U188</f>
        <v>2.8985000000000003</v>
      </c>
      <c r="M188" s="190">
        <v>0.125</v>
      </c>
      <c r="N188" s="14">
        <f t="shared" ref="N188" si="297">+I188-M188</f>
        <v>0.32500000000000001</v>
      </c>
      <c r="O188" s="14">
        <f t="shared" ref="O188" si="298">+PRODUCT(F188,G188,N188)</f>
        <v>1.2155</v>
      </c>
      <c r="P188" s="190"/>
      <c r="Q188" s="14">
        <f t="shared" ref="Q188" si="299">+I188-P188</f>
        <v>0.45</v>
      </c>
      <c r="R188" s="14">
        <f t="shared" ref="R188" si="300">+PRODUCT(F188:G188,Q188)</f>
        <v>1.6830000000000001</v>
      </c>
      <c r="S188" s="14"/>
      <c r="T188" s="14"/>
      <c r="U188" s="191">
        <f t="shared" ref="U188" si="301">+SUM(S188:T188)*(N188+Q188)/2*2</f>
        <v>0</v>
      </c>
      <c r="V188" s="14"/>
      <c r="W188" s="14"/>
      <c r="X188" s="14"/>
      <c r="Y188" s="14"/>
      <c r="Z188" s="14"/>
      <c r="AA188" s="14"/>
      <c r="AB188" s="14">
        <f t="shared" si="275"/>
        <v>0</v>
      </c>
      <c r="AC188" s="14"/>
      <c r="AE188" s="11"/>
      <c r="AG188" s="52">
        <f t="shared" ref="AG188" si="302">+IF(I188&lt;0.75,(K188+L188),0)</f>
        <v>3.6465000000000005</v>
      </c>
      <c r="AH188" s="52">
        <f t="shared" ref="AH188" si="303">+IF(I188&lt;0.75,0,(K188+L188))</f>
        <v>0</v>
      </c>
      <c r="AI188" s="193">
        <f t="shared" ref="AI188" si="304">IF(P188=0,(+IF(I188&lt;0.75,(K188+L188),0)),0)</f>
        <v>3.6465000000000005</v>
      </c>
      <c r="AJ188" s="194">
        <f t="shared" ref="AJ188" si="305">IF(P188=0,(+IF(I188&lt;0.75,0,(K188+L188))),0)</f>
        <v>0</v>
      </c>
      <c r="AK188" s="195">
        <f t="shared" ref="AK188" si="306">+AG188-AI188</f>
        <v>0</v>
      </c>
      <c r="AL188" s="196">
        <f t="shared" ref="AL188" si="307">+AH188-AJ188</f>
        <v>0</v>
      </c>
      <c r="AM188" s="52">
        <f t="shared" ref="AM188" si="308">+IF(AI188=0,0,G188)</f>
        <v>3.74</v>
      </c>
      <c r="AN188" s="52">
        <f t="shared" ref="AN188" si="309">+IF(AJ188=0,0,G188)</f>
        <v>0</v>
      </c>
      <c r="AO188" s="52">
        <f t="shared" ref="AO188" si="310">+IF(AK188=0,0,G188)</f>
        <v>0</v>
      </c>
      <c r="AP188" s="52">
        <f t="shared" ref="AP188" si="311">+IF(AL188=0,0,G188)</f>
        <v>0</v>
      </c>
    </row>
    <row r="189" spans="1:42" ht="20.100000000000001" customHeight="1" x14ac:dyDescent="0.25">
      <c r="A189" s="129"/>
      <c r="B189" s="182" t="s">
        <v>85</v>
      </c>
      <c r="C189" s="183"/>
      <c r="D189" s="188" t="s">
        <v>100</v>
      </c>
      <c r="E189" s="189" t="s">
        <v>251</v>
      </c>
      <c r="F189" s="14">
        <v>1</v>
      </c>
      <c r="G189" s="14">
        <v>3.35</v>
      </c>
      <c r="H189" s="14">
        <v>0.2</v>
      </c>
      <c r="I189" s="14">
        <v>0.45</v>
      </c>
      <c r="J189" s="11">
        <f t="shared" si="256"/>
        <v>0.30150000000000005</v>
      </c>
      <c r="K189" s="11">
        <f t="shared" si="257"/>
        <v>0.67</v>
      </c>
      <c r="L189" s="11">
        <f t="shared" si="258"/>
        <v>2.2850000000000001</v>
      </c>
      <c r="M189" s="190">
        <v>0.15</v>
      </c>
      <c r="N189" s="14">
        <f t="shared" si="273"/>
        <v>0.30000000000000004</v>
      </c>
      <c r="O189" s="14">
        <f t="shared" si="274"/>
        <v>1.0050000000000001</v>
      </c>
      <c r="P189" s="190">
        <v>0.125</v>
      </c>
      <c r="Q189" s="14">
        <f t="shared" si="259"/>
        <v>0.32500000000000001</v>
      </c>
      <c r="R189" s="14">
        <f t="shared" si="260"/>
        <v>1.0887500000000001</v>
      </c>
      <c r="S189" s="14">
        <v>0.45</v>
      </c>
      <c r="T189" s="14"/>
      <c r="U189" s="191">
        <f t="shared" si="261"/>
        <v>0.28125</v>
      </c>
      <c r="V189" s="14" t="s">
        <v>191</v>
      </c>
      <c r="W189" s="14"/>
      <c r="X189" s="14"/>
      <c r="Y189" s="14"/>
      <c r="Z189" s="14"/>
      <c r="AA189" s="14"/>
      <c r="AB189" s="14">
        <f t="shared" si="275"/>
        <v>9.0000000000000011E-2</v>
      </c>
      <c r="AC189" s="14"/>
      <c r="AE189" s="11"/>
      <c r="AG189" s="52">
        <f t="shared" si="262"/>
        <v>2.9550000000000001</v>
      </c>
      <c r="AH189" s="52">
        <f t="shared" si="263"/>
        <v>0</v>
      </c>
      <c r="AI189" s="193">
        <f t="shared" si="264"/>
        <v>0</v>
      </c>
      <c r="AJ189" s="194">
        <f t="shared" si="265"/>
        <v>0</v>
      </c>
      <c r="AK189" s="195">
        <f t="shared" si="266"/>
        <v>2.9550000000000001</v>
      </c>
      <c r="AL189" s="196">
        <f t="shared" si="267"/>
        <v>0</v>
      </c>
      <c r="AM189" s="52">
        <f t="shared" si="268"/>
        <v>0</v>
      </c>
      <c r="AN189" s="52">
        <f t="shared" si="269"/>
        <v>0</v>
      </c>
      <c r="AO189" s="52">
        <f t="shared" si="270"/>
        <v>3.35</v>
      </c>
      <c r="AP189" s="52">
        <f t="shared" si="271"/>
        <v>0</v>
      </c>
    </row>
    <row r="190" spans="1:42" ht="20.100000000000001" customHeight="1" x14ac:dyDescent="0.25">
      <c r="A190" s="129"/>
      <c r="B190" s="182" t="s">
        <v>85</v>
      </c>
      <c r="C190" s="183"/>
      <c r="D190" s="188" t="s">
        <v>100</v>
      </c>
      <c r="E190" s="189" t="s">
        <v>252</v>
      </c>
      <c r="F190" s="14">
        <v>1</v>
      </c>
      <c r="G190" s="14">
        <v>1.5</v>
      </c>
      <c r="H190" s="14">
        <v>0.2</v>
      </c>
      <c r="I190" s="14">
        <v>0.45</v>
      </c>
      <c r="J190" s="11">
        <f t="shared" si="256"/>
        <v>0.13500000000000004</v>
      </c>
      <c r="K190" s="11">
        <f t="shared" si="257"/>
        <v>0.30000000000000004</v>
      </c>
      <c r="L190" s="11">
        <f t="shared" si="258"/>
        <v>0.97500000000000009</v>
      </c>
      <c r="M190" s="190">
        <v>0.125</v>
      </c>
      <c r="N190" s="14">
        <f t="shared" si="273"/>
        <v>0.32500000000000001</v>
      </c>
      <c r="O190" s="14">
        <f t="shared" si="274"/>
        <v>0.48750000000000004</v>
      </c>
      <c r="P190" s="190">
        <v>0.125</v>
      </c>
      <c r="Q190" s="14">
        <f t="shared" si="259"/>
        <v>0.32500000000000001</v>
      </c>
      <c r="R190" s="14">
        <f t="shared" si="260"/>
        <v>0.48750000000000004</v>
      </c>
      <c r="S190" s="14"/>
      <c r="T190" s="14"/>
      <c r="U190" s="191">
        <f t="shared" si="261"/>
        <v>0</v>
      </c>
      <c r="V190" s="14"/>
      <c r="W190" s="14"/>
      <c r="X190" s="14"/>
      <c r="Y190" s="14"/>
      <c r="Z190" s="14"/>
      <c r="AA190" s="14"/>
      <c r="AB190" s="14">
        <f t="shared" si="275"/>
        <v>0</v>
      </c>
      <c r="AC190" s="14"/>
      <c r="AE190" s="11"/>
      <c r="AG190" s="52">
        <f t="shared" si="262"/>
        <v>1.2750000000000001</v>
      </c>
      <c r="AH190" s="52">
        <f t="shared" si="263"/>
        <v>0</v>
      </c>
      <c r="AI190" s="193">
        <f t="shared" si="264"/>
        <v>0</v>
      </c>
      <c r="AJ190" s="194">
        <f t="shared" si="265"/>
        <v>0</v>
      </c>
      <c r="AK190" s="195">
        <f t="shared" si="266"/>
        <v>1.2750000000000001</v>
      </c>
      <c r="AL190" s="196">
        <f t="shared" si="267"/>
        <v>0</v>
      </c>
      <c r="AM190" s="52">
        <f t="shared" si="268"/>
        <v>0</v>
      </c>
      <c r="AN190" s="52">
        <f t="shared" si="269"/>
        <v>0</v>
      </c>
      <c r="AO190" s="52">
        <f t="shared" si="270"/>
        <v>1.5</v>
      </c>
      <c r="AP190" s="52">
        <f t="shared" si="271"/>
        <v>0</v>
      </c>
    </row>
    <row r="191" spans="1:42" ht="20.100000000000001" customHeight="1" x14ac:dyDescent="0.25">
      <c r="A191" s="129"/>
      <c r="B191" s="182" t="s">
        <v>85</v>
      </c>
      <c r="C191" s="183"/>
      <c r="D191" s="188" t="s">
        <v>100</v>
      </c>
      <c r="E191" s="189" t="s">
        <v>253</v>
      </c>
      <c r="F191" s="14">
        <v>1</v>
      </c>
      <c r="G191" s="14">
        <v>4</v>
      </c>
      <c r="H191" s="14">
        <v>0.2</v>
      </c>
      <c r="I191" s="14">
        <v>0.45</v>
      </c>
      <c r="J191" s="11">
        <f t="shared" si="256"/>
        <v>0.36000000000000004</v>
      </c>
      <c r="K191" s="11">
        <f t="shared" si="257"/>
        <v>0.8</v>
      </c>
      <c r="L191" s="11">
        <f t="shared" si="258"/>
        <v>2.5100000000000002</v>
      </c>
      <c r="M191" s="190">
        <v>0.125</v>
      </c>
      <c r="N191" s="14">
        <f t="shared" si="273"/>
        <v>0.32500000000000001</v>
      </c>
      <c r="O191" s="14">
        <f t="shared" si="274"/>
        <v>1.3</v>
      </c>
      <c r="P191" s="190">
        <v>0.125</v>
      </c>
      <c r="Q191" s="14">
        <f t="shared" si="259"/>
        <v>0.32500000000000001</v>
      </c>
      <c r="R191" s="14">
        <f t="shared" si="260"/>
        <v>1.3</v>
      </c>
      <c r="S191" s="14"/>
      <c r="T191" s="14"/>
      <c r="U191" s="191">
        <f t="shared" si="261"/>
        <v>0</v>
      </c>
      <c r="V191" s="14" t="s">
        <v>222</v>
      </c>
      <c r="W191" s="14"/>
      <c r="X191" s="14"/>
      <c r="Y191" s="14"/>
      <c r="Z191" s="14"/>
      <c r="AA191" s="14"/>
      <c r="AB191" s="14">
        <f t="shared" si="275"/>
        <v>9.0000000000000011E-2</v>
      </c>
      <c r="AC191" s="14"/>
      <c r="AE191" s="11"/>
      <c r="AG191" s="52">
        <f t="shared" si="262"/>
        <v>3.3100000000000005</v>
      </c>
      <c r="AH191" s="52">
        <f t="shared" si="263"/>
        <v>0</v>
      </c>
      <c r="AI191" s="193">
        <f t="shared" si="264"/>
        <v>0</v>
      </c>
      <c r="AJ191" s="194">
        <f t="shared" si="265"/>
        <v>0</v>
      </c>
      <c r="AK191" s="195">
        <f t="shared" si="266"/>
        <v>3.3100000000000005</v>
      </c>
      <c r="AL191" s="196">
        <f t="shared" si="267"/>
        <v>0</v>
      </c>
      <c r="AM191" s="52">
        <f t="shared" si="268"/>
        <v>0</v>
      </c>
      <c r="AN191" s="52">
        <f t="shared" si="269"/>
        <v>0</v>
      </c>
      <c r="AO191" s="52">
        <f t="shared" si="270"/>
        <v>4</v>
      </c>
      <c r="AP191" s="52">
        <f t="shared" si="271"/>
        <v>0</v>
      </c>
    </row>
    <row r="192" spans="1:42" ht="20.100000000000001" customHeight="1" x14ac:dyDescent="0.25">
      <c r="A192" s="129"/>
      <c r="B192" s="182" t="s">
        <v>85</v>
      </c>
      <c r="C192" s="183"/>
      <c r="D192" s="188" t="s">
        <v>100</v>
      </c>
      <c r="E192" s="189" t="s">
        <v>254</v>
      </c>
      <c r="F192" s="14">
        <v>1</v>
      </c>
      <c r="G192" s="14">
        <v>1.5</v>
      </c>
      <c r="H192" s="14">
        <v>0.2</v>
      </c>
      <c r="I192" s="14">
        <v>0.45</v>
      </c>
      <c r="J192" s="11">
        <f t="shared" si="256"/>
        <v>0.13500000000000004</v>
      </c>
      <c r="K192" s="11">
        <f t="shared" si="257"/>
        <v>0.30000000000000004</v>
      </c>
      <c r="L192" s="11">
        <f t="shared" si="258"/>
        <v>0.88500000000000012</v>
      </c>
      <c r="M192" s="190">
        <v>0.125</v>
      </c>
      <c r="N192" s="14">
        <f t="shared" si="273"/>
        <v>0.32500000000000001</v>
      </c>
      <c r="O192" s="14">
        <f t="shared" si="274"/>
        <v>0.48750000000000004</v>
      </c>
      <c r="P192" s="190">
        <v>0.125</v>
      </c>
      <c r="Q192" s="14">
        <f t="shared" si="259"/>
        <v>0.32500000000000001</v>
      </c>
      <c r="R192" s="14">
        <f t="shared" si="260"/>
        <v>0.48750000000000004</v>
      </c>
      <c r="S192" s="14"/>
      <c r="T192" s="14"/>
      <c r="U192" s="191">
        <f t="shared" si="261"/>
        <v>0</v>
      </c>
      <c r="V192" s="14" t="s">
        <v>222</v>
      </c>
      <c r="W192" s="14"/>
      <c r="X192" s="14"/>
      <c r="Y192" s="14"/>
      <c r="Z192" s="14"/>
      <c r="AA192" s="14"/>
      <c r="AB192" s="14">
        <f t="shared" si="275"/>
        <v>9.0000000000000011E-2</v>
      </c>
      <c r="AC192" s="14"/>
      <c r="AE192" s="11"/>
      <c r="AG192" s="52">
        <f t="shared" si="262"/>
        <v>1.1850000000000001</v>
      </c>
      <c r="AH192" s="52">
        <f t="shared" si="263"/>
        <v>0</v>
      </c>
      <c r="AI192" s="193">
        <f t="shared" si="264"/>
        <v>0</v>
      </c>
      <c r="AJ192" s="194">
        <f t="shared" si="265"/>
        <v>0</v>
      </c>
      <c r="AK192" s="195">
        <f t="shared" si="266"/>
        <v>1.1850000000000001</v>
      </c>
      <c r="AL192" s="196">
        <f t="shared" si="267"/>
        <v>0</v>
      </c>
      <c r="AM192" s="52">
        <f t="shared" si="268"/>
        <v>0</v>
      </c>
      <c r="AN192" s="52">
        <f t="shared" si="269"/>
        <v>0</v>
      </c>
      <c r="AO192" s="52">
        <f t="shared" si="270"/>
        <v>1.5</v>
      </c>
      <c r="AP192" s="52">
        <f t="shared" si="271"/>
        <v>0</v>
      </c>
    </row>
    <row r="193" spans="1:42" ht="20.100000000000001" customHeight="1" x14ac:dyDescent="0.25">
      <c r="A193" s="129"/>
      <c r="B193" s="182" t="s">
        <v>85</v>
      </c>
      <c r="C193" s="183"/>
      <c r="D193" s="188" t="s">
        <v>100</v>
      </c>
      <c r="E193" s="189" t="s">
        <v>255</v>
      </c>
      <c r="F193" s="14">
        <v>1</v>
      </c>
      <c r="G193" s="14">
        <v>1.7</v>
      </c>
      <c r="H193" s="14">
        <v>0.2</v>
      </c>
      <c r="I193" s="14">
        <v>0.45</v>
      </c>
      <c r="J193" s="11">
        <f t="shared" si="256"/>
        <v>0.15300000000000002</v>
      </c>
      <c r="K193" s="11">
        <f t="shared" si="257"/>
        <v>0.34</v>
      </c>
      <c r="L193" s="11">
        <f t="shared" si="258"/>
        <v>1.105</v>
      </c>
      <c r="M193" s="190">
        <v>0.125</v>
      </c>
      <c r="N193" s="14">
        <f t="shared" si="273"/>
        <v>0.32500000000000001</v>
      </c>
      <c r="O193" s="14">
        <f t="shared" si="274"/>
        <v>0.55249999999999999</v>
      </c>
      <c r="P193" s="190">
        <v>0.125</v>
      </c>
      <c r="Q193" s="14">
        <f t="shared" si="259"/>
        <v>0.32500000000000001</v>
      </c>
      <c r="R193" s="14">
        <f t="shared" si="260"/>
        <v>0.55249999999999999</v>
      </c>
      <c r="S193" s="14"/>
      <c r="T193" s="14"/>
      <c r="U193" s="191">
        <f t="shared" ref="U193:U209" si="312">+SUM(S193:T193)*(N193+Q193)/2*2</f>
        <v>0</v>
      </c>
      <c r="V193" s="14"/>
      <c r="W193" s="14"/>
      <c r="X193" s="14"/>
      <c r="Y193" s="14"/>
      <c r="Z193" s="14"/>
      <c r="AA193" s="14"/>
      <c r="AB193" s="14">
        <f t="shared" si="275"/>
        <v>0</v>
      </c>
      <c r="AC193" s="14"/>
      <c r="AE193" s="11"/>
      <c r="AG193" s="52">
        <f t="shared" si="262"/>
        <v>1.4450000000000001</v>
      </c>
      <c r="AH193" s="52">
        <f t="shared" si="263"/>
        <v>0</v>
      </c>
      <c r="AI193" s="193">
        <f t="shared" si="264"/>
        <v>0</v>
      </c>
      <c r="AJ193" s="194">
        <f t="shared" si="265"/>
        <v>0</v>
      </c>
      <c r="AK193" s="195">
        <f t="shared" si="266"/>
        <v>1.4450000000000001</v>
      </c>
      <c r="AL193" s="196">
        <f t="shared" si="267"/>
        <v>0</v>
      </c>
      <c r="AM193" s="52">
        <f t="shared" si="268"/>
        <v>0</v>
      </c>
      <c r="AN193" s="52">
        <f t="shared" si="269"/>
        <v>0</v>
      </c>
      <c r="AO193" s="52">
        <f t="shared" si="270"/>
        <v>1.7</v>
      </c>
      <c r="AP193" s="52">
        <f t="shared" si="271"/>
        <v>0</v>
      </c>
    </row>
    <row r="194" spans="1:42" ht="20.100000000000001" customHeight="1" x14ac:dyDescent="0.25">
      <c r="A194" s="129"/>
      <c r="B194" s="182" t="s">
        <v>85</v>
      </c>
      <c r="C194" s="183"/>
      <c r="E194" s="189" t="s">
        <v>256</v>
      </c>
      <c r="F194" s="14">
        <v>1</v>
      </c>
      <c r="G194" s="14">
        <v>3.6</v>
      </c>
      <c r="H194" s="14">
        <v>0.2</v>
      </c>
      <c r="I194" s="14">
        <v>0.45</v>
      </c>
      <c r="J194" s="11">
        <f t="shared" si="256"/>
        <v>0.32400000000000007</v>
      </c>
      <c r="K194" s="11">
        <f t="shared" si="257"/>
        <v>0.72000000000000008</v>
      </c>
      <c r="L194" s="11">
        <f t="shared" si="258"/>
        <v>2.1825000000000001</v>
      </c>
      <c r="M194" s="190">
        <v>0.125</v>
      </c>
      <c r="N194" s="14">
        <f t="shared" si="273"/>
        <v>0.32500000000000001</v>
      </c>
      <c r="O194" s="14">
        <f t="shared" si="274"/>
        <v>1.1700000000000002</v>
      </c>
      <c r="P194" s="190">
        <v>0.125</v>
      </c>
      <c r="Q194" s="14">
        <f t="shared" si="259"/>
        <v>0.32500000000000001</v>
      </c>
      <c r="R194" s="14">
        <f t="shared" si="260"/>
        <v>1.1700000000000002</v>
      </c>
      <c r="S194" s="14"/>
      <c r="T194" s="14"/>
      <c r="U194" s="191">
        <f t="shared" si="312"/>
        <v>0</v>
      </c>
      <c r="V194" s="14" t="s">
        <v>191</v>
      </c>
      <c r="W194" s="14" t="s">
        <v>190</v>
      </c>
      <c r="X194" s="14"/>
      <c r="Y194" s="14"/>
      <c r="Z194" s="14"/>
      <c r="AA194" s="14"/>
      <c r="AB194" s="14">
        <f t="shared" si="275"/>
        <v>0.15750000000000003</v>
      </c>
      <c r="AC194" s="14"/>
      <c r="AE194" s="11"/>
      <c r="AG194" s="52">
        <f t="shared" si="262"/>
        <v>2.9025000000000003</v>
      </c>
      <c r="AH194" s="52">
        <f t="shared" si="263"/>
        <v>0</v>
      </c>
      <c r="AI194" s="193">
        <f t="shared" si="264"/>
        <v>0</v>
      </c>
      <c r="AJ194" s="194">
        <f t="shared" si="265"/>
        <v>0</v>
      </c>
      <c r="AK194" s="195">
        <f t="shared" si="266"/>
        <v>2.9025000000000003</v>
      </c>
      <c r="AL194" s="196">
        <f t="shared" si="267"/>
        <v>0</v>
      </c>
      <c r="AM194" s="52">
        <f t="shared" si="268"/>
        <v>0</v>
      </c>
      <c r="AN194" s="52">
        <f t="shared" si="269"/>
        <v>0</v>
      </c>
      <c r="AO194" s="52">
        <f t="shared" si="270"/>
        <v>3.6</v>
      </c>
      <c r="AP194" s="52">
        <f t="shared" si="271"/>
        <v>0</v>
      </c>
    </row>
    <row r="195" spans="1:42" ht="20.100000000000001" customHeight="1" x14ac:dyDescent="0.25">
      <c r="A195" s="129"/>
      <c r="B195" s="182" t="s">
        <v>85</v>
      </c>
      <c r="C195" s="183"/>
      <c r="E195" s="189" t="s">
        <v>257</v>
      </c>
      <c r="F195" s="14">
        <v>1</v>
      </c>
      <c r="G195" s="14">
        <v>4</v>
      </c>
      <c r="H195" s="14">
        <v>0.2</v>
      </c>
      <c r="I195" s="14">
        <v>0.45</v>
      </c>
      <c r="J195" s="11">
        <f t="shared" si="256"/>
        <v>0.36000000000000004</v>
      </c>
      <c r="K195" s="11">
        <f t="shared" si="257"/>
        <v>0.8</v>
      </c>
      <c r="L195" s="11">
        <f t="shared" si="258"/>
        <v>2.5</v>
      </c>
      <c r="M195" s="190">
        <v>0.15</v>
      </c>
      <c r="N195" s="14">
        <f t="shared" si="273"/>
        <v>0.30000000000000004</v>
      </c>
      <c r="O195" s="14">
        <f t="shared" si="274"/>
        <v>1.2000000000000002</v>
      </c>
      <c r="P195" s="190">
        <v>0.125</v>
      </c>
      <c r="Q195" s="14">
        <f t="shared" si="259"/>
        <v>0.32500000000000001</v>
      </c>
      <c r="R195" s="14">
        <f t="shared" si="260"/>
        <v>1.3</v>
      </c>
      <c r="S195" s="14"/>
      <c r="T195" s="14"/>
      <c r="U195" s="191">
        <f t="shared" si="312"/>
        <v>0</v>
      </c>
      <c r="V195" s="14"/>
      <c r="W195" s="14"/>
      <c r="X195" s="14"/>
      <c r="Y195" s="14"/>
      <c r="Z195" s="14"/>
      <c r="AA195" s="14"/>
      <c r="AB195" s="14">
        <f t="shared" si="275"/>
        <v>0</v>
      </c>
      <c r="AC195" s="14"/>
      <c r="AE195" s="11"/>
      <c r="AG195" s="52">
        <f t="shared" si="262"/>
        <v>3.3</v>
      </c>
      <c r="AH195" s="52">
        <f t="shared" si="263"/>
        <v>0</v>
      </c>
      <c r="AI195" s="193">
        <f t="shared" si="264"/>
        <v>0</v>
      </c>
      <c r="AJ195" s="194">
        <f t="shared" si="265"/>
        <v>0</v>
      </c>
      <c r="AK195" s="195">
        <f t="shared" si="266"/>
        <v>3.3</v>
      </c>
      <c r="AL195" s="196">
        <f t="shared" si="267"/>
        <v>0</v>
      </c>
      <c r="AM195" s="52">
        <f t="shared" si="268"/>
        <v>0</v>
      </c>
      <c r="AN195" s="52">
        <f t="shared" si="269"/>
        <v>0</v>
      </c>
      <c r="AO195" s="52">
        <f t="shared" si="270"/>
        <v>4</v>
      </c>
      <c r="AP195" s="52">
        <f t="shared" si="271"/>
        <v>0</v>
      </c>
    </row>
    <row r="196" spans="1:42" ht="20.100000000000001" customHeight="1" x14ac:dyDescent="0.25">
      <c r="A196" s="129"/>
      <c r="B196" s="182" t="s">
        <v>85</v>
      </c>
      <c r="C196" s="183"/>
      <c r="E196" s="189" t="s">
        <v>258</v>
      </c>
      <c r="F196" s="14">
        <v>1</v>
      </c>
      <c r="G196" s="14">
        <v>1.5</v>
      </c>
      <c r="H196" s="14">
        <v>0.2</v>
      </c>
      <c r="I196" s="14">
        <v>0.45</v>
      </c>
      <c r="J196" s="11">
        <f t="shared" si="256"/>
        <v>0.13500000000000004</v>
      </c>
      <c r="K196" s="11">
        <f t="shared" si="257"/>
        <v>0.30000000000000004</v>
      </c>
      <c r="L196" s="11">
        <f t="shared" si="258"/>
        <v>0.97500000000000009</v>
      </c>
      <c r="M196" s="190">
        <v>0.125</v>
      </c>
      <c r="N196" s="14">
        <f t="shared" si="273"/>
        <v>0.32500000000000001</v>
      </c>
      <c r="O196" s="14">
        <f t="shared" si="274"/>
        <v>0.48750000000000004</v>
      </c>
      <c r="P196" s="190">
        <v>0.125</v>
      </c>
      <c r="Q196" s="14">
        <f t="shared" si="259"/>
        <v>0.32500000000000001</v>
      </c>
      <c r="R196" s="14">
        <f t="shared" si="260"/>
        <v>0.48750000000000004</v>
      </c>
      <c r="S196" s="14"/>
      <c r="T196" s="14"/>
      <c r="U196" s="191">
        <f t="shared" si="312"/>
        <v>0</v>
      </c>
      <c r="V196" s="14"/>
      <c r="W196" s="14"/>
      <c r="X196" s="14"/>
      <c r="Y196" s="14"/>
      <c r="Z196" s="14"/>
      <c r="AA196" s="14"/>
      <c r="AB196" s="14">
        <f t="shared" si="275"/>
        <v>0</v>
      </c>
      <c r="AC196" s="14"/>
      <c r="AE196" s="11"/>
      <c r="AG196" s="52">
        <f t="shared" si="262"/>
        <v>1.2750000000000001</v>
      </c>
      <c r="AH196" s="52">
        <f t="shared" si="263"/>
        <v>0</v>
      </c>
      <c r="AI196" s="193">
        <f t="shared" si="264"/>
        <v>0</v>
      </c>
      <c r="AJ196" s="194">
        <f t="shared" si="265"/>
        <v>0</v>
      </c>
      <c r="AK196" s="195">
        <f t="shared" si="266"/>
        <v>1.2750000000000001</v>
      </c>
      <c r="AL196" s="196">
        <f t="shared" si="267"/>
        <v>0</v>
      </c>
      <c r="AM196" s="52">
        <f t="shared" si="268"/>
        <v>0</v>
      </c>
      <c r="AN196" s="52">
        <f t="shared" si="269"/>
        <v>0</v>
      </c>
      <c r="AO196" s="52">
        <f t="shared" si="270"/>
        <v>1.5</v>
      </c>
      <c r="AP196" s="52">
        <f t="shared" si="271"/>
        <v>0</v>
      </c>
    </row>
    <row r="197" spans="1:42" ht="20.100000000000001" customHeight="1" x14ac:dyDescent="0.25">
      <c r="A197" s="129"/>
      <c r="B197" s="182" t="s">
        <v>85</v>
      </c>
      <c r="C197" s="183"/>
      <c r="E197" s="189" t="s">
        <v>259</v>
      </c>
      <c r="F197" s="14">
        <v>1</v>
      </c>
      <c r="G197" s="14">
        <v>4</v>
      </c>
      <c r="H197" s="14">
        <v>0.2</v>
      </c>
      <c r="I197" s="14">
        <v>0.55000000000000004</v>
      </c>
      <c r="J197" s="11">
        <f t="shared" si="256"/>
        <v>0.44000000000000006</v>
      </c>
      <c r="K197" s="11">
        <f t="shared" si="257"/>
        <v>0.8</v>
      </c>
      <c r="L197" s="11">
        <f t="shared" si="258"/>
        <v>3.9000000000000004</v>
      </c>
      <c r="M197" s="190"/>
      <c r="N197" s="14">
        <f t="shared" si="273"/>
        <v>0.55000000000000004</v>
      </c>
      <c r="O197" s="14">
        <f t="shared" si="274"/>
        <v>2.2000000000000002</v>
      </c>
      <c r="P197" s="190">
        <v>0.125</v>
      </c>
      <c r="Q197" s="14">
        <f t="shared" si="259"/>
        <v>0.42500000000000004</v>
      </c>
      <c r="R197" s="14">
        <f t="shared" si="260"/>
        <v>1.7000000000000002</v>
      </c>
      <c r="S197" s="14"/>
      <c r="T197" s="14"/>
      <c r="U197" s="191">
        <f t="shared" si="312"/>
        <v>0</v>
      </c>
      <c r="V197" s="14"/>
      <c r="W197" s="14"/>
      <c r="X197" s="14"/>
      <c r="Y197" s="14"/>
      <c r="Z197" s="14"/>
      <c r="AA197" s="14"/>
      <c r="AB197" s="14">
        <f t="shared" si="275"/>
        <v>0</v>
      </c>
      <c r="AC197" s="14"/>
      <c r="AE197" s="11"/>
      <c r="AG197" s="52">
        <f t="shared" si="262"/>
        <v>4.7</v>
      </c>
      <c r="AH197" s="52">
        <f t="shared" si="263"/>
        <v>0</v>
      </c>
      <c r="AI197" s="193">
        <f t="shared" si="264"/>
        <v>0</v>
      </c>
      <c r="AJ197" s="194">
        <f t="shared" si="265"/>
        <v>0</v>
      </c>
      <c r="AK197" s="195">
        <f t="shared" si="266"/>
        <v>4.7</v>
      </c>
      <c r="AL197" s="196">
        <f t="shared" si="267"/>
        <v>0</v>
      </c>
      <c r="AM197" s="52">
        <f t="shared" si="268"/>
        <v>0</v>
      </c>
      <c r="AN197" s="52">
        <f t="shared" si="269"/>
        <v>0</v>
      </c>
      <c r="AO197" s="52">
        <f t="shared" si="270"/>
        <v>4</v>
      </c>
      <c r="AP197" s="52">
        <f t="shared" si="271"/>
        <v>0</v>
      </c>
    </row>
    <row r="198" spans="1:42" ht="20.100000000000001" customHeight="1" x14ac:dyDescent="0.25">
      <c r="A198" s="129"/>
      <c r="B198" s="182" t="s">
        <v>85</v>
      </c>
      <c r="C198" s="183"/>
      <c r="E198" s="189" t="s">
        <v>260</v>
      </c>
      <c r="F198" s="14">
        <v>1</v>
      </c>
      <c r="G198" s="14">
        <v>2.94</v>
      </c>
      <c r="H198" s="14">
        <v>0.2</v>
      </c>
      <c r="I198" s="14">
        <v>0.55000000000000004</v>
      </c>
      <c r="J198" s="11">
        <f t="shared" si="256"/>
        <v>0.32340000000000002</v>
      </c>
      <c r="K198" s="11">
        <f t="shared" si="257"/>
        <v>0.58799999999999997</v>
      </c>
      <c r="L198" s="11">
        <f t="shared" si="258"/>
        <v>2.319</v>
      </c>
      <c r="M198" s="190">
        <v>0.125</v>
      </c>
      <c r="N198" s="14">
        <f t="shared" si="273"/>
        <v>0.42500000000000004</v>
      </c>
      <c r="O198" s="14">
        <f t="shared" si="274"/>
        <v>1.2495000000000001</v>
      </c>
      <c r="P198" s="190">
        <v>0.125</v>
      </c>
      <c r="Q198" s="14">
        <f t="shared" si="259"/>
        <v>0.42500000000000004</v>
      </c>
      <c r="R198" s="14">
        <f t="shared" si="260"/>
        <v>1.2495000000000001</v>
      </c>
      <c r="S198" s="14"/>
      <c r="T198" s="14"/>
      <c r="U198" s="191">
        <f t="shared" si="312"/>
        <v>0</v>
      </c>
      <c r="V198" s="14" t="s">
        <v>202</v>
      </c>
      <c r="W198" s="14" t="s">
        <v>203</v>
      </c>
      <c r="X198" s="14"/>
      <c r="Y198" s="14"/>
      <c r="Z198" s="14"/>
      <c r="AA198" s="14"/>
      <c r="AB198" s="14">
        <f t="shared" si="275"/>
        <v>0.18000000000000002</v>
      </c>
      <c r="AC198" s="14"/>
      <c r="AE198" s="11"/>
      <c r="AG198" s="52">
        <f t="shared" si="262"/>
        <v>2.907</v>
      </c>
      <c r="AH198" s="52">
        <f t="shared" si="263"/>
        <v>0</v>
      </c>
      <c r="AI198" s="193">
        <f t="shared" si="264"/>
        <v>0</v>
      </c>
      <c r="AJ198" s="194">
        <f t="shared" si="265"/>
        <v>0</v>
      </c>
      <c r="AK198" s="195">
        <f t="shared" si="266"/>
        <v>2.907</v>
      </c>
      <c r="AL198" s="196">
        <f t="shared" si="267"/>
        <v>0</v>
      </c>
      <c r="AM198" s="52">
        <f t="shared" si="268"/>
        <v>0</v>
      </c>
      <c r="AN198" s="52">
        <f t="shared" si="269"/>
        <v>0</v>
      </c>
      <c r="AO198" s="52">
        <f t="shared" si="270"/>
        <v>2.94</v>
      </c>
      <c r="AP198" s="52">
        <f t="shared" si="271"/>
        <v>0</v>
      </c>
    </row>
    <row r="199" spans="1:42" ht="20.100000000000001" customHeight="1" x14ac:dyDescent="0.25">
      <c r="A199" s="129"/>
      <c r="B199" s="182" t="s">
        <v>85</v>
      </c>
      <c r="C199" s="183"/>
      <c r="E199" s="189" t="s">
        <v>261</v>
      </c>
      <c r="F199" s="14">
        <v>1</v>
      </c>
      <c r="G199" s="14">
        <v>4.1500000000000004</v>
      </c>
      <c r="H199" s="14">
        <v>0.2</v>
      </c>
      <c r="I199" s="14">
        <v>0.55000000000000004</v>
      </c>
      <c r="J199" s="11">
        <f t="shared" si="256"/>
        <v>0.45650000000000007</v>
      </c>
      <c r="K199" s="11">
        <f t="shared" si="257"/>
        <v>0.83000000000000007</v>
      </c>
      <c r="L199" s="11">
        <f t="shared" si="258"/>
        <v>3.7950000000000004</v>
      </c>
      <c r="M199" s="190">
        <v>0.15</v>
      </c>
      <c r="N199" s="14">
        <f t="shared" si="273"/>
        <v>0.4</v>
      </c>
      <c r="O199" s="14">
        <f t="shared" si="274"/>
        <v>1.6600000000000001</v>
      </c>
      <c r="P199" s="190">
        <v>0.125</v>
      </c>
      <c r="Q199" s="14">
        <f t="shared" si="259"/>
        <v>0.42500000000000004</v>
      </c>
      <c r="R199" s="14">
        <f t="shared" si="260"/>
        <v>1.7637500000000004</v>
      </c>
      <c r="S199" s="14">
        <v>0.45</v>
      </c>
      <c r="T199" s="14"/>
      <c r="U199" s="191">
        <f t="shared" si="312"/>
        <v>0.37125000000000002</v>
      </c>
      <c r="V199" s="14"/>
      <c r="W199" s="14"/>
      <c r="X199" s="14"/>
      <c r="Y199" s="14"/>
      <c r="Z199" s="14"/>
      <c r="AA199" s="14"/>
      <c r="AB199" s="14">
        <f t="shared" si="275"/>
        <v>0</v>
      </c>
      <c r="AC199" s="14"/>
      <c r="AE199" s="11"/>
      <c r="AG199" s="52">
        <f t="shared" si="262"/>
        <v>4.625</v>
      </c>
      <c r="AH199" s="52">
        <f t="shared" si="263"/>
        <v>0</v>
      </c>
      <c r="AI199" s="193">
        <f t="shared" si="264"/>
        <v>0</v>
      </c>
      <c r="AJ199" s="194">
        <f t="shared" si="265"/>
        <v>0</v>
      </c>
      <c r="AK199" s="195">
        <f t="shared" si="266"/>
        <v>4.625</v>
      </c>
      <c r="AL199" s="196">
        <f t="shared" si="267"/>
        <v>0</v>
      </c>
      <c r="AM199" s="52">
        <f t="shared" si="268"/>
        <v>0</v>
      </c>
      <c r="AN199" s="52">
        <f t="shared" si="269"/>
        <v>0</v>
      </c>
      <c r="AO199" s="52">
        <f t="shared" si="270"/>
        <v>4.1500000000000004</v>
      </c>
      <c r="AP199" s="52">
        <f t="shared" si="271"/>
        <v>0</v>
      </c>
    </row>
    <row r="200" spans="1:42" ht="20.100000000000001" customHeight="1" x14ac:dyDescent="0.25">
      <c r="A200" s="129"/>
      <c r="B200" s="182" t="s">
        <v>85</v>
      </c>
      <c r="C200" s="183"/>
      <c r="E200" s="189" t="s">
        <v>262</v>
      </c>
      <c r="F200" s="14">
        <v>1</v>
      </c>
      <c r="G200" s="14">
        <v>1.5</v>
      </c>
      <c r="H200" s="14">
        <v>0.2</v>
      </c>
      <c r="I200" s="14">
        <v>0.45</v>
      </c>
      <c r="J200" s="11">
        <f t="shared" si="256"/>
        <v>0.13500000000000004</v>
      </c>
      <c r="K200" s="11">
        <f t="shared" si="257"/>
        <v>0.30000000000000004</v>
      </c>
      <c r="L200" s="11">
        <f t="shared" si="258"/>
        <v>0.97500000000000009</v>
      </c>
      <c r="M200" s="190">
        <v>0.125</v>
      </c>
      <c r="N200" s="14">
        <f t="shared" si="273"/>
        <v>0.32500000000000001</v>
      </c>
      <c r="O200" s="14">
        <f t="shared" si="274"/>
        <v>0.48750000000000004</v>
      </c>
      <c r="P200" s="190">
        <v>0.125</v>
      </c>
      <c r="Q200" s="14">
        <f t="shared" si="259"/>
        <v>0.32500000000000001</v>
      </c>
      <c r="R200" s="14">
        <f t="shared" si="260"/>
        <v>0.48750000000000004</v>
      </c>
      <c r="S200" s="14"/>
      <c r="T200" s="14"/>
      <c r="U200" s="191">
        <f t="shared" si="312"/>
        <v>0</v>
      </c>
      <c r="V200" s="14"/>
      <c r="W200" s="14"/>
      <c r="X200" s="14"/>
      <c r="Y200" s="14"/>
      <c r="Z200" s="14"/>
      <c r="AA200" s="14"/>
      <c r="AB200" s="14">
        <f t="shared" si="275"/>
        <v>0</v>
      </c>
      <c r="AC200" s="14"/>
      <c r="AE200" s="11"/>
      <c r="AG200" s="52">
        <f t="shared" si="262"/>
        <v>1.2750000000000001</v>
      </c>
      <c r="AH200" s="52">
        <f t="shared" si="263"/>
        <v>0</v>
      </c>
      <c r="AI200" s="193">
        <f t="shared" si="264"/>
        <v>0</v>
      </c>
      <c r="AJ200" s="194">
        <f t="shared" si="265"/>
        <v>0</v>
      </c>
      <c r="AK200" s="195">
        <f t="shared" si="266"/>
        <v>1.2750000000000001</v>
      </c>
      <c r="AL200" s="196">
        <f t="shared" si="267"/>
        <v>0</v>
      </c>
      <c r="AM200" s="52">
        <f t="shared" si="268"/>
        <v>0</v>
      </c>
      <c r="AN200" s="52">
        <f t="shared" si="269"/>
        <v>0</v>
      </c>
      <c r="AO200" s="52">
        <f t="shared" si="270"/>
        <v>1.5</v>
      </c>
      <c r="AP200" s="52">
        <f t="shared" si="271"/>
        <v>0</v>
      </c>
    </row>
    <row r="201" spans="1:42" ht="20.100000000000001" customHeight="1" x14ac:dyDescent="0.25">
      <c r="A201" s="129"/>
      <c r="B201" s="182" t="s">
        <v>85</v>
      </c>
      <c r="C201" s="183"/>
      <c r="E201" s="189" t="s">
        <v>263</v>
      </c>
      <c r="F201" s="14">
        <v>1</v>
      </c>
      <c r="G201" s="14">
        <v>4.1619999999999999</v>
      </c>
      <c r="H201" s="14">
        <v>0.2</v>
      </c>
      <c r="I201" s="14">
        <v>0.7</v>
      </c>
      <c r="J201" s="11">
        <f t="shared" si="256"/>
        <v>0.58267999999999998</v>
      </c>
      <c r="K201" s="11">
        <f t="shared" si="257"/>
        <v>0.83240000000000003</v>
      </c>
      <c r="L201" s="11">
        <f t="shared" si="258"/>
        <v>5.7702999999999989</v>
      </c>
      <c r="M201" s="190">
        <v>0.125</v>
      </c>
      <c r="N201" s="14">
        <f t="shared" si="273"/>
        <v>0.57499999999999996</v>
      </c>
      <c r="O201" s="14">
        <f t="shared" si="274"/>
        <v>2.3931499999999999</v>
      </c>
      <c r="P201" s="190"/>
      <c r="Q201" s="14">
        <f t="shared" si="259"/>
        <v>0.7</v>
      </c>
      <c r="R201" s="14">
        <f t="shared" si="260"/>
        <v>2.9133999999999998</v>
      </c>
      <c r="S201" s="14">
        <v>0.45</v>
      </c>
      <c r="T201" s="14"/>
      <c r="U201" s="191">
        <f t="shared" si="312"/>
        <v>0.57374999999999998</v>
      </c>
      <c r="V201" s="14" t="s">
        <v>230</v>
      </c>
      <c r="W201" s="14"/>
      <c r="X201" s="14"/>
      <c r="Y201" s="14"/>
      <c r="Z201" s="14"/>
      <c r="AA201" s="14"/>
      <c r="AB201" s="14">
        <f t="shared" si="275"/>
        <v>0.11000000000000001</v>
      </c>
      <c r="AC201" s="14"/>
      <c r="AE201" s="11"/>
      <c r="AG201" s="52">
        <f t="shared" si="262"/>
        <v>6.6026999999999987</v>
      </c>
      <c r="AH201" s="52">
        <f t="shared" si="263"/>
        <v>0</v>
      </c>
      <c r="AI201" s="193">
        <f t="shared" si="264"/>
        <v>6.6026999999999987</v>
      </c>
      <c r="AJ201" s="194">
        <f t="shared" si="265"/>
        <v>0</v>
      </c>
      <c r="AK201" s="195">
        <f t="shared" si="266"/>
        <v>0</v>
      </c>
      <c r="AL201" s="196">
        <f t="shared" si="267"/>
        <v>0</v>
      </c>
      <c r="AM201" s="52">
        <f t="shared" si="268"/>
        <v>4.1619999999999999</v>
      </c>
      <c r="AN201" s="52">
        <f t="shared" si="269"/>
        <v>0</v>
      </c>
      <c r="AO201" s="52">
        <f t="shared" si="270"/>
        <v>0</v>
      </c>
      <c r="AP201" s="52">
        <f t="shared" si="271"/>
        <v>0</v>
      </c>
    </row>
    <row r="202" spans="1:42" ht="20.100000000000001" customHeight="1" x14ac:dyDescent="0.25">
      <c r="A202" s="129"/>
      <c r="B202" s="182" t="s">
        <v>85</v>
      </c>
      <c r="C202" s="183"/>
      <c r="E202" s="189" t="s">
        <v>264</v>
      </c>
      <c r="F202" s="14">
        <v>1</v>
      </c>
      <c r="G202" s="14">
        <v>4.5369999999999999</v>
      </c>
      <c r="H202" s="14">
        <v>0.2</v>
      </c>
      <c r="I202" s="14">
        <v>0.7</v>
      </c>
      <c r="J202" s="11">
        <f t="shared" si="256"/>
        <v>0.63517999999999997</v>
      </c>
      <c r="K202" s="11">
        <f t="shared" si="257"/>
        <v>0.90739999999999998</v>
      </c>
      <c r="L202" s="11">
        <f t="shared" si="258"/>
        <v>5.6496750000000002</v>
      </c>
      <c r="M202" s="190">
        <v>0.125</v>
      </c>
      <c r="N202" s="14">
        <f t="shared" si="273"/>
        <v>0.57499999999999996</v>
      </c>
      <c r="O202" s="14">
        <f t="shared" si="274"/>
        <v>2.6087749999999996</v>
      </c>
      <c r="P202" s="190"/>
      <c r="Q202" s="14">
        <f t="shared" si="259"/>
        <v>0.7</v>
      </c>
      <c r="R202" s="14">
        <f t="shared" si="260"/>
        <v>3.1758999999999999</v>
      </c>
      <c r="S202" s="14"/>
      <c r="T202" s="14"/>
      <c r="U202" s="191">
        <f t="shared" si="312"/>
        <v>0</v>
      </c>
      <c r="V202" s="14" t="s">
        <v>218</v>
      </c>
      <c r="W202" s="14" t="s">
        <v>210</v>
      </c>
      <c r="X202" s="14"/>
      <c r="Y202" s="14"/>
      <c r="Z202" s="14"/>
      <c r="AA202" s="14"/>
      <c r="AB202" s="14">
        <f t="shared" si="275"/>
        <v>0.13500000000000001</v>
      </c>
      <c r="AC202" s="14"/>
      <c r="AE202" s="11"/>
      <c r="AG202" s="52">
        <f t="shared" si="262"/>
        <v>6.5570750000000002</v>
      </c>
      <c r="AH202" s="52">
        <f t="shared" si="263"/>
        <v>0</v>
      </c>
      <c r="AI202" s="193">
        <f t="shared" si="264"/>
        <v>6.5570750000000002</v>
      </c>
      <c r="AJ202" s="194">
        <f t="shared" si="265"/>
        <v>0</v>
      </c>
      <c r="AK202" s="195">
        <f t="shared" si="266"/>
        <v>0</v>
      </c>
      <c r="AL202" s="196">
        <f t="shared" si="267"/>
        <v>0</v>
      </c>
      <c r="AM202" s="52">
        <f t="shared" si="268"/>
        <v>4.5369999999999999</v>
      </c>
      <c r="AN202" s="52">
        <f t="shared" si="269"/>
        <v>0</v>
      </c>
      <c r="AO202" s="52">
        <f t="shared" si="270"/>
        <v>0</v>
      </c>
      <c r="AP202" s="52">
        <f t="shared" si="271"/>
        <v>0</v>
      </c>
    </row>
    <row r="203" spans="1:42" ht="20.100000000000001" customHeight="1" x14ac:dyDescent="0.25">
      <c r="A203" s="129"/>
      <c r="B203" s="182" t="s">
        <v>85</v>
      </c>
      <c r="C203" s="183"/>
      <c r="E203" s="189" t="s">
        <v>265</v>
      </c>
      <c r="F203" s="14">
        <v>1</v>
      </c>
      <c r="G203" s="14">
        <v>3.641</v>
      </c>
      <c r="H203" s="14">
        <v>0.2</v>
      </c>
      <c r="I203" s="14">
        <v>0.7</v>
      </c>
      <c r="J203" s="11">
        <f t="shared" si="256"/>
        <v>0.50973999999999997</v>
      </c>
      <c r="K203" s="11">
        <f t="shared" si="257"/>
        <v>0.72820000000000007</v>
      </c>
      <c r="L203" s="11">
        <f t="shared" si="258"/>
        <v>4.0071500000000002</v>
      </c>
      <c r="M203" s="190">
        <v>0.125</v>
      </c>
      <c r="N203" s="14">
        <f t="shared" si="273"/>
        <v>0.57499999999999996</v>
      </c>
      <c r="O203" s="14">
        <f t="shared" si="274"/>
        <v>2.093575</v>
      </c>
      <c r="P203" s="190">
        <v>0.125</v>
      </c>
      <c r="Q203" s="14">
        <f t="shared" si="259"/>
        <v>0.57499999999999996</v>
      </c>
      <c r="R203" s="14">
        <f t="shared" si="260"/>
        <v>2.093575</v>
      </c>
      <c r="S203" s="14"/>
      <c r="T203" s="14"/>
      <c r="U203" s="191">
        <f t="shared" si="312"/>
        <v>0</v>
      </c>
      <c r="V203" s="14" t="s">
        <v>208</v>
      </c>
      <c r="W203" s="14" t="s">
        <v>203</v>
      </c>
      <c r="X203" s="14"/>
      <c r="Y203" s="14"/>
      <c r="Z203" s="14"/>
      <c r="AA203" s="14"/>
      <c r="AB203" s="14">
        <f t="shared" si="275"/>
        <v>0.18000000000000002</v>
      </c>
      <c r="AC203" s="14"/>
      <c r="AE203" s="11"/>
      <c r="AG203" s="52">
        <f t="shared" si="262"/>
        <v>4.7353500000000004</v>
      </c>
      <c r="AH203" s="52">
        <f t="shared" si="263"/>
        <v>0</v>
      </c>
      <c r="AI203" s="193">
        <f t="shared" si="264"/>
        <v>0</v>
      </c>
      <c r="AJ203" s="194">
        <f t="shared" si="265"/>
        <v>0</v>
      </c>
      <c r="AK203" s="195">
        <f t="shared" si="266"/>
        <v>4.7353500000000004</v>
      </c>
      <c r="AL203" s="196">
        <f t="shared" si="267"/>
        <v>0</v>
      </c>
      <c r="AM203" s="52">
        <f t="shared" si="268"/>
        <v>0</v>
      </c>
      <c r="AN203" s="52">
        <f t="shared" si="269"/>
        <v>0</v>
      </c>
      <c r="AO203" s="52">
        <f t="shared" si="270"/>
        <v>3.641</v>
      </c>
      <c r="AP203" s="52">
        <f t="shared" si="271"/>
        <v>0</v>
      </c>
    </row>
    <row r="204" spans="1:42" ht="20.100000000000001" customHeight="1" x14ac:dyDescent="0.25">
      <c r="A204" s="129"/>
      <c r="B204" s="182" t="s">
        <v>85</v>
      </c>
      <c r="C204" s="183"/>
      <c r="E204" s="189" t="s">
        <v>266</v>
      </c>
      <c r="F204" s="14">
        <v>1</v>
      </c>
      <c r="G204" s="14">
        <v>6.15</v>
      </c>
      <c r="H204" s="14">
        <v>0.2</v>
      </c>
      <c r="I204" s="14">
        <v>0.7</v>
      </c>
      <c r="J204" s="11">
        <f t="shared" si="256"/>
        <v>0.8610000000000001</v>
      </c>
      <c r="K204" s="11">
        <f t="shared" si="257"/>
        <v>1.2300000000000002</v>
      </c>
      <c r="L204" s="11">
        <f t="shared" si="258"/>
        <v>7.7512499999999998</v>
      </c>
      <c r="M204" s="190">
        <v>0.125</v>
      </c>
      <c r="N204" s="14">
        <f t="shared" si="273"/>
        <v>0.57499999999999996</v>
      </c>
      <c r="O204" s="14">
        <f t="shared" si="274"/>
        <v>3.5362499999999999</v>
      </c>
      <c r="P204" s="190"/>
      <c r="Q204" s="14">
        <f t="shared" si="259"/>
        <v>0.7</v>
      </c>
      <c r="R204" s="14">
        <f t="shared" si="260"/>
        <v>4.3049999999999997</v>
      </c>
      <c r="S204" s="14"/>
      <c r="T204" s="14"/>
      <c r="U204" s="191">
        <f t="shared" si="312"/>
        <v>0</v>
      </c>
      <c r="V204" s="14" t="s">
        <v>188</v>
      </c>
      <c r="W204" s="14"/>
      <c r="X204" s="14"/>
      <c r="Y204" s="14"/>
      <c r="Z204" s="14"/>
      <c r="AA204" s="14"/>
      <c r="AB204" s="14">
        <f t="shared" si="275"/>
        <v>9.0000000000000011E-2</v>
      </c>
      <c r="AC204" s="14"/>
      <c r="AE204" s="11"/>
      <c r="AG204" s="52">
        <f t="shared" si="262"/>
        <v>8.9812499999999993</v>
      </c>
      <c r="AH204" s="52">
        <f t="shared" si="263"/>
        <v>0</v>
      </c>
      <c r="AI204" s="193">
        <f t="shared" si="264"/>
        <v>8.9812499999999993</v>
      </c>
      <c r="AJ204" s="194">
        <f t="shared" si="265"/>
        <v>0</v>
      </c>
      <c r="AK204" s="195">
        <f t="shared" si="266"/>
        <v>0</v>
      </c>
      <c r="AL204" s="196">
        <f t="shared" si="267"/>
        <v>0</v>
      </c>
      <c r="AM204" s="52">
        <f t="shared" si="268"/>
        <v>6.15</v>
      </c>
      <c r="AN204" s="52">
        <f t="shared" si="269"/>
        <v>0</v>
      </c>
      <c r="AO204" s="52">
        <f t="shared" si="270"/>
        <v>0</v>
      </c>
      <c r="AP204" s="52">
        <f t="shared" si="271"/>
        <v>0</v>
      </c>
    </row>
    <row r="205" spans="1:42" ht="20.100000000000001" customHeight="1" x14ac:dyDescent="0.25">
      <c r="A205" s="129"/>
      <c r="B205" s="182" t="s">
        <v>85</v>
      </c>
      <c r="C205" s="183"/>
      <c r="E205" s="189" t="s">
        <v>267</v>
      </c>
      <c r="F205" s="14">
        <v>1</v>
      </c>
      <c r="G205" s="14">
        <v>3.641</v>
      </c>
      <c r="H205" s="14">
        <v>0.2</v>
      </c>
      <c r="I205" s="14">
        <v>1.1499999999999999</v>
      </c>
      <c r="J205" s="11">
        <f t="shared" si="256"/>
        <v>0.83743000000000001</v>
      </c>
      <c r="K205" s="11">
        <f t="shared" si="257"/>
        <v>0.72820000000000007</v>
      </c>
      <c r="L205" s="11">
        <f t="shared" si="258"/>
        <v>7.9191749999999992</v>
      </c>
      <c r="M205" s="190">
        <v>0.125</v>
      </c>
      <c r="N205" s="14">
        <f t="shared" si="273"/>
        <v>1.0249999999999999</v>
      </c>
      <c r="O205" s="14">
        <f t="shared" si="274"/>
        <v>3.7320249999999997</v>
      </c>
      <c r="P205" s="190"/>
      <c r="Q205" s="14">
        <f t="shared" si="259"/>
        <v>1.1499999999999999</v>
      </c>
      <c r="R205" s="14">
        <f t="shared" si="260"/>
        <v>4.1871499999999999</v>
      </c>
      <c r="S205" s="14"/>
      <c r="T205" s="14"/>
      <c r="U205" s="191">
        <f t="shared" si="312"/>
        <v>0</v>
      </c>
      <c r="V205" s="14"/>
      <c r="W205" s="14"/>
      <c r="X205" s="14"/>
      <c r="Y205" s="14"/>
      <c r="Z205" s="14"/>
      <c r="AA205" s="14"/>
      <c r="AB205" s="14">
        <f t="shared" si="275"/>
        <v>0</v>
      </c>
      <c r="AC205" s="14"/>
      <c r="AE205" s="11"/>
      <c r="AG205" s="52">
        <f t="shared" si="262"/>
        <v>0</v>
      </c>
      <c r="AH205" s="52">
        <f t="shared" si="263"/>
        <v>8.6473749999999985</v>
      </c>
      <c r="AI205" s="193">
        <f t="shared" si="264"/>
        <v>0</v>
      </c>
      <c r="AJ205" s="194">
        <f t="shared" si="265"/>
        <v>8.6473749999999985</v>
      </c>
      <c r="AK205" s="195">
        <f t="shared" si="266"/>
        <v>0</v>
      </c>
      <c r="AL205" s="196">
        <f t="shared" si="267"/>
        <v>0</v>
      </c>
      <c r="AM205" s="52">
        <f t="shared" si="268"/>
        <v>0</v>
      </c>
      <c r="AN205" s="52">
        <f t="shared" si="269"/>
        <v>3.641</v>
      </c>
      <c r="AO205" s="52">
        <f t="shared" si="270"/>
        <v>0</v>
      </c>
      <c r="AP205" s="52">
        <f t="shared" si="271"/>
        <v>0</v>
      </c>
    </row>
    <row r="206" spans="1:42" ht="20.100000000000001" customHeight="1" x14ac:dyDescent="0.25">
      <c r="A206" s="129"/>
      <c r="B206" s="182" t="s">
        <v>101</v>
      </c>
      <c r="C206" s="183"/>
      <c r="E206" s="189" t="s">
        <v>591</v>
      </c>
      <c r="F206" s="14">
        <v>2</v>
      </c>
      <c r="G206" s="14">
        <f>9.5-0.45-0.45-0.45</f>
        <v>8.1500000000000021</v>
      </c>
      <c r="H206" s="14">
        <v>0.2</v>
      </c>
      <c r="I206" s="14">
        <v>0.45</v>
      </c>
      <c r="J206" s="11">
        <f t="shared" si="256"/>
        <v>1.4670000000000005</v>
      </c>
      <c r="K206" s="11">
        <f t="shared" si="257"/>
        <v>3.2600000000000011</v>
      </c>
      <c r="L206" s="11">
        <f t="shared" si="258"/>
        <v>12.632500000000004</v>
      </c>
      <c r="M206" s="190">
        <v>0.125</v>
      </c>
      <c r="N206" s="14">
        <f t="shared" si="273"/>
        <v>0.32500000000000001</v>
      </c>
      <c r="O206" s="14">
        <f t="shared" si="274"/>
        <v>5.2975000000000012</v>
      </c>
      <c r="P206" s="190"/>
      <c r="Q206" s="14">
        <f t="shared" si="259"/>
        <v>0.45</v>
      </c>
      <c r="R206" s="14">
        <f t="shared" si="260"/>
        <v>7.3350000000000017</v>
      </c>
      <c r="S206" s="14"/>
      <c r="T206" s="14"/>
      <c r="U206" s="191">
        <f t="shared" si="312"/>
        <v>0</v>
      </c>
      <c r="V206" s="14"/>
      <c r="W206" s="14"/>
      <c r="X206" s="14"/>
      <c r="Y206" s="14"/>
      <c r="Z206" s="14"/>
      <c r="AA206" s="14"/>
      <c r="AB206" s="14">
        <f t="shared" si="275"/>
        <v>0</v>
      </c>
      <c r="AC206" s="14"/>
      <c r="AE206" s="11"/>
      <c r="AG206" s="52">
        <f t="shared" si="262"/>
        <v>15.892500000000005</v>
      </c>
      <c r="AH206" s="52">
        <f t="shared" si="263"/>
        <v>0</v>
      </c>
      <c r="AI206" s="193">
        <f t="shared" si="264"/>
        <v>15.892500000000005</v>
      </c>
      <c r="AJ206" s="194">
        <f t="shared" si="265"/>
        <v>0</v>
      </c>
      <c r="AK206" s="195">
        <f t="shared" si="266"/>
        <v>0</v>
      </c>
      <c r="AL206" s="196">
        <f t="shared" si="267"/>
        <v>0</v>
      </c>
      <c r="AM206" s="52">
        <f t="shared" si="268"/>
        <v>8.1500000000000021</v>
      </c>
      <c r="AN206" s="52">
        <f t="shared" si="269"/>
        <v>0</v>
      </c>
      <c r="AO206" s="52">
        <f t="shared" si="270"/>
        <v>0</v>
      </c>
      <c r="AP206" s="52">
        <f t="shared" si="271"/>
        <v>0</v>
      </c>
    </row>
    <row r="207" spans="1:42" ht="20.100000000000001" customHeight="1" x14ac:dyDescent="0.25">
      <c r="A207" s="129"/>
      <c r="B207" s="182" t="s">
        <v>101</v>
      </c>
      <c r="C207" s="183"/>
      <c r="E207" s="189" t="s">
        <v>591</v>
      </c>
      <c r="F207" s="14">
        <v>3</v>
      </c>
      <c r="G207" s="14">
        <f>6-0.45</f>
        <v>5.55</v>
      </c>
      <c r="H207" s="14">
        <v>0.2</v>
      </c>
      <c r="I207" s="14">
        <v>0.45</v>
      </c>
      <c r="J207" s="11">
        <f t="shared" si="256"/>
        <v>1.4985000000000002</v>
      </c>
      <c r="K207" s="11">
        <f t="shared" si="257"/>
        <v>3.33</v>
      </c>
      <c r="L207" s="11">
        <f t="shared" si="258"/>
        <v>12.903749999999999</v>
      </c>
      <c r="M207" s="190">
        <v>0.125</v>
      </c>
      <c r="N207" s="14">
        <f t="shared" si="273"/>
        <v>0.32500000000000001</v>
      </c>
      <c r="O207" s="14">
        <f t="shared" si="274"/>
        <v>5.4112499999999999</v>
      </c>
      <c r="P207" s="190"/>
      <c r="Q207" s="14">
        <f t="shared" si="259"/>
        <v>0.45</v>
      </c>
      <c r="R207" s="14">
        <f t="shared" si="260"/>
        <v>7.4924999999999997</v>
      </c>
      <c r="S207" s="14"/>
      <c r="T207" s="14"/>
      <c r="U207" s="191">
        <f t="shared" si="312"/>
        <v>0</v>
      </c>
      <c r="V207" s="14"/>
      <c r="W207" s="14"/>
      <c r="X207" s="14"/>
      <c r="Y207" s="14"/>
      <c r="Z207" s="14"/>
      <c r="AA207" s="14"/>
      <c r="AB207" s="14">
        <f t="shared" si="275"/>
        <v>0</v>
      </c>
      <c r="AC207" s="14"/>
      <c r="AE207" s="11"/>
      <c r="AG207" s="52">
        <f t="shared" si="262"/>
        <v>16.233750000000001</v>
      </c>
      <c r="AH207" s="52">
        <f t="shared" si="263"/>
        <v>0</v>
      </c>
      <c r="AI207" s="193">
        <f t="shared" si="264"/>
        <v>16.233750000000001</v>
      </c>
      <c r="AJ207" s="194">
        <f t="shared" si="265"/>
        <v>0</v>
      </c>
      <c r="AK207" s="195">
        <f t="shared" si="266"/>
        <v>0</v>
      </c>
      <c r="AL207" s="196">
        <f t="shared" si="267"/>
        <v>0</v>
      </c>
      <c r="AM207" s="52">
        <f t="shared" si="268"/>
        <v>5.55</v>
      </c>
      <c r="AN207" s="52">
        <f t="shared" si="269"/>
        <v>0</v>
      </c>
      <c r="AO207" s="52">
        <f t="shared" si="270"/>
        <v>0</v>
      </c>
      <c r="AP207" s="52">
        <f t="shared" si="271"/>
        <v>0</v>
      </c>
    </row>
    <row r="208" spans="1:42" ht="20.100000000000001" customHeight="1" x14ac:dyDescent="0.25">
      <c r="A208" s="129"/>
      <c r="B208" s="182" t="s">
        <v>101</v>
      </c>
      <c r="C208" s="183"/>
      <c r="E208" s="189" t="s">
        <v>591</v>
      </c>
      <c r="F208" s="14">
        <v>1</v>
      </c>
      <c r="G208" s="14">
        <v>2.4</v>
      </c>
      <c r="H208" s="14">
        <v>0.2</v>
      </c>
      <c r="I208" s="14">
        <v>0.45</v>
      </c>
      <c r="J208" s="11">
        <f t="shared" si="256"/>
        <v>0.216</v>
      </c>
      <c r="K208" s="11">
        <f t="shared" si="257"/>
        <v>0.48</v>
      </c>
      <c r="L208" s="11">
        <f t="shared" si="258"/>
        <v>1.56</v>
      </c>
      <c r="M208" s="190">
        <v>0.125</v>
      </c>
      <c r="N208" s="14">
        <f t="shared" si="273"/>
        <v>0.32500000000000001</v>
      </c>
      <c r="O208" s="14">
        <f t="shared" si="274"/>
        <v>0.78</v>
      </c>
      <c r="P208" s="190">
        <v>0.125</v>
      </c>
      <c r="Q208" s="14">
        <f t="shared" si="259"/>
        <v>0.32500000000000001</v>
      </c>
      <c r="R208" s="14">
        <f t="shared" si="260"/>
        <v>0.78</v>
      </c>
      <c r="S208" s="14"/>
      <c r="T208" s="14"/>
      <c r="U208" s="191">
        <f t="shared" si="312"/>
        <v>0</v>
      </c>
      <c r="V208" s="14"/>
      <c r="W208" s="14"/>
      <c r="X208" s="14"/>
      <c r="Y208" s="14"/>
      <c r="Z208" s="14"/>
      <c r="AA208" s="14"/>
      <c r="AB208" s="14">
        <f t="shared" si="275"/>
        <v>0</v>
      </c>
      <c r="AC208" s="14"/>
      <c r="AE208" s="11"/>
      <c r="AG208" s="52">
        <f t="shared" si="262"/>
        <v>2.04</v>
      </c>
      <c r="AH208" s="52">
        <f t="shared" si="263"/>
        <v>0</v>
      </c>
      <c r="AI208" s="193">
        <f t="shared" si="264"/>
        <v>0</v>
      </c>
      <c r="AJ208" s="194">
        <f t="shared" si="265"/>
        <v>0</v>
      </c>
      <c r="AK208" s="195">
        <f t="shared" si="266"/>
        <v>2.04</v>
      </c>
      <c r="AL208" s="196">
        <f t="shared" si="267"/>
        <v>0</v>
      </c>
      <c r="AM208" s="52">
        <f t="shared" si="268"/>
        <v>0</v>
      </c>
      <c r="AN208" s="52">
        <f t="shared" si="269"/>
        <v>0</v>
      </c>
      <c r="AO208" s="52">
        <f t="shared" si="270"/>
        <v>2.4</v>
      </c>
      <c r="AP208" s="52">
        <f t="shared" si="271"/>
        <v>0</v>
      </c>
    </row>
    <row r="209" spans="1:42" ht="20.100000000000001" customHeight="1" x14ac:dyDescent="0.25">
      <c r="A209" s="129"/>
      <c r="B209" s="182" t="s">
        <v>101</v>
      </c>
      <c r="C209" s="183"/>
      <c r="E209" s="189" t="s">
        <v>591</v>
      </c>
      <c r="F209" s="14">
        <v>1</v>
      </c>
      <c r="G209" s="14">
        <v>2.8</v>
      </c>
      <c r="H209" s="14">
        <v>0.2</v>
      </c>
      <c r="I209" s="14">
        <v>0.45</v>
      </c>
      <c r="J209" s="11">
        <f t="shared" si="256"/>
        <v>0.252</v>
      </c>
      <c r="K209" s="11">
        <f t="shared" si="257"/>
        <v>0.55999999999999994</v>
      </c>
      <c r="L209" s="11">
        <f t="shared" si="258"/>
        <v>1.8199999999999998</v>
      </c>
      <c r="M209" s="190">
        <v>0.125</v>
      </c>
      <c r="N209" s="14">
        <f t="shared" si="273"/>
        <v>0.32500000000000001</v>
      </c>
      <c r="O209" s="14">
        <f t="shared" si="274"/>
        <v>0.90999999999999992</v>
      </c>
      <c r="P209" s="190">
        <v>0.125</v>
      </c>
      <c r="Q209" s="14">
        <f t="shared" si="259"/>
        <v>0.32500000000000001</v>
      </c>
      <c r="R209" s="14">
        <f t="shared" si="260"/>
        <v>0.90999999999999992</v>
      </c>
      <c r="S209" s="14"/>
      <c r="T209" s="14"/>
      <c r="U209" s="191">
        <f t="shared" si="312"/>
        <v>0</v>
      </c>
      <c r="V209" s="14"/>
      <c r="W209" s="14"/>
      <c r="X209" s="14"/>
      <c r="Y209" s="14"/>
      <c r="Z209" s="14"/>
      <c r="AA209" s="14"/>
      <c r="AB209" s="14">
        <f t="shared" si="275"/>
        <v>0</v>
      </c>
      <c r="AC209" s="14"/>
      <c r="AE209" s="11"/>
      <c r="AG209" s="52">
        <f t="shared" si="262"/>
        <v>2.38</v>
      </c>
      <c r="AH209" s="52">
        <f t="shared" si="263"/>
        <v>0</v>
      </c>
      <c r="AI209" s="193">
        <f t="shared" si="264"/>
        <v>0</v>
      </c>
      <c r="AJ209" s="194">
        <f t="shared" si="265"/>
        <v>0</v>
      </c>
      <c r="AK209" s="195">
        <f t="shared" si="266"/>
        <v>2.38</v>
      </c>
      <c r="AL209" s="196">
        <f t="shared" si="267"/>
        <v>0</v>
      </c>
      <c r="AM209" s="52">
        <f t="shared" si="268"/>
        <v>0</v>
      </c>
      <c r="AN209" s="52">
        <f t="shared" si="269"/>
        <v>0</v>
      </c>
      <c r="AO209" s="52">
        <f t="shared" si="270"/>
        <v>2.8</v>
      </c>
      <c r="AP209" s="52">
        <f t="shared" si="271"/>
        <v>0</v>
      </c>
    </row>
    <row r="210" spans="1:42" s="207" customFormat="1" ht="20.100000000000001" customHeight="1" x14ac:dyDescent="0.25">
      <c r="A210" s="197"/>
      <c r="B210" s="182" t="s">
        <v>85</v>
      </c>
      <c r="C210" s="182"/>
      <c r="D210" s="198"/>
      <c r="E210" s="189"/>
      <c r="F210" s="199">
        <f>SUM(F116:F209)</f>
        <v>92</v>
      </c>
      <c r="G210" s="199">
        <f>SUM(G116:G209)</f>
        <v>251.74500000000003</v>
      </c>
      <c r="H210" s="200">
        <f>IFERROR(AVERAGE(H116:H209),0)</f>
        <v>0.18620689655172384</v>
      </c>
      <c r="I210" s="200">
        <f>IFERROR(AVERAGE(I116:I209),0)</f>
        <v>0.50862068965517271</v>
      </c>
      <c r="J210" s="199">
        <f>SUM(J116:J209)</f>
        <v>29.049915000000009</v>
      </c>
      <c r="K210" s="199">
        <f>SUM(K116:K209)</f>
        <v>53.70649999999997</v>
      </c>
      <c r="L210" s="199">
        <f>SUM(L116:L209)</f>
        <v>249.30039999999988</v>
      </c>
      <c r="M210" s="200">
        <f>IFERROR(AVERAGE(M116:M209),0)</f>
        <v>0.12884615384615389</v>
      </c>
      <c r="N210" s="200">
        <f>IFERROR(AVERAGE(N116:N209),0)</f>
        <v>0.35581395348837186</v>
      </c>
      <c r="O210" s="199">
        <f>SUM(O116:O209)</f>
        <v>110.89257499999997</v>
      </c>
      <c r="P210" s="200">
        <f>IFERROR(AVERAGE(P116:P209),0)</f>
        <v>0.12870370370370368</v>
      </c>
      <c r="Q210" s="200">
        <f>IFERROR(AVERAGE(Q116:Q209),0)</f>
        <v>0.39680851063829786</v>
      </c>
      <c r="R210" s="199">
        <f>SUM(R116:R209)</f>
        <v>127.974075</v>
      </c>
      <c r="S210" s="199">
        <f>SUM(S116:S209)</f>
        <v>13.449999999999996</v>
      </c>
      <c r="T210" s="199">
        <f>SUM(T116:T209)</f>
        <v>2.1</v>
      </c>
      <c r="U210" s="199">
        <f>SUM(U116:U209)</f>
        <v>13.918750000000003</v>
      </c>
      <c r="V210" s="201"/>
      <c r="W210" s="201"/>
      <c r="X210" s="201"/>
      <c r="Y210" s="201"/>
      <c r="Z210" s="201"/>
      <c r="AA210" s="201"/>
      <c r="AB210" s="199">
        <f>SUM(AB116:AB205)</f>
        <v>3.4849999999999999</v>
      </c>
      <c r="AC210" s="199"/>
      <c r="AD210" s="202"/>
      <c r="AE210" s="199"/>
      <c r="AF210" s="203"/>
      <c r="AG210" s="199">
        <f t="shared" ref="AG210:AP210" si="313">SUM(AG116:AG205)</f>
        <v>257.81327500000003</v>
      </c>
      <c r="AH210" s="204">
        <f t="shared" si="313"/>
        <v>8.6473749999999985</v>
      </c>
      <c r="AI210" s="205">
        <f t="shared" si="313"/>
        <v>124.12304999999999</v>
      </c>
      <c r="AJ210" s="206">
        <f t="shared" si="313"/>
        <v>8.6473749999999985</v>
      </c>
      <c r="AK210" s="205">
        <f t="shared" si="313"/>
        <v>133.69022500000003</v>
      </c>
      <c r="AL210" s="206">
        <f t="shared" si="313"/>
        <v>0</v>
      </c>
      <c r="AM210" s="206">
        <f t="shared" si="313"/>
        <v>91.188000000000017</v>
      </c>
      <c r="AN210" s="206">
        <f t="shared" si="313"/>
        <v>3.641</v>
      </c>
      <c r="AO210" s="206">
        <f t="shared" si="313"/>
        <v>138.01599999999999</v>
      </c>
      <c r="AP210" s="206">
        <f t="shared" si="313"/>
        <v>0</v>
      </c>
    </row>
    <row r="211" spans="1:42" s="207" customFormat="1" ht="20.100000000000001" customHeight="1" x14ac:dyDescent="0.25">
      <c r="A211" s="197"/>
      <c r="B211" s="211"/>
      <c r="C211" s="211"/>
      <c r="D211" s="198"/>
      <c r="E211" s="189"/>
      <c r="F211" s="199"/>
      <c r="G211" s="199"/>
      <c r="H211" s="200"/>
      <c r="I211" s="200"/>
      <c r="J211" s="199"/>
      <c r="K211" s="199"/>
      <c r="L211" s="199"/>
      <c r="M211" s="200"/>
      <c r="N211" s="200"/>
      <c r="O211" s="199"/>
      <c r="P211" s="200"/>
      <c r="Q211" s="200"/>
      <c r="R211" s="199"/>
      <c r="S211" s="199"/>
      <c r="T211" s="199"/>
      <c r="U211" s="199"/>
      <c r="V211" s="201"/>
      <c r="W211" s="201"/>
      <c r="X211" s="201"/>
      <c r="Y211" s="201"/>
      <c r="Z211" s="201"/>
      <c r="AA211" s="201"/>
      <c r="AB211" s="199"/>
      <c r="AC211" s="199"/>
      <c r="AD211" s="202"/>
      <c r="AE211" s="199"/>
      <c r="AF211" s="203"/>
      <c r="AG211" s="212"/>
      <c r="AH211" s="212"/>
      <c r="AI211" s="212"/>
      <c r="AJ211" s="212"/>
      <c r="AK211" s="212"/>
      <c r="AL211" s="212"/>
      <c r="AM211" s="212"/>
      <c r="AN211" s="212"/>
      <c r="AO211" s="212"/>
      <c r="AP211" s="212"/>
    </row>
    <row r="213" spans="1:42" s="84" customFormat="1" ht="29.25" customHeight="1" x14ac:dyDescent="0.25">
      <c r="A213" s="83" t="s">
        <v>96</v>
      </c>
      <c r="B213" s="83"/>
      <c r="C213" s="85"/>
      <c r="D213" s="83" t="s">
        <v>68</v>
      </c>
      <c r="E213" s="83" t="s">
        <v>69</v>
      </c>
      <c r="F213" s="86" t="s">
        <v>2</v>
      </c>
      <c r="G213" s="86" t="s">
        <v>3</v>
      </c>
      <c r="H213" s="86" t="s">
        <v>4</v>
      </c>
      <c r="I213" s="86" t="s">
        <v>5</v>
      </c>
      <c r="J213" s="86" t="s">
        <v>70</v>
      </c>
      <c r="K213" s="87" t="s">
        <v>71</v>
      </c>
      <c r="L213" s="88" t="s">
        <v>72</v>
      </c>
      <c r="M213" s="89" t="s">
        <v>73</v>
      </c>
      <c r="N213" s="87" t="s">
        <v>74</v>
      </c>
      <c r="O213" s="90" t="s">
        <v>75</v>
      </c>
      <c r="P213" s="89" t="s">
        <v>73</v>
      </c>
      <c r="Q213" s="87" t="s">
        <v>74</v>
      </c>
      <c r="R213" s="91" t="s">
        <v>75</v>
      </c>
      <c r="S213" s="91" t="s">
        <v>76</v>
      </c>
      <c r="T213" s="91" t="s">
        <v>77</v>
      </c>
      <c r="U213" s="91" t="s">
        <v>78</v>
      </c>
      <c r="V213" s="91" t="s">
        <v>97</v>
      </c>
      <c r="W213" s="91" t="s">
        <v>97</v>
      </c>
      <c r="X213" s="91" t="s">
        <v>97</v>
      </c>
      <c r="Y213" s="91" t="s">
        <v>97</v>
      </c>
      <c r="Z213" s="91" t="s">
        <v>97</v>
      </c>
      <c r="AA213" s="91" t="s">
        <v>97</v>
      </c>
      <c r="AB213" s="91" t="s">
        <v>81</v>
      </c>
      <c r="AC213" s="91"/>
      <c r="AD213" s="91"/>
      <c r="AE213" s="91" t="s">
        <v>82</v>
      </c>
      <c r="AF213" s="92" t="s">
        <v>82</v>
      </c>
      <c r="AI213" s="93"/>
    </row>
    <row r="214" spans="1:42" s="94" customFormat="1" ht="20.100000000000001" customHeight="1" x14ac:dyDescent="0.25">
      <c r="A214" s="181"/>
      <c r="B214" s="182" t="s">
        <v>87</v>
      </c>
      <c r="C214" s="183"/>
      <c r="D214" s="182"/>
      <c r="E214" s="182"/>
      <c r="F214" s="184"/>
      <c r="G214" s="184"/>
      <c r="H214" s="184"/>
      <c r="I214" s="184"/>
      <c r="J214" s="184"/>
      <c r="K214" s="184"/>
      <c r="L214" s="184"/>
      <c r="M214" s="185"/>
      <c r="N214" s="182"/>
      <c r="O214" s="182"/>
      <c r="P214" s="185"/>
      <c r="Q214" s="182"/>
      <c r="R214" s="182"/>
      <c r="S214" s="182"/>
      <c r="T214" s="182"/>
      <c r="U214" s="182"/>
      <c r="V214" s="182"/>
      <c r="W214" s="182"/>
      <c r="X214" s="182"/>
      <c r="Y214" s="182"/>
      <c r="Z214" s="182"/>
      <c r="AA214" s="182"/>
      <c r="AB214" s="182"/>
      <c r="AC214" s="182"/>
      <c r="AD214" s="182"/>
      <c r="AE214" s="184"/>
      <c r="AF214" s="186"/>
      <c r="AG214" s="187" t="s">
        <v>98</v>
      </c>
      <c r="AH214" s="187" t="s">
        <v>99</v>
      </c>
      <c r="AI214" s="187" t="s">
        <v>98</v>
      </c>
      <c r="AJ214" s="187" t="s">
        <v>99</v>
      </c>
      <c r="AK214" s="187" t="s">
        <v>98</v>
      </c>
      <c r="AL214" s="187" t="s">
        <v>99</v>
      </c>
      <c r="AM214" s="187" t="s">
        <v>98</v>
      </c>
      <c r="AN214" s="187" t="s">
        <v>99</v>
      </c>
      <c r="AO214" s="187" t="s">
        <v>98</v>
      </c>
      <c r="AP214" s="187" t="s">
        <v>99</v>
      </c>
    </row>
    <row r="215" spans="1:42" ht="20.100000000000001" customHeight="1" x14ac:dyDescent="0.25">
      <c r="A215" s="129"/>
      <c r="B215" s="182" t="s">
        <v>87</v>
      </c>
      <c r="C215" s="183"/>
      <c r="E215" s="189" t="s">
        <v>274</v>
      </c>
      <c r="F215" s="14">
        <v>1</v>
      </c>
      <c r="G215" s="14">
        <v>7.6349999999999998</v>
      </c>
      <c r="H215" s="14">
        <v>0.2</v>
      </c>
      <c r="I215" s="14">
        <v>0.7</v>
      </c>
      <c r="J215" s="11">
        <f>+PRODUCT(F215:I215)</f>
        <v>1.0689</v>
      </c>
      <c r="K215" s="11">
        <f>PRODUCT(F215,G215,H215)</f>
        <v>1.5270000000000001</v>
      </c>
      <c r="L215" s="11">
        <f>+O215+R215-AB215+U215</f>
        <v>10.702124999999999</v>
      </c>
      <c r="M215" s="190">
        <v>0.125</v>
      </c>
      <c r="N215" s="14">
        <f>+I215-M215</f>
        <v>0.57499999999999996</v>
      </c>
      <c r="O215" s="14">
        <f>+PRODUCT(F215,G215,N215)</f>
        <v>4.3901249999999994</v>
      </c>
      <c r="P215" s="190"/>
      <c r="Q215" s="14">
        <f>+I215-P215</f>
        <v>0.7</v>
      </c>
      <c r="R215" s="14">
        <f>+PRODUCT(F215:G215,Q215)</f>
        <v>5.3444999999999991</v>
      </c>
      <c r="S215" s="14">
        <v>0.45</v>
      </c>
      <c r="T215" s="14">
        <v>0.45</v>
      </c>
      <c r="U215" s="191">
        <f t="shared" ref="U215:U229" si="314">+SUM(S215:T215)*(N215+Q215)/2*2</f>
        <v>1.1475</v>
      </c>
      <c r="V215" s="14" t="s">
        <v>336</v>
      </c>
      <c r="W215" s="14" t="s">
        <v>341</v>
      </c>
      <c r="X215" s="14"/>
      <c r="Y215" s="14"/>
      <c r="Z215" s="14"/>
      <c r="AA215" s="14"/>
      <c r="AB215" s="14">
        <f t="shared" ref="AB215:AB246" si="315">IFERROR(VLOOKUP(V215,$E$19:$I$625,4,FALSE)*VLOOKUP(V215,$E$19:$I$625,5,FALSE),)+IFERROR(VLOOKUP(W215,$E$19:$I$625,4,FALSE)*VLOOKUP(W215,$E$19:$I$625,5,FALSE),)+IFERROR(VLOOKUP(X215,$E$19:$I$625,4,FALSE)*VLOOKUP(X215,$E$19:$I$625,5,FALSE),)+IFERROR(VLOOKUP(Y215,$E$19:$I$625,4,FALSE)*VLOOKUP(Y215,$E$19:$I$625,5,FALSE),)+IFERROR(VLOOKUP(Z215,$E$19:$I$625,4,FALSE)*VLOOKUP(Z215,$E$19:$I$625,5,FALSE),)+IFERROR(VLOOKUP(AA215,$E$19:$I$625,4,FALSE)*VLOOKUP(AA215,$E$19:$I$625,5,FALSE),)</f>
        <v>0.18000000000000002</v>
      </c>
      <c r="AC215" s="14"/>
      <c r="AE215" s="11"/>
      <c r="AG215" s="52">
        <f>+IF(I215&lt;0.75,(K215+L215),0)</f>
        <v>12.229125</v>
      </c>
      <c r="AH215" s="52">
        <f>+IF(I215&lt;0.75,0,(K215+L215))</f>
        <v>0</v>
      </c>
      <c r="AI215" s="193">
        <f>IF(P215=0,(+IF(I215&lt;0.75,(K215+L215),0)),0)</f>
        <v>12.229125</v>
      </c>
      <c r="AJ215" s="194">
        <f>IF(P215=0,(+IF(I215&lt;0.75,0,(K215+L215))),0)</f>
        <v>0</v>
      </c>
      <c r="AK215" s="195">
        <f>+AG215-AI215</f>
        <v>0</v>
      </c>
      <c r="AL215" s="196">
        <f>+AH215-AJ215</f>
        <v>0</v>
      </c>
      <c r="AM215" s="52">
        <f>+IF(AI215=0,0,G215)</f>
        <v>7.6349999999999998</v>
      </c>
      <c r="AN215" s="52">
        <f>+IF(AJ215=0,0,G215)</f>
        <v>0</v>
      </c>
      <c r="AO215" s="52">
        <f>+IF(AK215=0,0,G215)</f>
        <v>0</v>
      </c>
      <c r="AP215" s="52">
        <f>+IF(AL215=0,0,G215)</f>
        <v>0</v>
      </c>
    </row>
    <row r="216" spans="1:42" ht="20.100000000000001" customHeight="1" x14ac:dyDescent="0.25">
      <c r="A216" s="129"/>
      <c r="B216" s="182" t="s">
        <v>87</v>
      </c>
      <c r="C216" s="183"/>
      <c r="E216" s="189" t="s">
        <v>275</v>
      </c>
      <c r="F216" s="14">
        <v>1</v>
      </c>
      <c r="G216" s="14">
        <v>6.665</v>
      </c>
      <c r="H216" s="14">
        <v>0.2</v>
      </c>
      <c r="I216" s="14">
        <v>0.7</v>
      </c>
      <c r="J216" s="11">
        <f t="shared" ref="J216:J229" si="316">+PRODUCT(F216:I216)</f>
        <v>0.93310000000000004</v>
      </c>
      <c r="K216" s="11">
        <f t="shared" ref="K216:K229" si="317">PRODUCT(F216,G216,H216)</f>
        <v>1.3330000000000002</v>
      </c>
      <c r="L216" s="11">
        <f t="shared" ref="L216:L229" si="318">+O216+R216-AB216+U216</f>
        <v>8.8916250000000012</v>
      </c>
      <c r="M216" s="190">
        <v>0.125</v>
      </c>
      <c r="N216" s="14">
        <f t="shared" ref="N216:N229" si="319">+I216-M216</f>
        <v>0.57499999999999996</v>
      </c>
      <c r="O216" s="14">
        <f t="shared" ref="O216:O229" si="320">+PRODUCT(F216,G216,N216)</f>
        <v>3.8323749999999999</v>
      </c>
      <c r="P216" s="190"/>
      <c r="Q216" s="14">
        <f t="shared" ref="Q216:Q229" si="321">+I216-P216</f>
        <v>0.7</v>
      </c>
      <c r="R216" s="14">
        <f t="shared" ref="R216:R229" si="322">+PRODUCT(F216:G216,Q216)</f>
        <v>4.6654999999999998</v>
      </c>
      <c r="S216" s="14">
        <v>0.45</v>
      </c>
      <c r="T216" s="14"/>
      <c r="U216" s="191">
        <f t="shared" si="314"/>
        <v>0.57374999999999998</v>
      </c>
      <c r="V216" s="14" t="s">
        <v>348</v>
      </c>
      <c r="W216" s="14" t="s">
        <v>358</v>
      </c>
      <c r="X216" s="14"/>
      <c r="Y216" s="14"/>
      <c r="Z216" s="14"/>
      <c r="AA216" s="14"/>
      <c r="AB216" s="14">
        <f t="shared" si="315"/>
        <v>0.18000000000000002</v>
      </c>
      <c r="AC216" s="14"/>
      <c r="AE216" s="11"/>
      <c r="AG216" s="52">
        <f t="shared" ref="AG216:AG229" si="323">+IF(I216&lt;0.75,(K216+L216),0)</f>
        <v>10.224625000000001</v>
      </c>
      <c r="AH216" s="52">
        <f t="shared" ref="AH216:AH229" si="324">+IF(I216&lt;0.75,0,(K216+L216))</f>
        <v>0</v>
      </c>
      <c r="AI216" s="193">
        <f>IF(P216=0,(+IF(I216&lt;0.75,(K216+L216),0)),0)</f>
        <v>10.224625000000001</v>
      </c>
      <c r="AJ216" s="194">
        <f t="shared" ref="AJ216" si="325">IF(P216=0,(+IF(I216&lt;0.75,0,(K216+L216))),0)</f>
        <v>0</v>
      </c>
      <c r="AK216" s="195">
        <f t="shared" ref="AK216:AK220" si="326">+AG216-AI216</f>
        <v>0</v>
      </c>
      <c r="AL216" s="196">
        <f t="shared" ref="AL216:AL220" si="327">+AH216-AJ216</f>
        <v>0</v>
      </c>
      <c r="AM216" s="52">
        <f t="shared" ref="AM216:AM229" si="328">+IF(AI216=0,0,G216)</f>
        <v>6.665</v>
      </c>
      <c r="AN216" s="52">
        <f t="shared" ref="AN216:AN229" si="329">+IF(AJ216=0,0,G216)</f>
        <v>0</v>
      </c>
      <c r="AO216" s="52">
        <f t="shared" ref="AO216:AO229" si="330">+IF(AK216=0,0,G216)</f>
        <v>0</v>
      </c>
      <c r="AP216" s="52">
        <f t="shared" ref="AP216:AP229" si="331">+IF(AL216=0,0,G216)</f>
        <v>0</v>
      </c>
    </row>
    <row r="217" spans="1:42" ht="20.100000000000001" customHeight="1" x14ac:dyDescent="0.25">
      <c r="A217" s="129"/>
      <c r="B217" s="182" t="s">
        <v>87</v>
      </c>
      <c r="C217" s="183"/>
      <c r="E217" s="189" t="s">
        <v>276</v>
      </c>
      <c r="F217" s="14">
        <v>1</v>
      </c>
      <c r="G217" s="14">
        <v>1.5</v>
      </c>
      <c r="H217" s="14">
        <v>0.2</v>
      </c>
      <c r="I217" s="14">
        <v>0.45</v>
      </c>
      <c r="J217" s="11">
        <f t="shared" si="316"/>
        <v>0.13500000000000004</v>
      </c>
      <c r="K217" s="11">
        <f t="shared" si="317"/>
        <v>0.30000000000000004</v>
      </c>
      <c r="L217" s="11">
        <f t="shared" si="318"/>
        <v>1.2675000000000001</v>
      </c>
      <c r="M217" s="190">
        <v>0.125</v>
      </c>
      <c r="N217" s="14">
        <f t="shared" si="319"/>
        <v>0.32500000000000001</v>
      </c>
      <c r="O217" s="14">
        <f t="shared" si="320"/>
        <v>0.48750000000000004</v>
      </c>
      <c r="P217" s="190">
        <v>0.125</v>
      </c>
      <c r="Q217" s="14">
        <f t="shared" si="321"/>
        <v>0.32500000000000001</v>
      </c>
      <c r="R217" s="14">
        <f t="shared" si="322"/>
        <v>0.48750000000000004</v>
      </c>
      <c r="S217" s="14">
        <v>0.45</v>
      </c>
      <c r="T217" s="14"/>
      <c r="U217" s="191">
        <f t="shared" si="314"/>
        <v>0.29250000000000004</v>
      </c>
      <c r="V217" s="14"/>
      <c r="W217" s="14"/>
      <c r="X217" s="14"/>
      <c r="Y217" s="14"/>
      <c r="Z217" s="14"/>
      <c r="AA217" s="14"/>
      <c r="AB217" s="14">
        <f t="shared" si="315"/>
        <v>0</v>
      </c>
      <c r="AC217" s="14"/>
      <c r="AE217" s="11"/>
      <c r="AG217" s="52">
        <f t="shared" si="323"/>
        <v>1.5675000000000001</v>
      </c>
      <c r="AH217" s="52">
        <f t="shared" si="324"/>
        <v>0</v>
      </c>
      <c r="AI217" s="193">
        <f t="shared" ref="AI217:AI229" si="332">IF(P217=0,(+IF(I217&lt;0.75,(K217+L217),0)),0)</f>
        <v>0</v>
      </c>
      <c r="AJ217" s="194">
        <f>IF(P217=0,(+IF(I217&lt;0.75,0,(K217+L217))),0)</f>
        <v>0</v>
      </c>
      <c r="AK217" s="195">
        <f t="shared" si="326"/>
        <v>1.5675000000000001</v>
      </c>
      <c r="AL217" s="196">
        <f t="shared" si="327"/>
        <v>0</v>
      </c>
      <c r="AM217" s="52">
        <f t="shared" si="328"/>
        <v>0</v>
      </c>
      <c r="AN217" s="52">
        <f t="shared" si="329"/>
        <v>0</v>
      </c>
      <c r="AO217" s="52">
        <f t="shared" si="330"/>
        <v>1.5</v>
      </c>
      <c r="AP217" s="52">
        <f t="shared" si="331"/>
        <v>0</v>
      </c>
    </row>
    <row r="218" spans="1:42" ht="20.100000000000001" customHeight="1" x14ac:dyDescent="0.25">
      <c r="A218" s="129"/>
      <c r="B218" s="182" t="s">
        <v>87</v>
      </c>
      <c r="C218" s="183"/>
      <c r="E218" s="189" t="s">
        <v>277</v>
      </c>
      <c r="F218" s="14">
        <v>1</v>
      </c>
      <c r="G218" s="14">
        <v>3.84</v>
      </c>
      <c r="H218" s="14">
        <v>0.2</v>
      </c>
      <c r="I218" s="14">
        <v>0.45</v>
      </c>
      <c r="J218" s="11">
        <f t="shared" si="316"/>
        <v>0.34560000000000002</v>
      </c>
      <c r="K218" s="11">
        <f t="shared" si="317"/>
        <v>0.76800000000000002</v>
      </c>
      <c r="L218" s="11">
        <f t="shared" si="318"/>
        <v>2.6812500000000004</v>
      </c>
      <c r="M218" s="190">
        <v>0.15</v>
      </c>
      <c r="N218" s="14">
        <f t="shared" si="319"/>
        <v>0.30000000000000004</v>
      </c>
      <c r="O218" s="14">
        <f t="shared" si="320"/>
        <v>1.1520000000000001</v>
      </c>
      <c r="P218" s="190">
        <v>0.125</v>
      </c>
      <c r="Q218" s="14">
        <f t="shared" si="321"/>
        <v>0.32500000000000001</v>
      </c>
      <c r="R218" s="14">
        <f t="shared" si="322"/>
        <v>1.248</v>
      </c>
      <c r="S218" s="14">
        <v>0.45</v>
      </c>
      <c r="T218" s="14"/>
      <c r="U218" s="191">
        <f t="shared" si="314"/>
        <v>0.28125</v>
      </c>
      <c r="V218" s="14" t="s">
        <v>338</v>
      </c>
      <c r="W218" s="14"/>
      <c r="X218" s="14"/>
      <c r="Y218" s="14"/>
      <c r="Z218" s="14"/>
      <c r="AA218" s="14"/>
      <c r="AB218" s="14">
        <f t="shared" si="315"/>
        <v>0</v>
      </c>
      <c r="AC218" s="14"/>
      <c r="AE218" s="11"/>
      <c r="AG218" s="52">
        <f t="shared" si="323"/>
        <v>3.4492500000000001</v>
      </c>
      <c r="AH218" s="52">
        <f t="shared" si="324"/>
        <v>0</v>
      </c>
      <c r="AI218" s="193">
        <f t="shared" si="332"/>
        <v>0</v>
      </c>
      <c r="AJ218" s="194">
        <f t="shared" ref="AJ218:AJ229" si="333">IF(P218=0,(+IF(I218&lt;0.75,0,(K218+L218))),0)</f>
        <v>0</v>
      </c>
      <c r="AK218" s="195">
        <f t="shared" si="326"/>
        <v>3.4492500000000001</v>
      </c>
      <c r="AL218" s="196">
        <f t="shared" si="327"/>
        <v>0</v>
      </c>
      <c r="AM218" s="52">
        <f t="shared" si="328"/>
        <v>0</v>
      </c>
      <c r="AN218" s="52">
        <f t="shared" si="329"/>
        <v>0</v>
      </c>
      <c r="AO218" s="52">
        <f t="shared" si="330"/>
        <v>3.84</v>
      </c>
      <c r="AP218" s="52">
        <f t="shared" si="331"/>
        <v>0</v>
      </c>
    </row>
    <row r="219" spans="1:42" ht="20.100000000000001" customHeight="1" x14ac:dyDescent="0.25">
      <c r="A219" s="129"/>
      <c r="B219" s="182" t="s">
        <v>87</v>
      </c>
      <c r="C219" s="183"/>
      <c r="E219" s="189" t="s">
        <v>278</v>
      </c>
      <c r="F219" s="14">
        <v>1</v>
      </c>
      <c r="G219" s="14">
        <v>1.9</v>
      </c>
      <c r="H219" s="14">
        <v>0.2</v>
      </c>
      <c r="I219" s="14">
        <v>0.45</v>
      </c>
      <c r="J219" s="11">
        <f t="shared" si="316"/>
        <v>0.17100000000000001</v>
      </c>
      <c r="K219" s="11">
        <f t="shared" si="317"/>
        <v>0.38</v>
      </c>
      <c r="L219" s="11">
        <f t="shared" si="318"/>
        <v>1.5274999999999999</v>
      </c>
      <c r="M219" s="190">
        <v>0.125</v>
      </c>
      <c r="N219" s="14">
        <f t="shared" si="319"/>
        <v>0.32500000000000001</v>
      </c>
      <c r="O219" s="14">
        <f t="shared" si="320"/>
        <v>0.61749999999999994</v>
      </c>
      <c r="P219" s="190">
        <v>0.125</v>
      </c>
      <c r="Q219" s="14">
        <f t="shared" si="321"/>
        <v>0.32500000000000001</v>
      </c>
      <c r="R219" s="14">
        <f t="shared" si="322"/>
        <v>0.61749999999999994</v>
      </c>
      <c r="S219" s="14">
        <v>0.45</v>
      </c>
      <c r="T219" s="14"/>
      <c r="U219" s="191">
        <f t="shared" si="314"/>
        <v>0.29250000000000004</v>
      </c>
      <c r="V219" s="14"/>
      <c r="W219" s="14"/>
      <c r="X219" s="14"/>
      <c r="Y219" s="14"/>
      <c r="Z219" s="14"/>
      <c r="AA219" s="14"/>
      <c r="AB219" s="14">
        <f t="shared" si="315"/>
        <v>0</v>
      </c>
      <c r="AC219" s="14"/>
      <c r="AE219" s="11"/>
      <c r="AG219" s="52">
        <f t="shared" si="323"/>
        <v>1.9074999999999998</v>
      </c>
      <c r="AH219" s="52">
        <f t="shared" si="324"/>
        <v>0</v>
      </c>
      <c r="AI219" s="193">
        <f t="shared" si="332"/>
        <v>0</v>
      </c>
      <c r="AJ219" s="194">
        <f t="shared" si="333"/>
        <v>0</v>
      </c>
      <c r="AK219" s="195">
        <f t="shared" si="326"/>
        <v>1.9074999999999998</v>
      </c>
      <c r="AL219" s="196">
        <f t="shared" si="327"/>
        <v>0</v>
      </c>
      <c r="AM219" s="52">
        <f t="shared" si="328"/>
        <v>0</v>
      </c>
      <c r="AN219" s="52">
        <f t="shared" si="329"/>
        <v>0</v>
      </c>
      <c r="AO219" s="52">
        <f t="shared" si="330"/>
        <v>1.9</v>
      </c>
      <c r="AP219" s="52">
        <f t="shared" si="331"/>
        <v>0</v>
      </c>
    </row>
    <row r="220" spans="1:42" ht="20.100000000000001" customHeight="1" x14ac:dyDescent="0.25">
      <c r="A220" s="129"/>
      <c r="B220" s="182" t="s">
        <v>87</v>
      </c>
      <c r="C220" s="183"/>
      <c r="E220" s="189" t="s">
        <v>279</v>
      </c>
      <c r="F220" s="14">
        <v>1</v>
      </c>
      <c r="G220" s="14">
        <v>4.25</v>
      </c>
      <c r="H220" s="14">
        <v>0.2</v>
      </c>
      <c r="I220" s="14">
        <v>0.45</v>
      </c>
      <c r="J220" s="11">
        <f t="shared" si="316"/>
        <v>0.38250000000000006</v>
      </c>
      <c r="K220" s="11">
        <f t="shared" si="317"/>
        <v>0.85000000000000009</v>
      </c>
      <c r="L220" s="11">
        <f t="shared" si="318"/>
        <v>2.78</v>
      </c>
      <c r="M220" s="190">
        <v>0.15</v>
      </c>
      <c r="N220" s="14">
        <f t="shared" si="319"/>
        <v>0.30000000000000004</v>
      </c>
      <c r="O220" s="14">
        <f t="shared" si="320"/>
        <v>1.2750000000000001</v>
      </c>
      <c r="P220" s="190">
        <v>0.125</v>
      </c>
      <c r="Q220" s="14">
        <f t="shared" si="321"/>
        <v>0.32500000000000001</v>
      </c>
      <c r="R220" s="14">
        <f t="shared" si="322"/>
        <v>1.3812500000000001</v>
      </c>
      <c r="S220" s="14">
        <v>0.45</v>
      </c>
      <c r="T220" s="14"/>
      <c r="U220" s="191">
        <f t="shared" si="314"/>
        <v>0.28125</v>
      </c>
      <c r="V220" s="14" t="s">
        <v>281</v>
      </c>
      <c r="W220" s="14" t="s">
        <v>352</v>
      </c>
      <c r="X220" s="14"/>
      <c r="Y220" s="14"/>
      <c r="Z220" s="14"/>
      <c r="AA220" s="14"/>
      <c r="AB220" s="14">
        <f t="shared" si="315"/>
        <v>0.15750000000000003</v>
      </c>
      <c r="AC220" s="14"/>
      <c r="AE220" s="11"/>
      <c r="AG220" s="52">
        <f t="shared" si="323"/>
        <v>3.63</v>
      </c>
      <c r="AH220" s="52">
        <f t="shared" si="324"/>
        <v>0</v>
      </c>
      <c r="AI220" s="193">
        <f t="shared" si="332"/>
        <v>0</v>
      </c>
      <c r="AJ220" s="194">
        <f t="shared" si="333"/>
        <v>0</v>
      </c>
      <c r="AK220" s="195">
        <f t="shared" si="326"/>
        <v>3.63</v>
      </c>
      <c r="AL220" s="196">
        <f t="shared" si="327"/>
        <v>0</v>
      </c>
      <c r="AM220" s="52">
        <f t="shared" si="328"/>
        <v>0</v>
      </c>
      <c r="AN220" s="52">
        <f t="shared" si="329"/>
        <v>0</v>
      </c>
      <c r="AO220" s="52">
        <f t="shared" si="330"/>
        <v>4.25</v>
      </c>
      <c r="AP220" s="52">
        <f t="shared" si="331"/>
        <v>0</v>
      </c>
    </row>
    <row r="221" spans="1:42" ht="20.100000000000001" customHeight="1" x14ac:dyDescent="0.25">
      <c r="A221" s="129"/>
      <c r="B221" s="182" t="s">
        <v>87</v>
      </c>
      <c r="C221" s="183"/>
      <c r="E221" s="189" t="s">
        <v>280</v>
      </c>
      <c r="F221" s="14">
        <v>1</v>
      </c>
      <c r="G221" s="14">
        <v>1.5</v>
      </c>
      <c r="H221" s="14">
        <v>0.2</v>
      </c>
      <c r="I221" s="14">
        <v>0.45</v>
      </c>
      <c r="J221" s="11">
        <f t="shared" si="316"/>
        <v>0.13500000000000004</v>
      </c>
      <c r="K221" s="11">
        <f t="shared" si="317"/>
        <v>0.30000000000000004</v>
      </c>
      <c r="L221" s="11">
        <f t="shared" si="318"/>
        <v>0.97500000000000009</v>
      </c>
      <c r="M221" s="190">
        <v>0.125</v>
      </c>
      <c r="N221" s="14">
        <f t="shared" si="319"/>
        <v>0.32500000000000001</v>
      </c>
      <c r="O221" s="14">
        <f t="shared" si="320"/>
        <v>0.48750000000000004</v>
      </c>
      <c r="P221" s="190">
        <v>0.125</v>
      </c>
      <c r="Q221" s="14">
        <f t="shared" si="321"/>
        <v>0.32500000000000001</v>
      </c>
      <c r="R221" s="14">
        <f t="shared" si="322"/>
        <v>0.48750000000000004</v>
      </c>
      <c r="S221" s="14"/>
      <c r="T221" s="14"/>
      <c r="U221" s="191">
        <f t="shared" si="314"/>
        <v>0</v>
      </c>
      <c r="V221" s="14"/>
      <c r="W221" s="14"/>
      <c r="X221" s="14"/>
      <c r="Y221" s="14"/>
      <c r="Z221" s="14"/>
      <c r="AA221" s="14"/>
      <c r="AB221" s="14">
        <f t="shared" si="315"/>
        <v>0</v>
      </c>
      <c r="AC221" s="14"/>
      <c r="AE221" s="11"/>
      <c r="AG221" s="52">
        <f t="shared" si="323"/>
        <v>1.2750000000000001</v>
      </c>
      <c r="AH221" s="52">
        <f t="shared" si="324"/>
        <v>0</v>
      </c>
      <c r="AI221" s="193">
        <f t="shared" si="332"/>
        <v>0</v>
      </c>
      <c r="AJ221" s="194">
        <f t="shared" si="333"/>
        <v>0</v>
      </c>
      <c r="AK221" s="195">
        <f>+AG221-AI221</f>
        <v>1.2750000000000001</v>
      </c>
      <c r="AL221" s="196">
        <f>+AH221-AJ221</f>
        <v>0</v>
      </c>
      <c r="AM221" s="52">
        <f t="shared" si="328"/>
        <v>0</v>
      </c>
      <c r="AN221" s="52">
        <f t="shared" si="329"/>
        <v>0</v>
      </c>
      <c r="AO221" s="52">
        <f t="shared" si="330"/>
        <v>1.5</v>
      </c>
      <c r="AP221" s="52">
        <f t="shared" si="331"/>
        <v>0</v>
      </c>
    </row>
    <row r="222" spans="1:42" ht="20.100000000000001" customHeight="1" x14ac:dyDescent="0.25">
      <c r="A222" s="129"/>
      <c r="B222" s="182" t="s">
        <v>87</v>
      </c>
      <c r="C222" s="183"/>
      <c r="E222" s="189" t="s">
        <v>281</v>
      </c>
      <c r="F222" s="14">
        <v>1</v>
      </c>
      <c r="G222" s="14">
        <v>0.6</v>
      </c>
      <c r="H222" s="14">
        <v>0.15</v>
      </c>
      <c r="I222" s="14">
        <v>0.45</v>
      </c>
      <c r="J222" s="11">
        <f t="shared" si="316"/>
        <v>4.0500000000000001E-2</v>
      </c>
      <c r="K222" s="11">
        <f t="shared" si="317"/>
        <v>0.09</v>
      </c>
      <c r="L222" s="11">
        <f t="shared" si="318"/>
        <v>0.39750000000000002</v>
      </c>
      <c r="M222" s="190">
        <v>0.125</v>
      </c>
      <c r="N222" s="14">
        <f t="shared" si="319"/>
        <v>0.32500000000000001</v>
      </c>
      <c r="O222" s="14">
        <f t="shared" si="320"/>
        <v>0.19500000000000001</v>
      </c>
      <c r="P222" s="190"/>
      <c r="Q222" s="14">
        <f t="shared" si="321"/>
        <v>0.45</v>
      </c>
      <c r="R222" s="14">
        <f t="shared" si="322"/>
        <v>0.27</v>
      </c>
      <c r="S222" s="14"/>
      <c r="T222" s="14"/>
      <c r="U222" s="191">
        <f t="shared" si="314"/>
        <v>0</v>
      </c>
      <c r="V222" s="14" t="s">
        <v>282</v>
      </c>
      <c r="W222" s="14"/>
      <c r="X222" s="14"/>
      <c r="Y222" s="14"/>
      <c r="Z222" s="14"/>
      <c r="AA222" s="14"/>
      <c r="AB222" s="14">
        <f t="shared" si="315"/>
        <v>6.7500000000000004E-2</v>
      </c>
      <c r="AC222" s="14"/>
      <c r="AE222" s="11"/>
      <c r="AG222" s="52">
        <f t="shared" si="323"/>
        <v>0.48750000000000004</v>
      </c>
      <c r="AH222" s="52">
        <f t="shared" si="324"/>
        <v>0</v>
      </c>
      <c r="AI222" s="193">
        <f t="shared" si="332"/>
        <v>0.48750000000000004</v>
      </c>
      <c r="AJ222" s="194">
        <f t="shared" si="333"/>
        <v>0</v>
      </c>
      <c r="AK222" s="195">
        <f t="shared" ref="AK222:AK229" si="334">+AG222-AI222</f>
        <v>0</v>
      </c>
      <c r="AL222" s="196">
        <f t="shared" ref="AL222:AL229" si="335">+AH222-AJ222</f>
        <v>0</v>
      </c>
      <c r="AM222" s="52">
        <f t="shared" si="328"/>
        <v>0.6</v>
      </c>
      <c r="AN222" s="52">
        <f t="shared" si="329"/>
        <v>0</v>
      </c>
      <c r="AO222" s="52">
        <f t="shared" si="330"/>
        <v>0</v>
      </c>
      <c r="AP222" s="52">
        <f t="shared" si="331"/>
        <v>0</v>
      </c>
    </row>
    <row r="223" spans="1:42" ht="20.100000000000001" customHeight="1" x14ac:dyDescent="0.25">
      <c r="A223" s="129"/>
      <c r="B223" s="182" t="s">
        <v>87</v>
      </c>
      <c r="C223" s="183"/>
      <c r="E223" s="189" t="s">
        <v>282</v>
      </c>
      <c r="F223" s="14">
        <v>1</v>
      </c>
      <c r="G223" s="14">
        <v>0.5</v>
      </c>
      <c r="H223" s="14">
        <v>0.15</v>
      </c>
      <c r="I223" s="14">
        <v>0.45</v>
      </c>
      <c r="J223" s="11">
        <f t="shared" si="316"/>
        <v>3.3750000000000002E-2</v>
      </c>
      <c r="K223" s="11">
        <f t="shared" si="317"/>
        <v>7.4999999999999997E-2</v>
      </c>
      <c r="L223" s="11">
        <f t="shared" si="318"/>
        <v>0.38750000000000001</v>
      </c>
      <c r="M223" s="190">
        <v>0.125</v>
      </c>
      <c r="N223" s="14">
        <f t="shared" si="319"/>
        <v>0.32500000000000001</v>
      </c>
      <c r="O223" s="14">
        <f t="shared" si="320"/>
        <v>0.16250000000000001</v>
      </c>
      <c r="P223" s="190"/>
      <c r="Q223" s="14">
        <f t="shared" si="321"/>
        <v>0.45</v>
      </c>
      <c r="R223" s="14">
        <f t="shared" si="322"/>
        <v>0.22500000000000001</v>
      </c>
      <c r="S223" s="14"/>
      <c r="T223" s="14"/>
      <c r="U223" s="191">
        <f t="shared" si="314"/>
        <v>0</v>
      </c>
      <c r="V223" s="14"/>
      <c r="W223" s="14"/>
      <c r="X223" s="14"/>
      <c r="Y223" s="14"/>
      <c r="Z223" s="14"/>
      <c r="AA223" s="14"/>
      <c r="AB223" s="14">
        <f t="shared" si="315"/>
        <v>0</v>
      </c>
      <c r="AC223" s="14"/>
      <c r="AE223" s="11"/>
      <c r="AG223" s="52">
        <f t="shared" si="323"/>
        <v>0.46250000000000002</v>
      </c>
      <c r="AH223" s="52">
        <f t="shared" si="324"/>
        <v>0</v>
      </c>
      <c r="AI223" s="193">
        <f t="shared" si="332"/>
        <v>0.46250000000000002</v>
      </c>
      <c r="AJ223" s="194">
        <f t="shared" si="333"/>
        <v>0</v>
      </c>
      <c r="AK223" s="195">
        <f t="shared" si="334"/>
        <v>0</v>
      </c>
      <c r="AL223" s="196">
        <f t="shared" si="335"/>
        <v>0</v>
      </c>
      <c r="AM223" s="52">
        <f t="shared" si="328"/>
        <v>0.5</v>
      </c>
      <c r="AN223" s="52">
        <f t="shared" si="329"/>
        <v>0</v>
      </c>
      <c r="AO223" s="52">
        <f t="shared" si="330"/>
        <v>0</v>
      </c>
      <c r="AP223" s="52">
        <f t="shared" si="331"/>
        <v>0</v>
      </c>
    </row>
    <row r="224" spans="1:42" ht="20.100000000000001" customHeight="1" x14ac:dyDescent="0.25">
      <c r="A224" s="129"/>
      <c r="B224" s="182" t="s">
        <v>87</v>
      </c>
      <c r="C224" s="183"/>
      <c r="E224" s="189" t="s">
        <v>283</v>
      </c>
      <c r="F224" s="14">
        <v>0</v>
      </c>
      <c r="G224" s="14"/>
      <c r="H224" s="14"/>
      <c r="I224" s="14"/>
      <c r="J224" s="11">
        <f t="shared" si="316"/>
        <v>0</v>
      </c>
      <c r="K224" s="11">
        <f t="shared" si="317"/>
        <v>0</v>
      </c>
      <c r="L224" s="11">
        <f t="shared" si="318"/>
        <v>0</v>
      </c>
      <c r="M224" s="190"/>
      <c r="N224" s="14">
        <f t="shared" si="319"/>
        <v>0</v>
      </c>
      <c r="O224" s="14">
        <f t="shared" si="320"/>
        <v>0</v>
      </c>
      <c r="P224" s="190"/>
      <c r="Q224" s="14">
        <f t="shared" si="321"/>
        <v>0</v>
      </c>
      <c r="R224" s="14">
        <f t="shared" si="322"/>
        <v>0</v>
      </c>
      <c r="S224" s="14"/>
      <c r="T224" s="14"/>
      <c r="U224" s="191">
        <f t="shared" si="314"/>
        <v>0</v>
      </c>
      <c r="V224" s="14"/>
      <c r="W224" s="14"/>
      <c r="X224" s="14"/>
      <c r="Y224" s="14"/>
      <c r="Z224" s="14"/>
      <c r="AA224" s="14"/>
      <c r="AB224" s="14">
        <f t="shared" si="315"/>
        <v>0</v>
      </c>
      <c r="AC224" s="14"/>
      <c r="AE224" s="11"/>
      <c r="AG224" s="52">
        <f t="shared" si="323"/>
        <v>0</v>
      </c>
      <c r="AH224" s="52">
        <f t="shared" si="324"/>
        <v>0</v>
      </c>
      <c r="AI224" s="193">
        <f t="shared" si="332"/>
        <v>0</v>
      </c>
      <c r="AJ224" s="194">
        <f t="shared" si="333"/>
        <v>0</v>
      </c>
      <c r="AK224" s="195">
        <f t="shared" si="334"/>
        <v>0</v>
      </c>
      <c r="AL224" s="196">
        <f t="shared" si="335"/>
        <v>0</v>
      </c>
      <c r="AM224" s="52">
        <f t="shared" si="328"/>
        <v>0</v>
      </c>
      <c r="AN224" s="52">
        <f t="shared" si="329"/>
        <v>0</v>
      </c>
      <c r="AO224" s="52">
        <f t="shared" si="330"/>
        <v>0</v>
      </c>
      <c r="AP224" s="52">
        <f t="shared" si="331"/>
        <v>0</v>
      </c>
    </row>
    <row r="225" spans="1:42" ht="20.100000000000001" customHeight="1" x14ac:dyDescent="0.25">
      <c r="A225" s="129"/>
      <c r="B225" s="182" t="s">
        <v>87</v>
      </c>
      <c r="C225" s="183"/>
      <c r="E225" s="189" t="s">
        <v>284</v>
      </c>
      <c r="F225" s="14">
        <v>1</v>
      </c>
      <c r="G225" s="14">
        <v>1.5</v>
      </c>
      <c r="H225" s="14">
        <v>0.2</v>
      </c>
      <c r="I225" s="14">
        <v>0.7</v>
      </c>
      <c r="J225" s="11">
        <f t="shared" si="316"/>
        <v>0.21000000000000002</v>
      </c>
      <c r="K225" s="11">
        <f t="shared" si="317"/>
        <v>0.30000000000000004</v>
      </c>
      <c r="L225" s="11">
        <f t="shared" si="318"/>
        <v>1.7249999999999999</v>
      </c>
      <c r="M225" s="190">
        <v>0.125</v>
      </c>
      <c r="N225" s="14">
        <f t="shared" si="319"/>
        <v>0.57499999999999996</v>
      </c>
      <c r="O225" s="14">
        <f t="shared" si="320"/>
        <v>0.86249999999999993</v>
      </c>
      <c r="P225" s="190">
        <v>0.125</v>
      </c>
      <c r="Q225" s="14">
        <f t="shared" si="321"/>
        <v>0.57499999999999996</v>
      </c>
      <c r="R225" s="14">
        <f t="shared" si="322"/>
        <v>0.86249999999999993</v>
      </c>
      <c r="S225" s="14"/>
      <c r="T225" s="14"/>
      <c r="U225" s="191">
        <f t="shared" si="314"/>
        <v>0</v>
      </c>
      <c r="V225" s="14"/>
      <c r="W225" s="14"/>
      <c r="X225" s="14"/>
      <c r="Y225" s="14"/>
      <c r="Z225" s="14"/>
      <c r="AA225" s="14"/>
      <c r="AB225" s="14">
        <f t="shared" si="315"/>
        <v>0</v>
      </c>
      <c r="AC225" s="14"/>
      <c r="AE225" s="11"/>
      <c r="AG225" s="52">
        <f t="shared" si="323"/>
        <v>2.0249999999999999</v>
      </c>
      <c r="AH225" s="52">
        <f t="shared" si="324"/>
        <v>0</v>
      </c>
      <c r="AI225" s="193">
        <f t="shared" si="332"/>
        <v>0</v>
      </c>
      <c r="AJ225" s="194">
        <f t="shared" si="333"/>
        <v>0</v>
      </c>
      <c r="AK225" s="195">
        <f t="shared" si="334"/>
        <v>2.0249999999999999</v>
      </c>
      <c r="AL225" s="196">
        <f t="shared" si="335"/>
        <v>0</v>
      </c>
      <c r="AM225" s="52">
        <f t="shared" si="328"/>
        <v>0</v>
      </c>
      <c r="AN225" s="52">
        <f t="shared" si="329"/>
        <v>0</v>
      </c>
      <c r="AO225" s="52">
        <f t="shared" si="330"/>
        <v>1.5</v>
      </c>
      <c r="AP225" s="52">
        <f t="shared" si="331"/>
        <v>0</v>
      </c>
    </row>
    <row r="226" spans="1:42" ht="20.100000000000001" customHeight="1" x14ac:dyDescent="0.25">
      <c r="A226" s="129"/>
      <c r="B226" s="182" t="s">
        <v>87</v>
      </c>
      <c r="C226" s="183"/>
      <c r="E226" s="189" t="s">
        <v>285</v>
      </c>
      <c r="F226" s="14">
        <v>1</v>
      </c>
      <c r="G226" s="14">
        <v>3.15</v>
      </c>
      <c r="H226" s="14">
        <v>0.2</v>
      </c>
      <c r="I226" s="14">
        <v>0.45</v>
      </c>
      <c r="J226" s="11">
        <f t="shared" si="316"/>
        <v>0.28350000000000003</v>
      </c>
      <c r="K226" s="11">
        <f t="shared" si="317"/>
        <v>0.63</v>
      </c>
      <c r="L226" s="11">
        <f t="shared" si="318"/>
        <v>2.25</v>
      </c>
      <c r="M226" s="190">
        <v>0.125</v>
      </c>
      <c r="N226" s="14">
        <f t="shared" si="319"/>
        <v>0.32500000000000001</v>
      </c>
      <c r="O226" s="14">
        <f t="shared" si="320"/>
        <v>1.0237499999999999</v>
      </c>
      <c r="P226" s="190">
        <v>0.15</v>
      </c>
      <c r="Q226" s="14">
        <f t="shared" si="321"/>
        <v>0.30000000000000004</v>
      </c>
      <c r="R226" s="14">
        <f t="shared" si="322"/>
        <v>0.94500000000000006</v>
      </c>
      <c r="S226" s="14">
        <v>0.45</v>
      </c>
      <c r="T226" s="14"/>
      <c r="U226" s="191">
        <f t="shared" si="314"/>
        <v>0.28125</v>
      </c>
      <c r="V226" s="14"/>
      <c r="W226" s="14"/>
      <c r="X226" s="14"/>
      <c r="Y226" s="14"/>
      <c r="Z226" s="14"/>
      <c r="AA226" s="14"/>
      <c r="AB226" s="14">
        <f t="shared" si="315"/>
        <v>0</v>
      </c>
      <c r="AC226" s="14"/>
      <c r="AE226" s="11"/>
      <c r="AG226" s="52">
        <f t="shared" si="323"/>
        <v>2.88</v>
      </c>
      <c r="AH226" s="52">
        <f t="shared" si="324"/>
        <v>0</v>
      </c>
      <c r="AI226" s="193">
        <f t="shared" si="332"/>
        <v>0</v>
      </c>
      <c r="AJ226" s="194">
        <f t="shared" si="333"/>
        <v>0</v>
      </c>
      <c r="AK226" s="195">
        <f t="shared" si="334"/>
        <v>2.88</v>
      </c>
      <c r="AL226" s="196">
        <f t="shared" si="335"/>
        <v>0</v>
      </c>
      <c r="AM226" s="52">
        <f t="shared" si="328"/>
        <v>0</v>
      </c>
      <c r="AN226" s="52">
        <f t="shared" si="329"/>
        <v>0</v>
      </c>
      <c r="AO226" s="52">
        <f t="shared" si="330"/>
        <v>3.15</v>
      </c>
      <c r="AP226" s="52">
        <f t="shared" si="331"/>
        <v>0</v>
      </c>
    </row>
    <row r="227" spans="1:42" ht="20.100000000000001" customHeight="1" x14ac:dyDescent="0.25">
      <c r="A227" s="129"/>
      <c r="B227" s="182" t="s">
        <v>87</v>
      </c>
      <c r="C227" s="183"/>
      <c r="E227" s="189" t="s">
        <v>286</v>
      </c>
      <c r="F227" s="14">
        <v>1</v>
      </c>
      <c r="G227" s="14">
        <v>0.75</v>
      </c>
      <c r="H227" s="14">
        <v>0.2</v>
      </c>
      <c r="I227" s="14">
        <v>0.45</v>
      </c>
      <c r="J227" s="11">
        <f t="shared" si="316"/>
        <v>6.7500000000000018E-2</v>
      </c>
      <c r="K227" s="11">
        <f t="shared" si="317"/>
        <v>0.15000000000000002</v>
      </c>
      <c r="L227" s="11">
        <f t="shared" si="318"/>
        <v>0.87750000000000006</v>
      </c>
      <c r="M227" s="190">
        <v>0.125</v>
      </c>
      <c r="N227" s="14">
        <f t="shared" si="319"/>
        <v>0.32500000000000001</v>
      </c>
      <c r="O227" s="14">
        <f t="shared" si="320"/>
        <v>0.24375000000000002</v>
      </c>
      <c r="P227" s="190">
        <v>0.125</v>
      </c>
      <c r="Q227" s="14">
        <f t="shared" si="321"/>
        <v>0.32500000000000001</v>
      </c>
      <c r="R227" s="14">
        <f t="shared" si="322"/>
        <v>0.24375000000000002</v>
      </c>
      <c r="S227" s="14">
        <v>0.6</v>
      </c>
      <c r="T227" s="14"/>
      <c r="U227" s="191">
        <f t="shared" si="314"/>
        <v>0.39</v>
      </c>
      <c r="V227" s="14"/>
      <c r="W227" s="14"/>
      <c r="X227" s="14"/>
      <c r="Y227" s="14"/>
      <c r="Z227" s="14"/>
      <c r="AA227" s="14"/>
      <c r="AB227" s="14">
        <f t="shared" si="315"/>
        <v>0</v>
      </c>
      <c r="AC227" s="14"/>
      <c r="AE227" s="11"/>
      <c r="AG227" s="52">
        <f t="shared" si="323"/>
        <v>1.0275000000000001</v>
      </c>
      <c r="AH227" s="52">
        <f t="shared" si="324"/>
        <v>0</v>
      </c>
      <c r="AI227" s="193">
        <f t="shared" si="332"/>
        <v>0</v>
      </c>
      <c r="AJ227" s="194">
        <f t="shared" si="333"/>
        <v>0</v>
      </c>
      <c r="AK227" s="195">
        <f t="shared" si="334"/>
        <v>1.0275000000000001</v>
      </c>
      <c r="AL227" s="196">
        <f t="shared" si="335"/>
        <v>0</v>
      </c>
      <c r="AM227" s="52">
        <f t="shared" si="328"/>
        <v>0</v>
      </c>
      <c r="AN227" s="52">
        <f t="shared" si="329"/>
        <v>0</v>
      </c>
      <c r="AO227" s="52">
        <f t="shared" si="330"/>
        <v>0.75</v>
      </c>
      <c r="AP227" s="52">
        <f t="shared" si="331"/>
        <v>0</v>
      </c>
    </row>
    <row r="228" spans="1:42" ht="20.100000000000001" customHeight="1" x14ac:dyDescent="0.25">
      <c r="A228" s="129"/>
      <c r="B228" s="182" t="s">
        <v>87</v>
      </c>
      <c r="C228" s="183"/>
      <c r="E228" s="189" t="s">
        <v>287</v>
      </c>
      <c r="F228" s="14">
        <v>0</v>
      </c>
      <c r="G228" s="14"/>
      <c r="H228" s="14"/>
      <c r="I228" s="14"/>
      <c r="J228" s="11">
        <f t="shared" si="316"/>
        <v>0</v>
      </c>
      <c r="K228" s="11">
        <f t="shared" si="317"/>
        <v>0</v>
      </c>
      <c r="L228" s="11">
        <f t="shared" si="318"/>
        <v>0</v>
      </c>
      <c r="M228" s="190"/>
      <c r="N228" s="14">
        <f t="shared" si="319"/>
        <v>0</v>
      </c>
      <c r="O228" s="14">
        <f t="shared" si="320"/>
        <v>0</v>
      </c>
      <c r="P228" s="190"/>
      <c r="Q228" s="14">
        <f t="shared" si="321"/>
        <v>0</v>
      </c>
      <c r="R228" s="14">
        <f t="shared" si="322"/>
        <v>0</v>
      </c>
      <c r="S228" s="14"/>
      <c r="T228" s="14"/>
      <c r="U228" s="191">
        <f t="shared" si="314"/>
        <v>0</v>
      </c>
      <c r="V228" s="14"/>
      <c r="W228" s="14"/>
      <c r="X228" s="14"/>
      <c r="Y228" s="14"/>
      <c r="Z228" s="14"/>
      <c r="AA228" s="14"/>
      <c r="AB228" s="14">
        <f t="shared" si="315"/>
        <v>0</v>
      </c>
      <c r="AC228" s="14"/>
      <c r="AE228" s="11"/>
      <c r="AG228" s="52">
        <f t="shared" si="323"/>
        <v>0</v>
      </c>
      <c r="AH228" s="52">
        <f t="shared" si="324"/>
        <v>0</v>
      </c>
      <c r="AI228" s="193">
        <f t="shared" si="332"/>
        <v>0</v>
      </c>
      <c r="AJ228" s="194">
        <f t="shared" si="333"/>
        <v>0</v>
      </c>
      <c r="AK228" s="195">
        <f t="shared" si="334"/>
        <v>0</v>
      </c>
      <c r="AL228" s="196">
        <f t="shared" si="335"/>
        <v>0</v>
      </c>
      <c r="AM228" s="52">
        <f t="shared" si="328"/>
        <v>0</v>
      </c>
      <c r="AN228" s="52">
        <f t="shared" si="329"/>
        <v>0</v>
      </c>
      <c r="AO228" s="52">
        <f t="shared" si="330"/>
        <v>0</v>
      </c>
      <c r="AP228" s="52">
        <f t="shared" si="331"/>
        <v>0</v>
      </c>
    </row>
    <row r="229" spans="1:42" ht="21" customHeight="1" x14ac:dyDescent="0.25">
      <c r="A229" s="129"/>
      <c r="B229" s="182" t="s">
        <v>87</v>
      </c>
      <c r="C229" s="183"/>
      <c r="E229" s="189" t="s">
        <v>288</v>
      </c>
      <c r="F229" s="14">
        <v>1</v>
      </c>
      <c r="G229" s="14">
        <v>1.75</v>
      </c>
      <c r="H229" s="14">
        <v>0.2</v>
      </c>
      <c r="I229" s="14">
        <v>0.45</v>
      </c>
      <c r="J229" s="11">
        <f t="shared" si="316"/>
        <v>0.15750000000000003</v>
      </c>
      <c r="K229" s="11">
        <f t="shared" si="317"/>
        <v>0.35000000000000003</v>
      </c>
      <c r="L229" s="11">
        <f t="shared" si="318"/>
        <v>1.09375</v>
      </c>
      <c r="M229" s="190">
        <v>0.125</v>
      </c>
      <c r="N229" s="14">
        <f t="shared" si="319"/>
        <v>0.32500000000000001</v>
      </c>
      <c r="O229" s="14">
        <f t="shared" si="320"/>
        <v>0.56874999999999998</v>
      </c>
      <c r="P229" s="190">
        <v>0.15</v>
      </c>
      <c r="Q229" s="14">
        <f t="shared" si="321"/>
        <v>0.30000000000000004</v>
      </c>
      <c r="R229" s="14">
        <f t="shared" si="322"/>
        <v>0.52500000000000013</v>
      </c>
      <c r="S229" s="14"/>
      <c r="T229" s="14"/>
      <c r="U229" s="191">
        <f t="shared" si="314"/>
        <v>0</v>
      </c>
      <c r="V229" s="14"/>
      <c r="W229" s="14"/>
      <c r="X229" s="14"/>
      <c r="Y229" s="14"/>
      <c r="Z229" s="14"/>
      <c r="AA229" s="14"/>
      <c r="AB229" s="14">
        <f t="shared" si="315"/>
        <v>0</v>
      </c>
      <c r="AC229" s="14"/>
      <c r="AE229" s="11"/>
      <c r="AG229" s="52">
        <f t="shared" si="323"/>
        <v>1.4437500000000001</v>
      </c>
      <c r="AH229" s="52">
        <f t="shared" si="324"/>
        <v>0</v>
      </c>
      <c r="AI229" s="193">
        <f t="shared" si="332"/>
        <v>0</v>
      </c>
      <c r="AJ229" s="194">
        <f t="shared" si="333"/>
        <v>0</v>
      </c>
      <c r="AK229" s="195">
        <f t="shared" si="334"/>
        <v>1.4437500000000001</v>
      </c>
      <c r="AL229" s="196">
        <f t="shared" si="335"/>
        <v>0</v>
      </c>
      <c r="AM229" s="52">
        <f t="shared" si="328"/>
        <v>0</v>
      </c>
      <c r="AN229" s="52">
        <f t="shared" si="329"/>
        <v>0</v>
      </c>
      <c r="AO229" s="52">
        <f t="shared" si="330"/>
        <v>1.75</v>
      </c>
      <c r="AP229" s="52">
        <f t="shared" si="331"/>
        <v>0</v>
      </c>
    </row>
    <row r="230" spans="1:42" ht="20.100000000000001" customHeight="1" x14ac:dyDescent="0.25">
      <c r="A230" s="129"/>
      <c r="B230" s="182" t="s">
        <v>87</v>
      </c>
      <c r="C230" s="183"/>
      <c r="E230" s="189" t="s">
        <v>289</v>
      </c>
      <c r="F230" s="14">
        <v>0</v>
      </c>
      <c r="G230" s="14"/>
      <c r="H230" s="14"/>
      <c r="I230" s="14"/>
      <c r="J230" s="11">
        <f>+PRODUCT(F230:I230)</f>
        <v>0</v>
      </c>
      <c r="K230" s="11">
        <f>PRODUCT(F230,G230,H230)</f>
        <v>0</v>
      </c>
      <c r="L230" s="11">
        <f>+O230+R230-AB230+U230</f>
        <v>0</v>
      </c>
      <c r="M230" s="190"/>
      <c r="N230" s="14"/>
      <c r="O230" s="14"/>
      <c r="P230" s="190"/>
      <c r="Q230" s="14">
        <f>+I230-P230</f>
        <v>0</v>
      </c>
      <c r="R230" s="14">
        <f>+PRODUCT(F230:G230,Q230)</f>
        <v>0</v>
      </c>
      <c r="S230" s="14"/>
      <c r="T230" s="14"/>
      <c r="U230" s="191">
        <f>+SUM(S230:T230)*(N230+Q230)/2*2</f>
        <v>0</v>
      </c>
      <c r="V230" s="14"/>
      <c r="W230" s="14"/>
      <c r="X230" s="14"/>
      <c r="Y230" s="14"/>
      <c r="Z230" s="14"/>
      <c r="AA230" s="14"/>
      <c r="AB230" s="14">
        <f t="shared" si="315"/>
        <v>0</v>
      </c>
      <c r="AC230" s="14"/>
      <c r="AE230" s="11"/>
      <c r="AG230" s="52">
        <f>+IF(I230&lt;0.75,(K230+L230),0)</f>
        <v>0</v>
      </c>
      <c r="AH230" s="52">
        <f>+IF(I230&lt;0.75,0,(K230+L230))</f>
        <v>0</v>
      </c>
      <c r="AI230" s="193">
        <f>IF(P230=0,(+IF(I230&lt;0.75,(K230+L230),0)),0)</f>
        <v>0</v>
      </c>
      <c r="AJ230" s="194">
        <f>IF(P230=0,(+IF(I230&lt;0.75,0,(K230+L230))),0)</f>
        <v>0</v>
      </c>
      <c r="AK230" s="195">
        <f>+AG230-AI230</f>
        <v>0</v>
      </c>
      <c r="AL230" s="196">
        <f>+AH230-AJ230</f>
        <v>0</v>
      </c>
      <c r="AM230" s="52">
        <f>+IF(AI230=0,0,G230)</f>
        <v>0</v>
      </c>
      <c r="AN230" s="52">
        <f>+IF(AJ230=0,0,G230)</f>
        <v>0</v>
      </c>
      <c r="AO230" s="52">
        <f>+IF(AK230=0,0,G230)</f>
        <v>0</v>
      </c>
      <c r="AP230" s="52">
        <f>+IF(AL230=0,0,G230)</f>
        <v>0</v>
      </c>
    </row>
    <row r="231" spans="1:42" ht="20.100000000000001" customHeight="1" x14ac:dyDescent="0.25">
      <c r="A231" s="129"/>
      <c r="B231" s="182" t="s">
        <v>87</v>
      </c>
      <c r="C231" s="183"/>
      <c r="E231" s="189" t="s">
        <v>290</v>
      </c>
      <c r="F231" s="14">
        <v>0</v>
      </c>
      <c r="G231" s="14"/>
      <c r="H231" s="14"/>
      <c r="I231" s="14"/>
      <c r="J231" s="11">
        <f t="shared" ref="J231:J245" si="336">+PRODUCT(F231:I231)</f>
        <v>0</v>
      </c>
      <c r="K231" s="11">
        <f t="shared" ref="K231:K245" si="337">PRODUCT(F231,G231,H231)</f>
        <v>0</v>
      </c>
      <c r="L231" s="11">
        <f t="shared" ref="L231:L245" si="338">+O231+R231-AB231+U231</f>
        <v>0</v>
      </c>
      <c r="M231" s="190"/>
      <c r="N231" s="14"/>
      <c r="O231" s="14"/>
      <c r="P231" s="190"/>
      <c r="Q231" s="14">
        <f t="shared" ref="Q231:Q245" si="339">+I231-P231</f>
        <v>0</v>
      </c>
      <c r="R231" s="14">
        <f t="shared" ref="R231:R245" si="340">+PRODUCT(F231:G231,Q231)</f>
        <v>0</v>
      </c>
      <c r="S231" s="14"/>
      <c r="T231" s="14"/>
      <c r="U231" s="191">
        <f t="shared" ref="U231:U245" si="341">+SUM(S231:T231)*(N231+Q231)/2*2</f>
        <v>0</v>
      </c>
      <c r="V231" s="14"/>
      <c r="W231" s="14"/>
      <c r="X231" s="14"/>
      <c r="Y231" s="14"/>
      <c r="Z231" s="14"/>
      <c r="AA231" s="14"/>
      <c r="AB231" s="14">
        <f t="shared" si="315"/>
        <v>0</v>
      </c>
      <c r="AC231" s="14"/>
      <c r="AE231" s="11"/>
      <c r="AG231" s="52">
        <f t="shared" ref="AG231:AG245" si="342">+IF(I231&lt;0.75,(K231+L231),0)</f>
        <v>0</v>
      </c>
      <c r="AH231" s="52">
        <f t="shared" ref="AH231:AH245" si="343">+IF(I231&lt;0.75,0,(K231+L231))</f>
        <v>0</v>
      </c>
      <c r="AI231" s="193">
        <f t="shared" ref="AI231:AI245" si="344">IF(P231=0,(+IF(I231&lt;0.75,(K231+L231),0)),0)</f>
        <v>0</v>
      </c>
      <c r="AJ231" s="194">
        <f t="shared" ref="AJ231:AJ245" si="345">IF(P231=0,(+IF(I231&lt;0.75,0,(K231+L231))),0)</f>
        <v>0</v>
      </c>
      <c r="AK231" s="195">
        <f t="shared" ref="AK231:AK245" si="346">+AG231-AI231</f>
        <v>0</v>
      </c>
      <c r="AL231" s="196">
        <f t="shared" ref="AL231:AL245" si="347">+AH231-AJ231</f>
        <v>0</v>
      </c>
      <c r="AM231" s="52">
        <f t="shared" ref="AM231:AM245" si="348">+IF(AI231=0,0,G231)</f>
        <v>0</v>
      </c>
      <c r="AN231" s="52">
        <f t="shared" ref="AN231:AN245" si="349">+IF(AJ231=0,0,G231)</f>
        <v>0</v>
      </c>
      <c r="AO231" s="52">
        <f t="shared" ref="AO231:AO245" si="350">+IF(AK231=0,0,G231)</f>
        <v>0</v>
      </c>
      <c r="AP231" s="52">
        <f t="shared" ref="AP231:AP245" si="351">+IF(AL231=0,0,G231)</f>
        <v>0</v>
      </c>
    </row>
    <row r="232" spans="1:42" ht="20.100000000000001" customHeight="1" x14ac:dyDescent="0.25">
      <c r="A232" s="129"/>
      <c r="B232" s="182" t="s">
        <v>87</v>
      </c>
      <c r="C232" s="183"/>
      <c r="E232" s="189" t="s">
        <v>291</v>
      </c>
      <c r="F232" s="14">
        <v>0</v>
      </c>
      <c r="G232" s="14"/>
      <c r="H232" s="14"/>
      <c r="I232" s="14"/>
      <c r="J232" s="11">
        <f t="shared" si="336"/>
        <v>0</v>
      </c>
      <c r="K232" s="11">
        <f t="shared" si="337"/>
        <v>0</v>
      </c>
      <c r="L232" s="11">
        <f t="shared" si="338"/>
        <v>0</v>
      </c>
      <c r="M232" s="190"/>
      <c r="N232" s="14">
        <f t="shared" ref="N232" si="352">+I232-M232</f>
        <v>0</v>
      </c>
      <c r="O232" s="14">
        <f t="shared" ref="O232" si="353">+PRODUCT(F232,G232,N232)</f>
        <v>0</v>
      </c>
      <c r="P232" s="190"/>
      <c r="Q232" s="14">
        <f t="shared" si="339"/>
        <v>0</v>
      </c>
      <c r="R232" s="14">
        <f t="shared" si="340"/>
        <v>0</v>
      </c>
      <c r="S232" s="14"/>
      <c r="T232" s="14"/>
      <c r="U232" s="191">
        <f t="shared" si="341"/>
        <v>0</v>
      </c>
      <c r="V232" s="14"/>
      <c r="W232" s="14"/>
      <c r="X232" s="14"/>
      <c r="Y232" s="14"/>
      <c r="Z232" s="14"/>
      <c r="AA232" s="14"/>
      <c r="AB232" s="14">
        <f t="shared" si="315"/>
        <v>0</v>
      </c>
      <c r="AC232" s="14"/>
      <c r="AE232" s="11"/>
      <c r="AG232" s="52">
        <f t="shared" si="342"/>
        <v>0</v>
      </c>
      <c r="AH232" s="52">
        <f t="shared" si="343"/>
        <v>0</v>
      </c>
      <c r="AI232" s="193">
        <f t="shared" si="344"/>
        <v>0</v>
      </c>
      <c r="AJ232" s="194">
        <f t="shared" si="345"/>
        <v>0</v>
      </c>
      <c r="AK232" s="195">
        <f t="shared" si="346"/>
        <v>0</v>
      </c>
      <c r="AL232" s="196">
        <f t="shared" si="347"/>
        <v>0</v>
      </c>
      <c r="AM232" s="52">
        <f t="shared" si="348"/>
        <v>0</v>
      </c>
      <c r="AN232" s="52">
        <f t="shared" si="349"/>
        <v>0</v>
      </c>
      <c r="AO232" s="52">
        <f t="shared" si="350"/>
        <v>0</v>
      </c>
      <c r="AP232" s="52">
        <f t="shared" si="351"/>
        <v>0</v>
      </c>
    </row>
    <row r="233" spans="1:42" ht="20.100000000000001" customHeight="1" x14ac:dyDescent="0.25">
      <c r="A233" s="129"/>
      <c r="B233" s="182" t="s">
        <v>87</v>
      </c>
      <c r="C233" s="183"/>
      <c r="E233" s="189" t="s">
        <v>292</v>
      </c>
      <c r="F233" s="14">
        <v>0</v>
      </c>
      <c r="G233" s="14"/>
      <c r="H233" s="14"/>
      <c r="I233" s="14"/>
      <c r="J233" s="11">
        <f t="shared" si="336"/>
        <v>0</v>
      </c>
      <c r="K233" s="11">
        <f t="shared" si="337"/>
        <v>0</v>
      </c>
      <c r="L233" s="11">
        <f t="shared" si="338"/>
        <v>0</v>
      </c>
      <c r="M233" s="190"/>
      <c r="N233" s="14"/>
      <c r="O233" s="14"/>
      <c r="P233" s="190"/>
      <c r="Q233" s="14">
        <f t="shared" si="339"/>
        <v>0</v>
      </c>
      <c r="R233" s="14">
        <f t="shared" si="340"/>
        <v>0</v>
      </c>
      <c r="S233" s="14"/>
      <c r="T233" s="14"/>
      <c r="U233" s="191">
        <f t="shared" si="341"/>
        <v>0</v>
      </c>
      <c r="V233" s="14"/>
      <c r="W233" s="14"/>
      <c r="X233" s="14"/>
      <c r="Y233" s="14"/>
      <c r="Z233" s="14"/>
      <c r="AA233" s="14"/>
      <c r="AB233" s="14">
        <f t="shared" si="315"/>
        <v>0</v>
      </c>
      <c r="AC233" s="14"/>
      <c r="AE233" s="11"/>
      <c r="AG233" s="52">
        <f t="shared" si="342"/>
        <v>0</v>
      </c>
      <c r="AH233" s="52">
        <f t="shared" si="343"/>
        <v>0</v>
      </c>
      <c r="AI233" s="193">
        <f t="shared" si="344"/>
        <v>0</v>
      </c>
      <c r="AJ233" s="194">
        <f t="shared" si="345"/>
        <v>0</v>
      </c>
      <c r="AK233" s="195">
        <f t="shared" si="346"/>
        <v>0</v>
      </c>
      <c r="AL233" s="196">
        <f t="shared" si="347"/>
        <v>0</v>
      </c>
      <c r="AM233" s="52">
        <f t="shared" si="348"/>
        <v>0</v>
      </c>
      <c r="AN233" s="52">
        <f t="shared" si="349"/>
        <v>0</v>
      </c>
      <c r="AO233" s="52">
        <f t="shared" si="350"/>
        <v>0</v>
      </c>
      <c r="AP233" s="52">
        <f t="shared" si="351"/>
        <v>0</v>
      </c>
    </row>
    <row r="234" spans="1:42" ht="20.100000000000001" customHeight="1" x14ac:dyDescent="0.25">
      <c r="A234" s="129"/>
      <c r="B234" s="182" t="s">
        <v>87</v>
      </c>
      <c r="C234" s="183"/>
      <c r="E234" s="189" t="s">
        <v>293</v>
      </c>
      <c r="F234" s="14">
        <v>0</v>
      </c>
      <c r="G234" s="14"/>
      <c r="H234" s="14"/>
      <c r="I234" s="14"/>
      <c r="J234" s="11">
        <f t="shared" si="336"/>
        <v>0</v>
      </c>
      <c r="K234" s="11">
        <f t="shared" si="337"/>
        <v>0</v>
      </c>
      <c r="L234" s="11">
        <f t="shared" si="338"/>
        <v>0</v>
      </c>
      <c r="M234" s="190"/>
      <c r="N234" s="14"/>
      <c r="O234" s="14"/>
      <c r="P234" s="190"/>
      <c r="Q234" s="14">
        <f t="shared" si="339"/>
        <v>0</v>
      </c>
      <c r="R234" s="14">
        <f t="shared" si="340"/>
        <v>0</v>
      </c>
      <c r="S234" s="14"/>
      <c r="T234" s="14"/>
      <c r="U234" s="191">
        <f t="shared" si="341"/>
        <v>0</v>
      </c>
      <c r="V234" s="14"/>
      <c r="W234" s="14"/>
      <c r="X234" s="14"/>
      <c r="Y234" s="14"/>
      <c r="Z234" s="14"/>
      <c r="AA234" s="14"/>
      <c r="AB234" s="14">
        <f t="shared" si="315"/>
        <v>0</v>
      </c>
      <c r="AC234" s="14"/>
      <c r="AE234" s="11"/>
      <c r="AG234" s="52">
        <f t="shared" si="342"/>
        <v>0</v>
      </c>
      <c r="AH234" s="52">
        <f t="shared" si="343"/>
        <v>0</v>
      </c>
      <c r="AI234" s="193">
        <f t="shared" si="344"/>
        <v>0</v>
      </c>
      <c r="AJ234" s="194">
        <f t="shared" si="345"/>
        <v>0</v>
      </c>
      <c r="AK234" s="195">
        <f t="shared" si="346"/>
        <v>0</v>
      </c>
      <c r="AL234" s="196">
        <f t="shared" si="347"/>
        <v>0</v>
      </c>
      <c r="AM234" s="52">
        <f t="shared" si="348"/>
        <v>0</v>
      </c>
      <c r="AN234" s="52">
        <f t="shared" si="349"/>
        <v>0</v>
      </c>
      <c r="AO234" s="52">
        <f t="shared" si="350"/>
        <v>0</v>
      </c>
      <c r="AP234" s="52">
        <f t="shared" si="351"/>
        <v>0</v>
      </c>
    </row>
    <row r="235" spans="1:42" ht="20.100000000000001" customHeight="1" x14ac:dyDescent="0.25">
      <c r="A235" s="129"/>
      <c r="B235" s="182" t="s">
        <v>87</v>
      </c>
      <c r="C235" s="183"/>
      <c r="E235" s="189" t="s">
        <v>294</v>
      </c>
      <c r="F235" s="14">
        <v>1</v>
      </c>
      <c r="G235" s="14">
        <v>0.75</v>
      </c>
      <c r="H235" s="14">
        <v>0.15</v>
      </c>
      <c r="I235" s="14">
        <v>0.45</v>
      </c>
      <c r="J235" s="11">
        <f t="shared" si="336"/>
        <v>5.0624999999999996E-2</v>
      </c>
      <c r="K235" s="11">
        <f t="shared" si="337"/>
        <v>0.11249999999999999</v>
      </c>
      <c r="L235" s="11">
        <f t="shared" si="338"/>
        <v>0.51375000000000004</v>
      </c>
      <c r="M235" s="190">
        <v>0.125</v>
      </c>
      <c r="N235" s="14">
        <f t="shared" ref="N235:N245" si="354">+I235-M235</f>
        <v>0.32500000000000001</v>
      </c>
      <c r="O235" s="14">
        <f t="shared" ref="O235:O245" si="355">+PRODUCT(F235,G235,N235)</f>
        <v>0.24375000000000002</v>
      </c>
      <c r="P235" s="190"/>
      <c r="Q235" s="14">
        <f t="shared" si="339"/>
        <v>0.45</v>
      </c>
      <c r="R235" s="14">
        <f t="shared" si="340"/>
        <v>0.33750000000000002</v>
      </c>
      <c r="S235" s="14"/>
      <c r="T235" s="14"/>
      <c r="U235" s="191">
        <f t="shared" si="341"/>
        <v>0</v>
      </c>
      <c r="V235" s="14" t="s">
        <v>295</v>
      </c>
      <c r="W235" s="14"/>
      <c r="X235" s="14"/>
      <c r="Y235" s="14"/>
      <c r="Z235" s="14"/>
      <c r="AA235" s="14"/>
      <c r="AB235" s="14">
        <f t="shared" si="315"/>
        <v>6.7500000000000004E-2</v>
      </c>
      <c r="AC235" s="14"/>
      <c r="AE235" s="11"/>
      <c r="AG235" s="52">
        <f t="shared" si="342"/>
        <v>0.62624999999999997</v>
      </c>
      <c r="AH235" s="52">
        <f t="shared" si="343"/>
        <v>0</v>
      </c>
      <c r="AI235" s="193">
        <f t="shared" si="344"/>
        <v>0.62624999999999997</v>
      </c>
      <c r="AJ235" s="194">
        <f t="shared" si="345"/>
        <v>0</v>
      </c>
      <c r="AK235" s="195">
        <f t="shared" si="346"/>
        <v>0</v>
      </c>
      <c r="AL235" s="196">
        <f t="shared" si="347"/>
        <v>0</v>
      </c>
      <c r="AM235" s="52">
        <f t="shared" si="348"/>
        <v>0.75</v>
      </c>
      <c r="AN235" s="52">
        <f t="shared" si="349"/>
        <v>0</v>
      </c>
      <c r="AO235" s="52">
        <f t="shared" si="350"/>
        <v>0</v>
      </c>
      <c r="AP235" s="52">
        <f t="shared" si="351"/>
        <v>0</v>
      </c>
    </row>
    <row r="236" spans="1:42" ht="20.100000000000001" customHeight="1" x14ac:dyDescent="0.25">
      <c r="A236" s="129"/>
      <c r="B236" s="182" t="s">
        <v>87</v>
      </c>
      <c r="C236" s="183"/>
      <c r="E236" s="189" t="s">
        <v>295</v>
      </c>
      <c r="F236" s="14">
        <v>1</v>
      </c>
      <c r="G236" s="14">
        <v>0.45</v>
      </c>
      <c r="H236" s="14">
        <v>0.15</v>
      </c>
      <c r="I236" s="14">
        <v>0.45</v>
      </c>
      <c r="J236" s="11">
        <f t="shared" si="336"/>
        <v>3.0375000000000003E-2</v>
      </c>
      <c r="K236" s="11">
        <f t="shared" si="337"/>
        <v>6.7500000000000004E-2</v>
      </c>
      <c r="L236" s="11">
        <f t="shared" si="338"/>
        <v>0.34875</v>
      </c>
      <c r="M236" s="190">
        <v>0.125</v>
      </c>
      <c r="N236" s="14">
        <f t="shared" si="354"/>
        <v>0.32500000000000001</v>
      </c>
      <c r="O236" s="14">
        <f t="shared" si="355"/>
        <v>0.14625000000000002</v>
      </c>
      <c r="P236" s="190"/>
      <c r="Q236" s="14">
        <f t="shared" si="339"/>
        <v>0.45</v>
      </c>
      <c r="R236" s="14">
        <f t="shared" si="340"/>
        <v>0.20250000000000001</v>
      </c>
      <c r="S236" s="14"/>
      <c r="T236" s="14"/>
      <c r="U236" s="191">
        <f t="shared" si="341"/>
        <v>0</v>
      </c>
      <c r="V236" s="14"/>
      <c r="W236" s="14"/>
      <c r="X236" s="14"/>
      <c r="Y236" s="14"/>
      <c r="Z236" s="14"/>
      <c r="AA236" s="14"/>
      <c r="AB236" s="14">
        <f t="shared" si="315"/>
        <v>0</v>
      </c>
      <c r="AC236" s="14"/>
      <c r="AE236" s="11"/>
      <c r="AG236" s="52">
        <f t="shared" si="342"/>
        <v>0.41625000000000001</v>
      </c>
      <c r="AH236" s="52">
        <f t="shared" si="343"/>
        <v>0</v>
      </c>
      <c r="AI236" s="193">
        <f t="shared" si="344"/>
        <v>0.41625000000000001</v>
      </c>
      <c r="AJ236" s="194">
        <f t="shared" si="345"/>
        <v>0</v>
      </c>
      <c r="AK236" s="195">
        <f t="shared" si="346"/>
        <v>0</v>
      </c>
      <c r="AL236" s="196">
        <f t="shared" si="347"/>
        <v>0</v>
      </c>
      <c r="AM236" s="52">
        <f t="shared" si="348"/>
        <v>0.45</v>
      </c>
      <c r="AN236" s="52">
        <f t="shared" si="349"/>
        <v>0</v>
      </c>
      <c r="AO236" s="52">
        <f t="shared" si="350"/>
        <v>0</v>
      </c>
      <c r="AP236" s="52">
        <f t="shared" si="351"/>
        <v>0</v>
      </c>
    </row>
    <row r="237" spans="1:42" ht="20.100000000000001" customHeight="1" x14ac:dyDescent="0.25">
      <c r="A237" s="129"/>
      <c r="B237" s="182" t="s">
        <v>87</v>
      </c>
      <c r="C237" s="183"/>
      <c r="E237" s="189" t="s">
        <v>296</v>
      </c>
      <c r="F237" s="14">
        <v>1</v>
      </c>
      <c r="G237" s="14">
        <v>4.5</v>
      </c>
      <c r="H237" s="14">
        <v>0.2</v>
      </c>
      <c r="I237" s="14">
        <v>0.45</v>
      </c>
      <c r="J237" s="11">
        <f t="shared" si="336"/>
        <v>0.40500000000000003</v>
      </c>
      <c r="K237" s="11">
        <f t="shared" si="337"/>
        <v>0.9</v>
      </c>
      <c r="L237" s="11">
        <f t="shared" si="338"/>
        <v>2.7225000000000001</v>
      </c>
      <c r="M237" s="190">
        <v>0.125</v>
      </c>
      <c r="N237" s="14">
        <f t="shared" si="354"/>
        <v>0.32500000000000001</v>
      </c>
      <c r="O237" s="14">
        <f t="shared" si="355"/>
        <v>1.4625000000000001</v>
      </c>
      <c r="P237" s="190">
        <v>0.15</v>
      </c>
      <c r="Q237" s="14">
        <f t="shared" si="339"/>
        <v>0.30000000000000004</v>
      </c>
      <c r="R237" s="14">
        <f t="shared" si="340"/>
        <v>1.35</v>
      </c>
      <c r="S237" s="14"/>
      <c r="T237" s="14"/>
      <c r="U237" s="191">
        <f t="shared" si="341"/>
        <v>0</v>
      </c>
      <c r="V237" s="14" t="s">
        <v>351</v>
      </c>
      <c r="W237" s="14"/>
      <c r="X237" s="14"/>
      <c r="Y237" s="14"/>
      <c r="Z237" s="14"/>
      <c r="AA237" s="14"/>
      <c r="AB237" s="14">
        <f t="shared" si="315"/>
        <v>9.0000000000000011E-2</v>
      </c>
      <c r="AC237" s="14"/>
      <c r="AE237" s="11"/>
      <c r="AG237" s="52">
        <f t="shared" si="342"/>
        <v>3.6225000000000001</v>
      </c>
      <c r="AH237" s="52">
        <f t="shared" si="343"/>
        <v>0</v>
      </c>
      <c r="AI237" s="193">
        <f t="shared" si="344"/>
        <v>0</v>
      </c>
      <c r="AJ237" s="194">
        <f t="shared" si="345"/>
        <v>0</v>
      </c>
      <c r="AK237" s="195">
        <f t="shared" si="346"/>
        <v>3.6225000000000001</v>
      </c>
      <c r="AL237" s="196">
        <f t="shared" si="347"/>
        <v>0</v>
      </c>
      <c r="AM237" s="52">
        <f t="shared" si="348"/>
        <v>0</v>
      </c>
      <c r="AN237" s="52">
        <f t="shared" si="349"/>
        <v>0</v>
      </c>
      <c r="AO237" s="52">
        <f t="shared" si="350"/>
        <v>4.5</v>
      </c>
      <c r="AP237" s="52">
        <f t="shared" si="351"/>
        <v>0</v>
      </c>
    </row>
    <row r="238" spans="1:42" ht="20.100000000000001" customHeight="1" x14ac:dyDescent="0.25">
      <c r="A238" s="129"/>
      <c r="B238" s="182" t="s">
        <v>87</v>
      </c>
      <c r="C238" s="183"/>
      <c r="E238" s="189" t="s">
        <v>297</v>
      </c>
      <c r="F238" s="14">
        <v>1</v>
      </c>
      <c r="G238" s="14">
        <v>1.5</v>
      </c>
      <c r="H238" s="14">
        <v>0.2</v>
      </c>
      <c r="I238" s="14">
        <v>0.45</v>
      </c>
      <c r="J238" s="11">
        <f t="shared" si="336"/>
        <v>0.13500000000000004</v>
      </c>
      <c r="K238" s="11">
        <f t="shared" si="337"/>
        <v>0.30000000000000004</v>
      </c>
      <c r="L238" s="11">
        <f t="shared" si="338"/>
        <v>0.97500000000000009</v>
      </c>
      <c r="M238" s="190">
        <v>0.125</v>
      </c>
      <c r="N238" s="14">
        <f t="shared" si="354"/>
        <v>0.32500000000000001</v>
      </c>
      <c r="O238" s="14">
        <f t="shared" si="355"/>
        <v>0.48750000000000004</v>
      </c>
      <c r="P238" s="190">
        <v>0.125</v>
      </c>
      <c r="Q238" s="14">
        <f t="shared" si="339"/>
        <v>0.32500000000000001</v>
      </c>
      <c r="R238" s="14">
        <f t="shared" si="340"/>
        <v>0.48750000000000004</v>
      </c>
      <c r="S238" s="14"/>
      <c r="T238" s="14"/>
      <c r="U238" s="191">
        <f t="shared" si="341"/>
        <v>0</v>
      </c>
      <c r="V238" s="14"/>
      <c r="W238" s="14"/>
      <c r="X238" s="14"/>
      <c r="Y238" s="14"/>
      <c r="Z238" s="14"/>
      <c r="AA238" s="14"/>
      <c r="AB238" s="14">
        <f t="shared" si="315"/>
        <v>0</v>
      </c>
      <c r="AC238" s="14"/>
      <c r="AE238" s="11"/>
      <c r="AG238" s="52">
        <f t="shared" si="342"/>
        <v>1.2750000000000001</v>
      </c>
      <c r="AH238" s="52">
        <f t="shared" si="343"/>
        <v>0</v>
      </c>
      <c r="AI238" s="193">
        <f t="shared" si="344"/>
        <v>0</v>
      </c>
      <c r="AJ238" s="194">
        <f t="shared" si="345"/>
        <v>0</v>
      </c>
      <c r="AK238" s="195">
        <f t="shared" si="346"/>
        <v>1.2750000000000001</v>
      </c>
      <c r="AL238" s="196">
        <f t="shared" si="347"/>
        <v>0</v>
      </c>
      <c r="AM238" s="52">
        <f t="shared" si="348"/>
        <v>0</v>
      </c>
      <c r="AN238" s="52">
        <f t="shared" si="349"/>
        <v>0</v>
      </c>
      <c r="AO238" s="52">
        <f t="shared" si="350"/>
        <v>1.5</v>
      </c>
      <c r="AP238" s="52">
        <f t="shared" si="351"/>
        <v>0</v>
      </c>
    </row>
    <row r="239" spans="1:42" ht="20.100000000000001" customHeight="1" x14ac:dyDescent="0.25">
      <c r="A239" s="129"/>
      <c r="B239" s="182" t="s">
        <v>87</v>
      </c>
      <c r="C239" s="183"/>
      <c r="E239" s="189" t="s">
        <v>298</v>
      </c>
      <c r="F239" s="14">
        <v>1</v>
      </c>
      <c r="G239" s="14">
        <v>1.5</v>
      </c>
      <c r="H239" s="14">
        <v>0.2</v>
      </c>
      <c r="I239" s="14">
        <v>0.7</v>
      </c>
      <c r="J239" s="11">
        <f t="shared" si="336"/>
        <v>0.21000000000000002</v>
      </c>
      <c r="K239" s="11">
        <f t="shared" si="337"/>
        <v>0.30000000000000004</v>
      </c>
      <c r="L239" s="11">
        <f t="shared" si="338"/>
        <v>1.9124999999999996</v>
      </c>
      <c r="M239" s="190">
        <v>0.125</v>
      </c>
      <c r="N239" s="14">
        <f t="shared" si="354"/>
        <v>0.57499999999999996</v>
      </c>
      <c r="O239" s="14">
        <f t="shared" si="355"/>
        <v>0.86249999999999993</v>
      </c>
      <c r="P239" s="190"/>
      <c r="Q239" s="14">
        <f t="shared" si="339"/>
        <v>0.7</v>
      </c>
      <c r="R239" s="14">
        <f t="shared" si="340"/>
        <v>1.0499999999999998</v>
      </c>
      <c r="S239" s="14"/>
      <c r="T239" s="14"/>
      <c r="U239" s="191">
        <f t="shared" si="341"/>
        <v>0</v>
      </c>
      <c r="V239" s="14"/>
      <c r="W239" s="14"/>
      <c r="X239" s="14"/>
      <c r="Y239" s="14"/>
      <c r="Z239" s="14"/>
      <c r="AA239" s="14"/>
      <c r="AB239" s="14">
        <f t="shared" si="315"/>
        <v>0</v>
      </c>
      <c r="AC239" s="14"/>
      <c r="AE239" s="11"/>
      <c r="AG239" s="52">
        <f t="shared" si="342"/>
        <v>2.2124999999999995</v>
      </c>
      <c r="AH239" s="52">
        <f t="shared" si="343"/>
        <v>0</v>
      </c>
      <c r="AI239" s="193">
        <f t="shared" si="344"/>
        <v>2.2124999999999995</v>
      </c>
      <c r="AJ239" s="194">
        <f t="shared" si="345"/>
        <v>0</v>
      </c>
      <c r="AK239" s="195">
        <f t="shared" si="346"/>
        <v>0</v>
      </c>
      <c r="AL239" s="196">
        <f t="shared" si="347"/>
        <v>0</v>
      </c>
      <c r="AM239" s="52">
        <f t="shared" si="348"/>
        <v>1.5</v>
      </c>
      <c r="AN239" s="52">
        <f t="shared" si="349"/>
        <v>0</v>
      </c>
      <c r="AO239" s="52">
        <f t="shared" si="350"/>
        <v>0</v>
      </c>
      <c r="AP239" s="52">
        <f t="shared" si="351"/>
        <v>0</v>
      </c>
    </row>
    <row r="240" spans="1:42" ht="20.100000000000001" customHeight="1" x14ac:dyDescent="0.25">
      <c r="A240" s="129"/>
      <c r="B240" s="182" t="s">
        <v>87</v>
      </c>
      <c r="C240" s="183"/>
      <c r="E240" s="189" t="s">
        <v>299</v>
      </c>
      <c r="F240" s="14">
        <v>1</v>
      </c>
      <c r="G240" s="14">
        <v>1.75</v>
      </c>
      <c r="H240" s="14">
        <v>0.2</v>
      </c>
      <c r="I240" s="14">
        <v>0.45</v>
      </c>
      <c r="J240" s="11">
        <f t="shared" si="336"/>
        <v>0.15750000000000003</v>
      </c>
      <c r="K240" s="11">
        <f t="shared" si="337"/>
        <v>0.35000000000000003</v>
      </c>
      <c r="L240" s="11">
        <f t="shared" si="338"/>
        <v>1.05</v>
      </c>
      <c r="M240" s="190">
        <v>0.125</v>
      </c>
      <c r="N240" s="14">
        <f t="shared" si="354"/>
        <v>0.32500000000000001</v>
      </c>
      <c r="O240" s="14">
        <f t="shared" si="355"/>
        <v>0.56874999999999998</v>
      </c>
      <c r="P240" s="190">
        <v>0.17499999999999999</v>
      </c>
      <c r="Q240" s="14">
        <f t="shared" si="339"/>
        <v>0.27500000000000002</v>
      </c>
      <c r="R240" s="14">
        <f t="shared" si="340"/>
        <v>0.48125000000000007</v>
      </c>
      <c r="S240" s="14"/>
      <c r="T240" s="14"/>
      <c r="U240" s="191">
        <f t="shared" si="341"/>
        <v>0</v>
      </c>
      <c r="V240" s="14"/>
      <c r="W240" s="14"/>
      <c r="X240" s="14"/>
      <c r="Y240" s="14"/>
      <c r="Z240" s="14"/>
      <c r="AA240" s="14"/>
      <c r="AB240" s="14">
        <f t="shared" si="315"/>
        <v>0</v>
      </c>
      <c r="AC240" s="14"/>
      <c r="AE240" s="11"/>
      <c r="AG240" s="52">
        <f t="shared" si="342"/>
        <v>1.4000000000000001</v>
      </c>
      <c r="AH240" s="52">
        <f t="shared" si="343"/>
        <v>0</v>
      </c>
      <c r="AI240" s="193">
        <f t="shared" si="344"/>
        <v>0</v>
      </c>
      <c r="AJ240" s="194">
        <f t="shared" si="345"/>
        <v>0</v>
      </c>
      <c r="AK240" s="195">
        <f t="shared" si="346"/>
        <v>1.4000000000000001</v>
      </c>
      <c r="AL240" s="196">
        <f t="shared" si="347"/>
        <v>0</v>
      </c>
      <c r="AM240" s="52">
        <f t="shared" si="348"/>
        <v>0</v>
      </c>
      <c r="AN240" s="52">
        <f t="shared" si="349"/>
        <v>0</v>
      </c>
      <c r="AO240" s="52">
        <f t="shared" si="350"/>
        <v>1.75</v>
      </c>
      <c r="AP240" s="52">
        <f t="shared" si="351"/>
        <v>0</v>
      </c>
    </row>
    <row r="241" spans="1:42" ht="20.100000000000001" customHeight="1" x14ac:dyDescent="0.25">
      <c r="A241" s="129"/>
      <c r="B241" s="182" t="s">
        <v>87</v>
      </c>
      <c r="C241" s="183"/>
      <c r="E241" s="189" t="s">
        <v>300</v>
      </c>
      <c r="F241" s="10">
        <v>1</v>
      </c>
      <c r="G241" s="14">
        <v>3.4</v>
      </c>
      <c r="H241" s="14">
        <v>0.2</v>
      </c>
      <c r="I241" s="14">
        <v>0.45</v>
      </c>
      <c r="J241" s="11">
        <f t="shared" si="336"/>
        <v>0.30600000000000005</v>
      </c>
      <c r="K241" s="11">
        <f t="shared" si="337"/>
        <v>0.68</v>
      </c>
      <c r="L241" s="11">
        <f t="shared" si="338"/>
        <v>2.04</v>
      </c>
      <c r="M241" s="190">
        <v>0.125</v>
      </c>
      <c r="N241" s="14">
        <f t="shared" si="354"/>
        <v>0.32500000000000001</v>
      </c>
      <c r="O241" s="14">
        <f t="shared" si="355"/>
        <v>1.105</v>
      </c>
      <c r="P241" s="190">
        <v>0.17499999999999999</v>
      </c>
      <c r="Q241" s="14">
        <f t="shared" si="339"/>
        <v>0.27500000000000002</v>
      </c>
      <c r="R241" s="14">
        <f t="shared" si="340"/>
        <v>0.93500000000000005</v>
      </c>
      <c r="S241" s="14"/>
      <c r="T241" s="14"/>
      <c r="U241" s="191">
        <f t="shared" si="341"/>
        <v>0</v>
      </c>
      <c r="V241" s="14"/>
      <c r="W241" s="14"/>
      <c r="X241" s="14"/>
      <c r="Y241" s="14"/>
      <c r="Z241" s="14"/>
      <c r="AA241" s="14"/>
      <c r="AB241" s="14">
        <f t="shared" si="315"/>
        <v>0</v>
      </c>
      <c r="AC241" s="14"/>
      <c r="AE241" s="11"/>
      <c r="AG241" s="52">
        <f t="shared" si="342"/>
        <v>2.72</v>
      </c>
      <c r="AH241" s="52">
        <f t="shared" si="343"/>
        <v>0</v>
      </c>
      <c r="AI241" s="193">
        <f t="shared" si="344"/>
        <v>0</v>
      </c>
      <c r="AJ241" s="194">
        <f t="shared" si="345"/>
        <v>0</v>
      </c>
      <c r="AK241" s="195">
        <f t="shared" si="346"/>
        <v>2.72</v>
      </c>
      <c r="AL241" s="196">
        <f t="shared" si="347"/>
        <v>0</v>
      </c>
      <c r="AM241" s="52">
        <f t="shared" si="348"/>
        <v>0</v>
      </c>
      <c r="AN241" s="52">
        <f t="shared" si="349"/>
        <v>0</v>
      </c>
      <c r="AO241" s="52">
        <f t="shared" si="350"/>
        <v>3.4</v>
      </c>
      <c r="AP241" s="52">
        <f t="shared" si="351"/>
        <v>0</v>
      </c>
    </row>
    <row r="242" spans="1:42" ht="20.100000000000001" customHeight="1" x14ac:dyDescent="0.25">
      <c r="A242" s="129"/>
      <c r="B242" s="182" t="s">
        <v>87</v>
      </c>
      <c r="C242" s="183"/>
      <c r="E242" s="189" t="s">
        <v>365</v>
      </c>
      <c r="F242" s="10">
        <v>1</v>
      </c>
      <c r="G242" s="14">
        <v>1.1519999999999999</v>
      </c>
      <c r="H242" s="14">
        <v>0.2</v>
      </c>
      <c r="I242" s="14">
        <v>0.45</v>
      </c>
      <c r="J242" s="11">
        <f t="shared" ref="J242" si="356">+PRODUCT(F242:I242)</f>
        <v>0.10367999999999999</v>
      </c>
      <c r="K242" s="11">
        <f t="shared" ref="K242" si="357">PRODUCT(F242,G242,H242)</f>
        <v>0.23039999999999999</v>
      </c>
      <c r="L242" s="11">
        <f t="shared" ref="L242" si="358">+O242+R242-AB242+U242</f>
        <v>1.0812000000000002</v>
      </c>
      <c r="M242" s="190">
        <v>0.125</v>
      </c>
      <c r="N242" s="14">
        <f t="shared" ref="N242" si="359">+I242-M242</f>
        <v>0.32500000000000001</v>
      </c>
      <c r="O242" s="14">
        <f t="shared" ref="O242" si="360">+PRODUCT(F242,G242,N242)</f>
        <v>0.37440000000000001</v>
      </c>
      <c r="P242" s="190">
        <v>0.17499999999999999</v>
      </c>
      <c r="Q242" s="14">
        <f t="shared" ref="Q242" si="361">+I242-P242</f>
        <v>0.27500000000000002</v>
      </c>
      <c r="R242" s="14">
        <f t="shared" ref="R242" si="362">+PRODUCT(F242:G242,Q242)</f>
        <v>0.31680000000000003</v>
      </c>
      <c r="S242" s="14">
        <v>0.65</v>
      </c>
      <c r="T242" s="14"/>
      <c r="U242" s="191">
        <f t="shared" ref="U242" si="363">+SUM(S242:T242)*(N242+Q242)/2*2</f>
        <v>0.39000000000000007</v>
      </c>
      <c r="V242" s="14"/>
      <c r="W242" s="14"/>
      <c r="X242" s="14"/>
      <c r="Y242" s="14"/>
      <c r="Z242" s="14"/>
      <c r="AA242" s="14"/>
      <c r="AB242" s="14">
        <f t="shared" si="315"/>
        <v>0</v>
      </c>
      <c r="AC242" s="14"/>
      <c r="AE242" s="11"/>
      <c r="AG242" s="52">
        <f t="shared" ref="AG242" si="364">+IF(I242&lt;0.75,(K242+L242),0)</f>
        <v>1.3116000000000001</v>
      </c>
      <c r="AH242" s="52">
        <f t="shared" ref="AH242" si="365">+IF(I242&lt;0.75,0,(K242+L242))</f>
        <v>0</v>
      </c>
      <c r="AI242" s="193">
        <f t="shared" ref="AI242" si="366">IF(P242=0,(+IF(I242&lt;0.75,(K242+L242),0)),0)</f>
        <v>0</v>
      </c>
      <c r="AJ242" s="194">
        <f t="shared" ref="AJ242" si="367">IF(P242=0,(+IF(I242&lt;0.75,0,(K242+L242))),0)</f>
        <v>0</v>
      </c>
      <c r="AK242" s="195">
        <f t="shared" ref="AK242" si="368">+AG242-AI242</f>
        <v>1.3116000000000001</v>
      </c>
      <c r="AL242" s="196">
        <f t="shared" ref="AL242" si="369">+AH242-AJ242</f>
        <v>0</v>
      </c>
      <c r="AM242" s="52">
        <f t="shared" ref="AM242" si="370">+IF(AI242=0,0,G242)</f>
        <v>0</v>
      </c>
      <c r="AN242" s="52">
        <f t="shared" ref="AN242" si="371">+IF(AJ242=0,0,G242)</f>
        <v>0</v>
      </c>
      <c r="AO242" s="52">
        <f t="shared" ref="AO242" si="372">+IF(AK242=0,0,G242)</f>
        <v>1.1519999999999999</v>
      </c>
      <c r="AP242" s="52">
        <f t="shared" ref="AP242" si="373">+IF(AL242=0,0,G242)</f>
        <v>0</v>
      </c>
    </row>
    <row r="243" spans="1:42" ht="20.100000000000001" customHeight="1" x14ac:dyDescent="0.25">
      <c r="A243" s="129"/>
      <c r="B243" s="182" t="s">
        <v>87</v>
      </c>
      <c r="C243" s="183"/>
      <c r="E243" s="189" t="s">
        <v>301</v>
      </c>
      <c r="F243" s="10">
        <v>1</v>
      </c>
      <c r="G243" s="14">
        <v>3.8</v>
      </c>
      <c r="H243" s="14">
        <v>0.2</v>
      </c>
      <c r="I243" s="14">
        <v>0.45</v>
      </c>
      <c r="J243" s="11">
        <f t="shared" si="336"/>
        <v>0.34200000000000003</v>
      </c>
      <c r="K243" s="11">
        <f t="shared" si="337"/>
        <v>0.76</v>
      </c>
      <c r="L243" s="11">
        <f t="shared" si="338"/>
        <v>2.5662500000000001</v>
      </c>
      <c r="M243" s="190">
        <v>0.125</v>
      </c>
      <c r="N243" s="14">
        <f t="shared" si="354"/>
        <v>0.32500000000000001</v>
      </c>
      <c r="O243" s="14">
        <f t="shared" si="355"/>
        <v>1.2349999999999999</v>
      </c>
      <c r="P243" s="190">
        <v>0.15</v>
      </c>
      <c r="Q243" s="14">
        <f t="shared" si="339"/>
        <v>0.30000000000000004</v>
      </c>
      <c r="R243" s="14">
        <f t="shared" si="340"/>
        <v>1.1400000000000001</v>
      </c>
      <c r="S243" s="14">
        <v>0.45</v>
      </c>
      <c r="T243" s="14"/>
      <c r="U243" s="191">
        <f t="shared" si="341"/>
        <v>0.28125</v>
      </c>
      <c r="V243" s="14" t="s">
        <v>351</v>
      </c>
      <c r="W243" s="14"/>
      <c r="X243" s="14"/>
      <c r="Y243" s="14"/>
      <c r="Z243" s="14"/>
      <c r="AA243" s="14"/>
      <c r="AB243" s="14">
        <f t="shared" si="315"/>
        <v>9.0000000000000011E-2</v>
      </c>
      <c r="AC243" s="14"/>
      <c r="AE243" s="11"/>
      <c r="AG243" s="52">
        <f t="shared" si="342"/>
        <v>3.3262499999999999</v>
      </c>
      <c r="AH243" s="52">
        <f t="shared" si="343"/>
        <v>0</v>
      </c>
      <c r="AI243" s="193">
        <f t="shared" si="344"/>
        <v>0</v>
      </c>
      <c r="AJ243" s="194">
        <f t="shared" si="345"/>
        <v>0</v>
      </c>
      <c r="AK243" s="195">
        <f t="shared" si="346"/>
        <v>3.3262499999999999</v>
      </c>
      <c r="AL243" s="196">
        <f t="shared" si="347"/>
        <v>0</v>
      </c>
      <c r="AM243" s="52">
        <f t="shared" si="348"/>
        <v>0</v>
      </c>
      <c r="AN243" s="52">
        <f t="shared" si="349"/>
        <v>0</v>
      </c>
      <c r="AO243" s="52">
        <f t="shared" si="350"/>
        <v>3.8</v>
      </c>
      <c r="AP243" s="52">
        <f t="shared" si="351"/>
        <v>0</v>
      </c>
    </row>
    <row r="244" spans="1:42" ht="20.100000000000001" customHeight="1" x14ac:dyDescent="0.25">
      <c r="A244" s="129"/>
      <c r="B244" s="182" t="s">
        <v>87</v>
      </c>
      <c r="C244" s="183"/>
      <c r="E244" s="189" t="s">
        <v>302</v>
      </c>
      <c r="F244" s="14">
        <v>1</v>
      </c>
      <c r="G244" s="14">
        <v>1.5</v>
      </c>
      <c r="H244" s="14">
        <v>0.2</v>
      </c>
      <c r="I244" s="14">
        <v>0.45</v>
      </c>
      <c r="J244" s="11">
        <f t="shared" si="336"/>
        <v>0.13500000000000004</v>
      </c>
      <c r="K244" s="11">
        <f t="shared" si="337"/>
        <v>0.30000000000000004</v>
      </c>
      <c r="L244" s="11">
        <f t="shared" si="338"/>
        <v>0.97500000000000009</v>
      </c>
      <c r="M244" s="190">
        <v>0.125</v>
      </c>
      <c r="N244" s="14">
        <f t="shared" si="354"/>
        <v>0.32500000000000001</v>
      </c>
      <c r="O244" s="14">
        <f t="shared" si="355"/>
        <v>0.48750000000000004</v>
      </c>
      <c r="P244" s="190">
        <v>0.125</v>
      </c>
      <c r="Q244" s="14">
        <f t="shared" si="339"/>
        <v>0.32500000000000001</v>
      </c>
      <c r="R244" s="14">
        <f t="shared" si="340"/>
        <v>0.48750000000000004</v>
      </c>
      <c r="S244" s="14"/>
      <c r="T244" s="14"/>
      <c r="U244" s="191">
        <f t="shared" si="341"/>
        <v>0</v>
      </c>
      <c r="V244" s="14"/>
      <c r="W244" s="14"/>
      <c r="X244" s="14"/>
      <c r="Y244" s="14"/>
      <c r="Z244" s="14"/>
      <c r="AA244" s="14"/>
      <c r="AB244" s="14">
        <f t="shared" si="315"/>
        <v>0</v>
      </c>
      <c r="AC244" s="14"/>
      <c r="AE244" s="11"/>
      <c r="AG244" s="52">
        <f t="shared" si="342"/>
        <v>1.2750000000000001</v>
      </c>
      <c r="AH244" s="52">
        <f t="shared" si="343"/>
        <v>0</v>
      </c>
      <c r="AI244" s="193">
        <f t="shared" si="344"/>
        <v>0</v>
      </c>
      <c r="AJ244" s="194">
        <f t="shared" si="345"/>
        <v>0</v>
      </c>
      <c r="AK244" s="195">
        <f t="shared" si="346"/>
        <v>1.2750000000000001</v>
      </c>
      <c r="AL244" s="196">
        <f t="shared" si="347"/>
        <v>0</v>
      </c>
      <c r="AM244" s="52">
        <f t="shared" si="348"/>
        <v>0</v>
      </c>
      <c r="AN244" s="52">
        <f t="shared" si="349"/>
        <v>0</v>
      </c>
      <c r="AO244" s="52">
        <f t="shared" si="350"/>
        <v>1.5</v>
      </c>
      <c r="AP244" s="52">
        <f t="shared" si="351"/>
        <v>0</v>
      </c>
    </row>
    <row r="245" spans="1:42" ht="20.100000000000001" customHeight="1" x14ac:dyDescent="0.25">
      <c r="A245" s="129"/>
      <c r="B245" s="182" t="s">
        <v>87</v>
      </c>
      <c r="C245" s="183"/>
      <c r="E245" s="189" t="s">
        <v>303</v>
      </c>
      <c r="F245" s="14">
        <v>0</v>
      </c>
      <c r="G245" s="14"/>
      <c r="H245" s="14"/>
      <c r="I245" s="14"/>
      <c r="J245" s="11">
        <f t="shared" si="336"/>
        <v>0</v>
      </c>
      <c r="K245" s="11">
        <f t="shared" si="337"/>
        <v>0</v>
      </c>
      <c r="L245" s="11">
        <f t="shared" si="338"/>
        <v>0</v>
      </c>
      <c r="M245" s="190"/>
      <c r="N245" s="14">
        <f t="shared" si="354"/>
        <v>0</v>
      </c>
      <c r="O245" s="14">
        <f t="shared" si="355"/>
        <v>0</v>
      </c>
      <c r="P245" s="190"/>
      <c r="Q245" s="14">
        <f t="shared" si="339"/>
        <v>0</v>
      </c>
      <c r="R245" s="14">
        <f t="shared" si="340"/>
        <v>0</v>
      </c>
      <c r="S245" s="14"/>
      <c r="T245" s="14"/>
      <c r="U245" s="191">
        <f t="shared" si="341"/>
        <v>0</v>
      </c>
      <c r="V245" s="14"/>
      <c r="W245" s="14"/>
      <c r="X245" s="14"/>
      <c r="Y245" s="14"/>
      <c r="Z245" s="14"/>
      <c r="AA245" s="14"/>
      <c r="AB245" s="14">
        <f t="shared" si="315"/>
        <v>0</v>
      </c>
      <c r="AC245" s="14"/>
      <c r="AE245" s="11"/>
      <c r="AG245" s="52">
        <f t="shared" si="342"/>
        <v>0</v>
      </c>
      <c r="AH245" s="52">
        <f t="shared" si="343"/>
        <v>0</v>
      </c>
      <c r="AI245" s="193">
        <f t="shared" si="344"/>
        <v>0</v>
      </c>
      <c r="AJ245" s="194">
        <f t="shared" si="345"/>
        <v>0</v>
      </c>
      <c r="AK245" s="195">
        <f t="shared" si="346"/>
        <v>0</v>
      </c>
      <c r="AL245" s="196">
        <f t="shared" si="347"/>
        <v>0</v>
      </c>
      <c r="AM245" s="52">
        <f t="shared" si="348"/>
        <v>0</v>
      </c>
      <c r="AN245" s="52">
        <f t="shared" si="349"/>
        <v>0</v>
      </c>
      <c r="AO245" s="52">
        <f t="shared" si="350"/>
        <v>0</v>
      </c>
      <c r="AP245" s="52">
        <f t="shared" si="351"/>
        <v>0</v>
      </c>
    </row>
    <row r="246" spans="1:42" ht="20.100000000000001" customHeight="1" x14ac:dyDescent="0.25">
      <c r="A246" s="129"/>
      <c r="B246" s="182" t="s">
        <v>87</v>
      </c>
      <c r="C246" s="183"/>
      <c r="E246" s="189" t="s">
        <v>304</v>
      </c>
      <c r="F246" s="14">
        <v>0</v>
      </c>
      <c r="G246" s="14"/>
      <c r="H246" s="14"/>
      <c r="I246" s="14"/>
      <c r="J246" s="11">
        <f>+PRODUCT(F246:I246)</f>
        <v>0</v>
      </c>
      <c r="K246" s="11">
        <f>PRODUCT(F246,G246,H246)</f>
        <v>0</v>
      </c>
      <c r="L246" s="11">
        <f>+O246+R246-AB246+U246</f>
        <v>0</v>
      </c>
      <c r="M246" s="190"/>
      <c r="N246" s="14"/>
      <c r="O246" s="14"/>
      <c r="P246" s="190"/>
      <c r="Q246" s="14">
        <f>+I246-P246</f>
        <v>0</v>
      </c>
      <c r="R246" s="14">
        <f>+PRODUCT(F246:G246,Q246)</f>
        <v>0</v>
      </c>
      <c r="S246" s="14"/>
      <c r="T246" s="14"/>
      <c r="U246" s="191">
        <f>+SUM(S246:T246)*(N246+Q246)/2*2</f>
        <v>0</v>
      </c>
      <c r="V246" s="14"/>
      <c r="W246" s="14"/>
      <c r="X246" s="14"/>
      <c r="Y246" s="14"/>
      <c r="Z246" s="14"/>
      <c r="AA246" s="14"/>
      <c r="AB246" s="14">
        <f t="shared" si="315"/>
        <v>0</v>
      </c>
      <c r="AC246" s="14"/>
      <c r="AE246" s="11"/>
      <c r="AG246" s="52">
        <f>+IF(I246&lt;0.75,(K246+L246),0)</f>
        <v>0</v>
      </c>
      <c r="AH246" s="52">
        <f>+IF(I246&lt;0.75,0,(K246+L246))</f>
        <v>0</v>
      </c>
      <c r="AI246" s="193">
        <f>IF(P246=0,(+IF(I246&lt;0.75,(K246+L246),0)),0)</f>
        <v>0</v>
      </c>
      <c r="AJ246" s="194">
        <f>IF(P246=0,(+IF(I246&lt;0.75,0,(K246+L246))),0)</f>
        <v>0</v>
      </c>
      <c r="AK246" s="195">
        <f>+AG246-AI246</f>
        <v>0</v>
      </c>
      <c r="AL246" s="196">
        <f>+AH246-AJ246</f>
        <v>0</v>
      </c>
      <c r="AM246" s="52">
        <f>+IF(AI246=0,0,G246)</f>
        <v>0</v>
      </c>
      <c r="AN246" s="52">
        <f>+IF(AJ246=0,0,G246)</f>
        <v>0</v>
      </c>
      <c r="AO246" s="52">
        <f>+IF(AK246=0,0,G246)</f>
        <v>0</v>
      </c>
      <c r="AP246" s="52">
        <f>+IF(AL246=0,0,G246)</f>
        <v>0</v>
      </c>
    </row>
    <row r="247" spans="1:42" ht="20.100000000000001" customHeight="1" x14ac:dyDescent="0.25">
      <c r="A247" s="129"/>
      <c r="B247" s="182" t="s">
        <v>87</v>
      </c>
      <c r="C247" s="183"/>
      <c r="E247" s="189" t="s">
        <v>305</v>
      </c>
      <c r="F247" s="14">
        <v>0</v>
      </c>
      <c r="G247" s="14"/>
      <c r="H247" s="14"/>
      <c r="I247" s="14"/>
      <c r="J247" s="11">
        <f t="shared" ref="J247:J305" si="374">+PRODUCT(F247:I247)</f>
        <v>0</v>
      </c>
      <c r="K247" s="11">
        <f t="shared" ref="K247:K305" si="375">PRODUCT(F247,G247,H247)</f>
        <v>0</v>
      </c>
      <c r="L247" s="11">
        <f t="shared" ref="L247:L305" si="376">+O247+R247-AB247+U247</f>
        <v>0</v>
      </c>
      <c r="M247" s="190"/>
      <c r="N247" s="14"/>
      <c r="O247" s="14"/>
      <c r="P247" s="190"/>
      <c r="Q247" s="14">
        <f t="shared" ref="Q247:Q305" si="377">+I247-P247</f>
        <v>0</v>
      </c>
      <c r="R247" s="14">
        <f t="shared" ref="R247:R305" si="378">+PRODUCT(F247:G247,Q247)</f>
        <v>0</v>
      </c>
      <c r="S247" s="14"/>
      <c r="T247" s="14"/>
      <c r="U247" s="191">
        <f t="shared" ref="U247:U292" si="379">+SUM(S247:T247)*(N247+Q247)/2*2</f>
        <v>0</v>
      </c>
      <c r="V247" s="14"/>
      <c r="W247" s="14"/>
      <c r="X247" s="14"/>
      <c r="Y247" s="14"/>
      <c r="Z247" s="14"/>
      <c r="AA247" s="14"/>
      <c r="AB247" s="14">
        <f t="shared" ref="AB247:AB278" si="380">IFERROR(VLOOKUP(V247,$E$19:$I$625,4,FALSE)*VLOOKUP(V247,$E$19:$I$625,5,FALSE),)+IFERROR(VLOOKUP(W247,$E$19:$I$625,4,FALSE)*VLOOKUP(W247,$E$19:$I$625,5,FALSE),)+IFERROR(VLOOKUP(X247,$E$19:$I$625,4,FALSE)*VLOOKUP(X247,$E$19:$I$625,5,FALSE),)+IFERROR(VLOOKUP(Y247,$E$19:$I$625,4,FALSE)*VLOOKUP(Y247,$E$19:$I$625,5,FALSE),)+IFERROR(VLOOKUP(Z247,$E$19:$I$625,4,FALSE)*VLOOKUP(Z247,$E$19:$I$625,5,FALSE),)+IFERROR(VLOOKUP(AA247,$E$19:$I$625,4,FALSE)*VLOOKUP(AA247,$E$19:$I$625,5,FALSE),)</f>
        <v>0</v>
      </c>
      <c r="AC247" s="14"/>
      <c r="AE247" s="11"/>
      <c r="AG247" s="52">
        <f t="shared" ref="AG247:AG305" si="381">+IF(I247&lt;0.75,(K247+L247),0)</f>
        <v>0</v>
      </c>
      <c r="AH247" s="52">
        <f t="shared" ref="AH247:AH305" si="382">+IF(I247&lt;0.75,0,(K247+L247))</f>
        <v>0</v>
      </c>
      <c r="AI247" s="193">
        <f t="shared" ref="AI247:AI305" si="383">IF(P247=0,(+IF(I247&lt;0.75,(K247+L247),0)),0)</f>
        <v>0</v>
      </c>
      <c r="AJ247" s="194">
        <f t="shared" ref="AJ247:AJ305" si="384">IF(P247=0,(+IF(I247&lt;0.75,0,(K247+L247))),0)</f>
        <v>0</v>
      </c>
      <c r="AK247" s="195">
        <f t="shared" ref="AK247:AK305" si="385">+AG247-AI247</f>
        <v>0</v>
      </c>
      <c r="AL247" s="196">
        <f t="shared" ref="AL247:AL305" si="386">+AH247-AJ247</f>
        <v>0</v>
      </c>
      <c r="AM247" s="52">
        <f t="shared" ref="AM247:AM305" si="387">+IF(AI247=0,0,G247)</f>
        <v>0</v>
      </c>
      <c r="AN247" s="52">
        <f t="shared" ref="AN247:AN305" si="388">+IF(AJ247=0,0,G247)</f>
        <v>0</v>
      </c>
      <c r="AO247" s="52">
        <f t="shared" ref="AO247:AO305" si="389">+IF(AK247=0,0,G247)</f>
        <v>0</v>
      </c>
      <c r="AP247" s="52">
        <f t="shared" ref="AP247:AP305" si="390">+IF(AL247=0,0,G247)</f>
        <v>0</v>
      </c>
    </row>
    <row r="248" spans="1:42" ht="20.100000000000001" customHeight="1" x14ac:dyDescent="0.25">
      <c r="A248" s="129"/>
      <c r="B248" s="182" t="s">
        <v>87</v>
      </c>
      <c r="C248" s="183"/>
      <c r="E248" s="189" t="s">
        <v>306</v>
      </c>
      <c r="F248" s="14">
        <v>0</v>
      </c>
      <c r="G248" s="14"/>
      <c r="H248" s="14"/>
      <c r="I248" s="14"/>
      <c r="J248" s="11">
        <f t="shared" si="374"/>
        <v>0</v>
      </c>
      <c r="K248" s="11">
        <f t="shared" si="375"/>
        <v>0</v>
      </c>
      <c r="L248" s="11">
        <f t="shared" si="376"/>
        <v>0</v>
      </c>
      <c r="M248" s="190"/>
      <c r="N248" s="14"/>
      <c r="O248" s="14"/>
      <c r="P248" s="190"/>
      <c r="Q248" s="14">
        <f t="shared" si="377"/>
        <v>0</v>
      </c>
      <c r="R248" s="14">
        <f t="shared" si="378"/>
        <v>0</v>
      </c>
      <c r="S248" s="14"/>
      <c r="T248" s="14"/>
      <c r="U248" s="191">
        <f t="shared" si="379"/>
        <v>0</v>
      </c>
      <c r="V248" s="14"/>
      <c r="W248" s="14"/>
      <c r="X248" s="14"/>
      <c r="Y248" s="14"/>
      <c r="Z248" s="14"/>
      <c r="AA248" s="14"/>
      <c r="AB248" s="14">
        <f t="shared" si="380"/>
        <v>0</v>
      </c>
      <c r="AC248" s="14"/>
      <c r="AE248" s="11"/>
      <c r="AG248" s="52">
        <f t="shared" si="381"/>
        <v>0</v>
      </c>
      <c r="AH248" s="52">
        <f t="shared" si="382"/>
        <v>0</v>
      </c>
      <c r="AI248" s="193">
        <f t="shared" si="383"/>
        <v>0</v>
      </c>
      <c r="AJ248" s="194">
        <f t="shared" si="384"/>
        <v>0</v>
      </c>
      <c r="AK248" s="195">
        <f t="shared" si="385"/>
        <v>0</v>
      </c>
      <c r="AL248" s="196">
        <f t="shared" si="386"/>
        <v>0</v>
      </c>
      <c r="AM248" s="52">
        <f t="shared" si="387"/>
        <v>0</v>
      </c>
      <c r="AN248" s="52">
        <f t="shared" si="388"/>
        <v>0</v>
      </c>
      <c r="AO248" s="52">
        <f t="shared" si="389"/>
        <v>0</v>
      </c>
      <c r="AP248" s="52">
        <f t="shared" si="390"/>
        <v>0</v>
      </c>
    </row>
    <row r="249" spans="1:42" ht="20.100000000000001" customHeight="1" x14ac:dyDescent="0.25">
      <c r="A249" s="129"/>
      <c r="B249" s="182" t="s">
        <v>87</v>
      </c>
      <c r="C249" s="183"/>
      <c r="E249" s="189" t="s">
        <v>307</v>
      </c>
      <c r="F249" s="14">
        <v>0</v>
      </c>
      <c r="G249" s="14"/>
      <c r="H249" s="14"/>
      <c r="I249" s="14"/>
      <c r="J249" s="11">
        <f t="shared" si="374"/>
        <v>0</v>
      </c>
      <c r="K249" s="11">
        <f t="shared" si="375"/>
        <v>0</v>
      </c>
      <c r="L249" s="11">
        <f t="shared" si="376"/>
        <v>0</v>
      </c>
      <c r="M249" s="190"/>
      <c r="N249" s="14"/>
      <c r="O249" s="14"/>
      <c r="P249" s="190"/>
      <c r="Q249" s="14">
        <f t="shared" si="377"/>
        <v>0</v>
      </c>
      <c r="R249" s="14">
        <f t="shared" si="378"/>
        <v>0</v>
      </c>
      <c r="S249" s="14"/>
      <c r="T249" s="14"/>
      <c r="U249" s="191">
        <f t="shared" si="379"/>
        <v>0</v>
      </c>
      <c r="V249" s="14"/>
      <c r="W249" s="14"/>
      <c r="X249" s="14"/>
      <c r="Y249" s="14"/>
      <c r="Z249" s="14"/>
      <c r="AA249" s="14"/>
      <c r="AB249" s="14">
        <f t="shared" si="380"/>
        <v>0</v>
      </c>
      <c r="AC249" s="14"/>
      <c r="AE249" s="11"/>
      <c r="AG249" s="52">
        <f t="shared" si="381"/>
        <v>0</v>
      </c>
      <c r="AH249" s="52">
        <f t="shared" si="382"/>
        <v>0</v>
      </c>
      <c r="AI249" s="193">
        <f t="shared" si="383"/>
        <v>0</v>
      </c>
      <c r="AJ249" s="194">
        <f t="shared" si="384"/>
        <v>0</v>
      </c>
      <c r="AK249" s="195">
        <f t="shared" si="385"/>
        <v>0</v>
      </c>
      <c r="AL249" s="196">
        <f t="shared" si="386"/>
        <v>0</v>
      </c>
      <c r="AM249" s="52">
        <f t="shared" si="387"/>
        <v>0</v>
      </c>
      <c r="AN249" s="52">
        <f t="shared" si="388"/>
        <v>0</v>
      </c>
      <c r="AO249" s="52">
        <f t="shared" si="389"/>
        <v>0</v>
      </c>
      <c r="AP249" s="52">
        <f t="shared" si="390"/>
        <v>0</v>
      </c>
    </row>
    <row r="250" spans="1:42" ht="20.100000000000001" customHeight="1" x14ac:dyDescent="0.25">
      <c r="A250" s="129"/>
      <c r="B250" s="182" t="s">
        <v>87</v>
      </c>
      <c r="C250" s="183"/>
      <c r="E250" s="189" t="s">
        <v>308</v>
      </c>
      <c r="F250" s="14">
        <v>1</v>
      </c>
      <c r="G250" s="14">
        <v>1.5</v>
      </c>
      <c r="H250" s="14">
        <v>0.2</v>
      </c>
      <c r="I250" s="14">
        <v>0.45</v>
      </c>
      <c r="J250" s="11">
        <f t="shared" si="374"/>
        <v>0.13500000000000004</v>
      </c>
      <c r="K250" s="11">
        <f t="shared" si="375"/>
        <v>0.30000000000000004</v>
      </c>
      <c r="L250" s="11">
        <f t="shared" si="376"/>
        <v>1.2675000000000001</v>
      </c>
      <c r="M250" s="190">
        <v>0.125</v>
      </c>
      <c r="N250" s="14">
        <f t="shared" ref="N250:N305" si="391">+I250-M250</f>
        <v>0.32500000000000001</v>
      </c>
      <c r="O250" s="14">
        <f t="shared" ref="O250:O305" si="392">+PRODUCT(F250,G250,N250)</f>
        <v>0.48750000000000004</v>
      </c>
      <c r="P250" s="190">
        <v>0.125</v>
      </c>
      <c r="Q250" s="14">
        <f t="shared" si="377"/>
        <v>0.32500000000000001</v>
      </c>
      <c r="R250" s="14">
        <f t="shared" si="378"/>
        <v>0.48750000000000004</v>
      </c>
      <c r="S250" s="14">
        <v>0.45</v>
      </c>
      <c r="T250" s="14"/>
      <c r="U250" s="191">
        <f t="shared" si="379"/>
        <v>0.29250000000000004</v>
      </c>
      <c r="V250" s="14"/>
      <c r="W250" s="14"/>
      <c r="X250" s="14"/>
      <c r="Y250" s="14"/>
      <c r="Z250" s="14"/>
      <c r="AA250" s="14"/>
      <c r="AB250" s="14">
        <f t="shared" si="380"/>
        <v>0</v>
      </c>
      <c r="AC250" s="14"/>
      <c r="AE250" s="11"/>
      <c r="AG250" s="52">
        <f t="shared" si="381"/>
        <v>1.5675000000000001</v>
      </c>
      <c r="AH250" s="52">
        <f t="shared" si="382"/>
        <v>0</v>
      </c>
      <c r="AI250" s="193">
        <f t="shared" si="383"/>
        <v>0</v>
      </c>
      <c r="AJ250" s="194">
        <f t="shared" si="384"/>
        <v>0</v>
      </c>
      <c r="AK250" s="195">
        <f t="shared" si="385"/>
        <v>1.5675000000000001</v>
      </c>
      <c r="AL250" s="196">
        <f t="shared" si="386"/>
        <v>0</v>
      </c>
      <c r="AM250" s="52">
        <f t="shared" si="387"/>
        <v>0</v>
      </c>
      <c r="AN250" s="52">
        <f t="shared" si="388"/>
        <v>0</v>
      </c>
      <c r="AO250" s="52">
        <f t="shared" si="389"/>
        <v>1.5</v>
      </c>
      <c r="AP250" s="52">
        <f t="shared" si="390"/>
        <v>0</v>
      </c>
    </row>
    <row r="251" spans="1:42" ht="20.100000000000001" customHeight="1" x14ac:dyDescent="0.25">
      <c r="A251" s="129"/>
      <c r="B251" s="182" t="s">
        <v>87</v>
      </c>
      <c r="C251" s="183"/>
      <c r="E251" s="189" t="s">
        <v>309</v>
      </c>
      <c r="F251" s="14">
        <v>1</v>
      </c>
      <c r="G251" s="14">
        <v>2.8</v>
      </c>
      <c r="H251" s="14">
        <v>0.2</v>
      </c>
      <c r="I251" s="14">
        <v>0.45</v>
      </c>
      <c r="J251" s="11">
        <f t="shared" si="374"/>
        <v>0.252</v>
      </c>
      <c r="K251" s="11">
        <f t="shared" si="375"/>
        <v>0.55999999999999994</v>
      </c>
      <c r="L251" s="11">
        <f t="shared" si="376"/>
        <v>1.95</v>
      </c>
      <c r="M251" s="190">
        <v>0.17499999999999999</v>
      </c>
      <c r="N251" s="14">
        <f t="shared" si="391"/>
        <v>0.27500000000000002</v>
      </c>
      <c r="O251" s="14">
        <f t="shared" si="392"/>
        <v>0.77</v>
      </c>
      <c r="P251" s="190">
        <v>0.125</v>
      </c>
      <c r="Q251" s="14">
        <f t="shared" si="377"/>
        <v>0.32500000000000001</v>
      </c>
      <c r="R251" s="14">
        <f t="shared" si="378"/>
        <v>0.90999999999999992</v>
      </c>
      <c r="S251" s="14">
        <v>0.45</v>
      </c>
      <c r="T251" s="14"/>
      <c r="U251" s="191">
        <f t="shared" si="379"/>
        <v>0.27000000000000007</v>
      </c>
      <c r="V251" s="14" t="s">
        <v>364</v>
      </c>
      <c r="W251" s="14"/>
      <c r="X251" s="14"/>
      <c r="Y251" s="14"/>
      <c r="Z251" s="14"/>
      <c r="AA251" s="14"/>
      <c r="AB251" s="14">
        <f t="shared" si="380"/>
        <v>0</v>
      </c>
      <c r="AC251" s="14"/>
      <c r="AE251" s="11"/>
      <c r="AG251" s="52">
        <f t="shared" si="381"/>
        <v>2.5099999999999998</v>
      </c>
      <c r="AH251" s="52">
        <f t="shared" si="382"/>
        <v>0</v>
      </c>
      <c r="AI251" s="193">
        <f t="shared" si="383"/>
        <v>0</v>
      </c>
      <c r="AJ251" s="194">
        <f t="shared" si="384"/>
        <v>0</v>
      </c>
      <c r="AK251" s="195">
        <f t="shared" si="385"/>
        <v>2.5099999999999998</v>
      </c>
      <c r="AL251" s="196">
        <f t="shared" si="386"/>
        <v>0</v>
      </c>
      <c r="AM251" s="52">
        <f t="shared" si="387"/>
        <v>0</v>
      </c>
      <c r="AN251" s="52">
        <f t="shared" si="388"/>
        <v>0</v>
      </c>
      <c r="AO251" s="52">
        <f t="shared" si="389"/>
        <v>2.8</v>
      </c>
      <c r="AP251" s="52">
        <f t="shared" si="390"/>
        <v>0</v>
      </c>
    </row>
    <row r="252" spans="1:42" ht="20.100000000000001" customHeight="1" x14ac:dyDescent="0.25">
      <c r="A252" s="129"/>
      <c r="B252" s="182" t="s">
        <v>87</v>
      </c>
      <c r="C252" s="183"/>
      <c r="E252" s="189" t="s">
        <v>310</v>
      </c>
      <c r="F252" s="14">
        <v>1</v>
      </c>
      <c r="G252" s="14">
        <v>3.6</v>
      </c>
      <c r="H252" s="14">
        <v>0.2</v>
      </c>
      <c r="I252" s="14">
        <v>0.45</v>
      </c>
      <c r="J252" s="11">
        <f t="shared" si="374"/>
        <v>0.32400000000000007</v>
      </c>
      <c r="K252" s="11">
        <f t="shared" si="375"/>
        <v>0.72000000000000008</v>
      </c>
      <c r="L252" s="11">
        <f t="shared" si="376"/>
        <v>2.5425000000000004</v>
      </c>
      <c r="M252" s="190">
        <v>0.125</v>
      </c>
      <c r="N252" s="14">
        <f t="shared" si="391"/>
        <v>0.32500000000000001</v>
      </c>
      <c r="O252" s="14">
        <f t="shared" si="392"/>
        <v>1.1700000000000002</v>
      </c>
      <c r="P252" s="190">
        <v>0.125</v>
      </c>
      <c r="Q252" s="14">
        <f t="shared" si="377"/>
        <v>0.32500000000000001</v>
      </c>
      <c r="R252" s="14">
        <f t="shared" si="378"/>
        <v>1.1700000000000002</v>
      </c>
      <c r="S252" s="14">
        <v>0.45</v>
      </c>
      <c r="T252" s="14"/>
      <c r="U252" s="191">
        <f t="shared" si="379"/>
        <v>0.29250000000000004</v>
      </c>
      <c r="V252" s="14" t="s">
        <v>342</v>
      </c>
      <c r="W252" s="14" t="s">
        <v>344</v>
      </c>
      <c r="X252" s="14"/>
      <c r="Y252" s="14"/>
      <c r="Z252" s="14"/>
      <c r="AA252" s="14"/>
      <c r="AB252" s="14">
        <f t="shared" si="380"/>
        <v>9.0000000000000011E-2</v>
      </c>
      <c r="AC252" s="14"/>
      <c r="AE252" s="11"/>
      <c r="AG252" s="52">
        <f t="shared" si="381"/>
        <v>3.2625000000000006</v>
      </c>
      <c r="AH252" s="52">
        <f t="shared" si="382"/>
        <v>0</v>
      </c>
      <c r="AI252" s="193">
        <f t="shared" si="383"/>
        <v>0</v>
      </c>
      <c r="AJ252" s="194">
        <f t="shared" si="384"/>
        <v>0</v>
      </c>
      <c r="AK252" s="195">
        <f t="shared" si="385"/>
        <v>3.2625000000000006</v>
      </c>
      <c r="AL252" s="196">
        <f t="shared" si="386"/>
        <v>0</v>
      </c>
      <c r="AM252" s="52">
        <f t="shared" si="387"/>
        <v>0</v>
      </c>
      <c r="AN252" s="52">
        <f t="shared" si="388"/>
        <v>0</v>
      </c>
      <c r="AO252" s="52">
        <f t="shared" si="389"/>
        <v>3.6</v>
      </c>
      <c r="AP252" s="52">
        <f t="shared" si="390"/>
        <v>0</v>
      </c>
    </row>
    <row r="253" spans="1:42" ht="20.100000000000001" customHeight="1" x14ac:dyDescent="0.25">
      <c r="A253" s="129"/>
      <c r="B253" s="182" t="s">
        <v>87</v>
      </c>
      <c r="C253" s="183"/>
      <c r="E253" s="189" t="s">
        <v>311</v>
      </c>
      <c r="F253" s="14">
        <v>1</v>
      </c>
      <c r="G253" s="14">
        <v>3.6</v>
      </c>
      <c r="H253" s="14">
        <v>0.2</v>
      </c>
      <c r="I253" s="14">
        <v>0.45</v>
      </c>
      <c r="J253" s="11">
        <f t="shared" si="374"/>
        <v>0.32400000000000007</v>
      </c>
      <c r="K253" s="11">
        <f t="shared" si="375"/>
        <v>0.72000000000000008</v>
      </c>
      <c r="L253" s="11">
        <f t="shared" si="376"/>
        <v>2.5312500000000004</v>
      </c>
      <c r="M253" s="190">
        <v>0.15</v>
      </c>
      <c r="N253" s="14">
        <f t="shared" si="391"/>
        <v>0.30000000000000004</v>
      </c>
      <c r="O253" s="14">
        <f t="shared" si="392"/>
        <v>1.0800000000000003</v>
      </c>
      <c r="P253" s="190">
        <v>0.125</v>
      </c>
      <c r="Q253" s="14">
        <f t="shared" si="377"/>
        <v>0.32500000000000001</v>
      </c>
      <c r="R253" s="14">
        <f t="shared" si="378"/>
        <v>1.1700000000000002</v>
      </c>
      <c r="S253" s="14">
        <v>0.45</v>
      </c>
      <c r="T253" s="14"/>
      <c r="U253" s="191">
        <f t="shared" si="379"/>
        <v>0.28125</v>
      </c>
      <c r="V253" s="14"/>
      <c r="W253" s="14"/>
      <c r="X253" s="14"/>
      <c r="Y253" s="14"/>
      <c r="Z253" s="14"/>
      <c r="AA253" s="14"/>
      <c r="AB253" s="14">
        <f t="shared" si="380"/>
        <v>0</v>
      </c>
      <c r="AC253" s="14"/>
      <c r="AE253" s="11"/>
      <c r="AG253" s="52">
        <f t="shared" si="381"/>
        <v>3.2512500000000006</v>
      </c>
      <c r="AH253" s="52">
        <f t="shared" si="382"/>
        <v>0</v>
      </c>
      <c r="AI253" s="193">
        <f t="shared" si="383"/>
        <v>0</v>
      </c>
      <c r="AJ253" s="194">
        <f t="shared" si="384"/>
        <v>0</v>
      </c>
      <c r="AK253" s="195">
        <f t="shared" si="385"/>
        <v>3.2512500000000006</v>
      </c>
      <c r="AL253" s="196">
        <f t="shared" si="386"/>
        <v>0</v>
      </c>
      <c r="AM253" s="52">
        <f t="shared" si="387"/>
        <v>0</v>
      </c>
      <c r="AN253" s="52">
        <f t="shared" si="388"/>
        <v>0</v>
      </c>
      <c r="AO253" s="52">
        <f t="shared" si="389"/>
        <v>3.6</v>
      </c>
      <c r="AP253" s="52">
        <f t="shared" si="390"/>
        <v>0</v>
      </c>
    </row>
    <row r="254" spans="1:42" ht="20.100000000000001" customHeight="1" x14ac:dyDescent="0.25">
      <c r="A254" s="129"/>
      <c r="B254" s="182" t="s">
        <v>87</v>
      </c>
      <c r="C254" s="183"/>
      <c r="E254" s="189" t="s">
        <v>312</v>
      </c>
      <c r="F254" s="14">
        <v>1</v>
      </c>
      <c r="G254" s="14">
        <v>1.5</v>
      </c>
      <c r="H254" s="14">
        <v>0.2</v>
      </c>
      <c r="I254" s="14">
        <v>0.45</v>
      </c>
      <c r="J254" s="11">
        <f t="shared" si="374"/>
        <v>0.13500000000000004</v>
      </c>
      <c r="K254" s="11">
        <f t="shared" si="375"/>
        <v>0.30000000000000004</v>
      </c>
      <c r="L254" s="11">
        <f t="shared" si="376"/>
        <v>0.97500000000000009</v>
      </c>
      <c r="M254" s="190">
        <v>0.125</v>
      </c>
      <c r="N254" s="14">
        <f t="shared" si="391"/>
        <v>0.32500000000000001</v>
      </c>
      <c r="O254" s="14">
        <f t="shared" si="392"/>
        <v>0.48750000000000004</v>
      </c>
      <c r="P254" s="190">
        <v>0.125</v>
      </c>
      <c r="Q254" s="14">
        <f t="shared" si="377"/>
        <v>0.32500000000000001</v>
      </c>
      <c r="R254" s="14">
        <f t="shared" si="378"/>
        <v>0.48750000000000004</v>
      </c>
      <c r="S254" s="14"/>
      <c r="T254" s="14"/>
      <c r="U254" s="191">
        <f t="shared" si="379"/>
        <v>0</v>
      </c>
      <c r="V254" s="14"/>
      <c r="W254" s="14"/>
      <c r="X254" s="14"/>
      <c r="Y254" s="14"/>
      <c r="Z254" s="14"/>
      <c r="AA254" s="14"/>
      <c r="AB254" s="14">
        <f t="shared" si="380"/>
        <v>0</v>
      </c>
      <c r="AC254" s="14"/>
      <c r="AE254" s="11"/>
      <c r="AG254" s="52">
        <f t="shared" si="381"/>
        <v>1.2750000000000001</v>
      </c>
      <c r="AH254" s="52">
        <f t="shared" si="382"/>
        <v>0</v>
      </c>
      <c r="AI254" s="193">
        <f t="shared" si="383"/>
        <v>0</v>
      </c>
      <c r="AJ254" s="194">
        <f t="shared" si="384"/>
        <v>0</v>
      </c>
      <c r="AK254" s="195">
        <f t="shared" si="385"/>
        <v>1.2750000000000001</v>
      </c>
      <c r="AL254" s="196">
        <f t="shared" si="386"/>
        <v>0</v>
      </c>
      <c r="AM254" s="52">
        <f t="shared" si="387"/>
        <v>0</v>
      </c>
      <c r="AN254" s="52">
        <f t="shared" si="388"/>
        <v>0</v>
      </c>
      <c r="AO254" s="52">
        <f t="shared" si="389"/>
        <v>1.5</v>
      </c>
      <c r="AP254" s="52">
        <f t="shared" si="390"/>
        <v>0</v>
      </c>
    </row>
    <row r="255" spans="1:42" ht="20.100000000000001" customHeight="1" x14ac:dyDescent="0.25">
      <c r="A255" s="129"/>
      <c r="B255" s="182" t="s">
        <v>87</v>
      </c>
      <c r="C255" s="183"/>
      <c r="E255" s="189" t="s">
        <v>313</v>
      </c>
      <c r="F255" s="14">
        <v>0</v>
      </c>
      <c r="G255" s="14"/>
      <c r="H255" s="14"/>
      <c r="I255" s="14"/>
      <c r="J255" s="11">
        <f t="shared" si="374"/>
        <v>0</v>
      </c>
      <c r="K255" s="11">
        <f t="shared" si="375"/>
        <v>0</v>
      </c>
      <c r="L255" s="11">
        <f t="shared" si="376"/>
        <v>0</v>
      </c>
      <c r="M255" s="190"/>
      <c r="N255" s="14">
        <f t="shared" si="391"/>
        <v>0</v>
      </c>
      <c r="O255" s="14">
        <f t="shared" si="392"/>
        <v>0</v>
      </c>
      <c r="P255" s="190"/>
      <c r="Q255" s="14">
        <f t="shared" si="377"/>
        <v>0</v>
      </c>
      <c r="R255" s="14">
        <f t="shared" si="378"/>
        <v>0</v>
      </c>
      <c r="S255" s="14"/>
      <c r="T255" s="14"/>
      <c r="U255" s="191">
        <f t="shared" si="379"/>
        <v>0</v>
      </c>
      <c r="V255" s="14"/>
      <c r="W255" s="14"/>
      <c r="X255" s="14"/>
      <c r="Y255" s="14"/>
      <c r="Z255" s="14"/>
      <c r="AA255" s="14"/>
      <c r="AB255" s="14">
        <f t="shared" si="380"/>
        <v>0</v>
      </c>
      <c r="AC255" s="14"/>
      <c r="AE255" s="11"/>
      <c r="AG255" s="52">
        <f t="shared" si="381"/>
        <v>0</v>
      </c>
      <c r="AH255" s="52">
        <f t="shared" si="382"/>
        <v>0</v>
      </c>
      <c r="AI255" s="193">
        <f t="shared" si="383"/>
        <v>0</v>
      </c>
      <c r="AJ255" s="194">
        <f t="shared" si="384"/>
        <v>0</v>
      </c>
      <c r="AK255" s="195">
        <f t="shared" si="385"/>
        <v>0</v>
      </c>
      <c r="AL255" s="196">
        <f t="shared" si="386"/>
        <v>0</v>
      </c>
      <c r="AM255" s="52">
        <f t="shared" si="387"/>
        <v>0</v>
      </c>
      <c r="AN255" s="52">
        <f t="shared" si="388"/>
        <v>0</v>
      </c>
      <c r="AO255" s="52">
        <f t="shared" si="389"/>
        <v>0</v>
      </c>
      <c r="AP255" s="52">
        <f t="shared" si="390"/>
        <v>0</v>
      </c>
    </row>
    <row r="256" spans="1:42" ht="20.100000000000001" customHeight="1" x14ac:dyDescent="0.25">
      <c r="A256" s="129"/>
      <c r="B256" s="182" t="s">
        <v>87</v>
      </c>
      <c r="C256" s="183"/>
      <c r="E256" s="189" t="s">
        <v>314</v>
      </c>
      <c r="F256" s="14">
        <v>0</v>
      </c>
      <c r="G256" s="14"/>
      <c r="H256" s="14"/>
      <c r="I256" s="14"/>
      <c r="J256" s="11">
        <f t="shared" si="374"/>
        <v>0</v>
      </c>
      <c r="K256" s="11">
        <f t="shared" si="375"/>
        <v>0</v>
      </c>
      <c r="L256" s="11">
        <f t="shared" si="376"/>
        <v>0</v>
      </c>
      <c r="M256" s="190"/>
      <c r="N256" s="14">
        <f t="shared" si="391"/>
        <v>0</v>
      </c>
      <c r="O256" s="14">
        <f t="shared" si="392"/>
        <v>0</v>
      </c>
      <c r="P256" s="190"/>
      <c r="Q256" s="14">
        <f t="shared" si="377"/>
        <v>0</v>
      </c>
      <c r="R256" s="14">
        <f t="shared" si="378"/>
        <v>0</v>
      </c>
      <c r="S256" s="14"/>
      <c r="T256" s="14"/>
      <c r="U256" s="191">
        <f t="shared" si="379"/>
        <v>0</v>
      </c>
      <c r="V256" s="14"/>
      <c r="W256" s="14"/>
      <c r="X256" s="14"/>
      <c r="Y256" s="14"/>
      <c r="Z256" s="14"/>
      <c r="AA256" s="14"/>
      <c r="AB256" s="14">
        <f t="shared" si="380"/>
        <v>0</v>
      </c>
      <c r="AC256" s="14"/>
      <c r="AE256" s="11"/>
      <c r="AG256" s="52">
        <f t="shared" si="381"/>
        <v>0</v>
      </c>
      <c r="AH256" s="52">
        <f t="shared" si="382"/>
        <v>0</v>
      </c>
      <c r="AI256" s="193">
        <f t="shared" si="383"/>
        <v>0</v>
      </c>
      <c r="AJ256" s="194">
        <f t="shared" si="384"/>
        <v>0</v>
      </c>
      <c r="AK256" s="195">
        <f t="shared" si="385"/>
        <v>0</v>
      </c>
      <c r="AL256" s="196">
        <f t="shared" si="386"/>
        <v>0</v>
      </c>
      <c r="AM256" s="52">
        <f t="shared" si="387"/>
        <v>0</v>
      </c>
      <c r="AN256" s="52">
        <f t="shared" si="388"/>
        <v>0</v>
      </c>
      <c r="AO256" s="52">
        <f t="shared" si="389"/>
        <v>0</v>
      </c>
      <c r="AP256" s="52">
        <f t="shared" si="390"/>
        <v>0</v>
      </c>
    </row>
    <row r="257" spans="1:42" ht="20.100000000000001" customHeight="1" x14ac:dyDescent="0.25">
      <c r="A257" s="129"/>
      <c r="B257" s="182" t="s">
        <v>87</v>
      </c>
      <c r="C257" s="183"/>
      <c r="E257" s="189" t="s">
        <v>315</v>
      </c>
      <c r="F257" s="14">
        <v>0</v>
      </c>
      <c r="G257" s="14"/>
      <c r="H257" s="14"/>
      <c r="I257" s="14"/>
      <c r="J257" s="11">
        <f t="shared" si="374"/>
        <v>0</v>
      </c>
      <c r="K257" s="11">
        <f t="shared" si="375"/>
        <v>0</v>
      </c>
      <c r="L257" s="11">
        <f t="shared" si="376"/>
        <v>0</v>
      </c>
      <c r="M257" s="190"/>
      <c r="N257" s="14">
        <f t="shared" si="391"/>
        <v>0</v>
      </c>
      <c r="O257" s="14">
        <f t="shared" si="392"/>
        <v>0</v>
      </c>
      <c r="P257" s="190"/>
      <c r="Q257" s="14">
        <f t="shared" si="377"/>
        <v>0</v>
      </c>
      <c r="R257" s="14">
        <f t="shared" si="378"/>
        <v>0</v>
      </c>
      <c r="S257" s="14"/>
      <c r="T257" s="14"/>
      <c r="U257" s="191">
        <f t="shared" si="379"/>
        <v>0</v>
      </c>
      <c r="V257" s="14"/>
      <c r="W257" s="14"/>
      <c r="X257" s="14"/>
      <c r="Y257" s="14"/>
      <c r="Z257" s="14"/>
      <c r="AA257" s="14"/>
      <c r="AB257" s="14">
        <f t="shared" si="380"/>
        <v>0</v>
      </c>
      <c r="AC257" s="14"/>
      <c r="AE257" s="11"/>
      <c r="AG257" s="52">
        <f t="shared" si="381"/>
        <v>0</v>
      </c>
      <c r="AH257" s="52">
        <f t="shared" si="382"/>
        <v>0</v>
      </c>
      <c r="AI257" s="193">
        <f t="shared" si="383"/>
        <v>0</v>
      </c>
      <c r="AJ257" s="194">
        <f t="shared" si="384"/>
        <v>0</v>
      </c>
      <c r="AK257" s="195">
        <f t="shared" si="385"/>
        <v>0</v>
      </c>
      <c r="AL257" s="196">
        <f t="shared" si="386"/>
        <v>0</v>
      </c>
      <c r="AM257" s="52">
        <f t="shared" si="387"/>
        <v>0</v>
      </c>
      <c r="AN257" s="52">
        <f t="shared" si="388"/>
        <v>0</v>
      </c>
      <c r="AO257" s="52">
        <f t="shared" si="389"/>
        <v>0</v>
      </c>
      <c r="AP257" s="52">
        <f t="shared" si="390"/>
        <v>0</v>
      </c>
    </row>
    <row r="258" spans="1:42" ht="20.100000000000001" customHeight="1" x14ac:dyDescent="0.25">
      <c r="A258" s="129"/>
      <c r="B258" s="182" t="s">
        <v>87</v>
      </c>
      <c r="C258" s="183"/>
      <c r="E258" s="189" t="s">
        <v>316</v>
      </c>
      <c r="F258" s="14">
        <v>0</v>
      </c>
      <c r="G258" s="14"/>
      <c r="H258" s="14"/>
      <c r="I258" s="14"/>
      <c r="J258" s="11">
        <f t="shared" si="374"/>
        <v>0</v>
      </c>
      <c r="K258" s="11">
        <f t="shared" si="375"/>
        <v>0</v>
      </c>
      <c r="L258" s="11">
        <f t="shared" si="376"/>
        <v>0</v>
      </c>
      <c r="M258" s="190"/>
      <c r="N258" s="14">
        <f t="shared" si="391"/>
        <v>0</v>
      </c>
      <c r="O258" s="14">
        <f t="shared" si="392"/>
        <v>0</v>
      </c>
      <c r="P258" s="190"/>
      <c r="Q258" s="14">
        <f t="shared" si="377"/>
        <v>0</v>
      </c>
      <c r="R258" s="14">
        <f t="shared" si="378"/>
        <v>0</v>
      </c>
      <c r="S258" s="14"/>
      <c r="T258" s="14"/>
      <c r="U258" s="191">
        <f t="shared" si="379"/>
        <v>0</v>
      </c>
      <c r="V258" s="14"/>
      <c r="W258" s="14"/>
      <c r="X258" s="14"/>
      <c r="Y258" s="14"/>
      <c r="Z258" s="14"/>
      <c r="AA258" s="14"/>
      <c r="AB258" s="14">
        <f t="shared" si="380"/>
        <v>0</v>
      </c>
      <c r="AC258" s="14"/>
      <c r="AE258" s="11"/>
      <c r="AG258" s="52">
        <f t="shared" si="381"/>
        <v>0</v>
      </c>
      <c r="AH258" s="52">
        <f t="shared" si="382"/>
        <v>0</v>
      </c>
      <c r="AI258" s="193">
        <f t="shared" si="383"/>
        <v>0</v>
      </c>
      <c r="AJ258" s="194">
        <f t="shared" si="384"/>
        <v>0</v>
      </c>
      <c r="AK258" s="195">
        <f t="shared" si="385"/>
        <v>0</v>
      </c>
      <c r="AL258" s="196">
        <f t="shared" si="386"/>
        <v>0</v>
      </c>
      <c r="AM258" s="52">
        <f t="shared" si="387"/>
        <v>0</v>
      </c>
      <c r="AN258" s="52">
        <f t="shared" si="388"/>
        <v>0</v>
      </c>
      <c r="AO258" s="52">
        <f t="shared" si="389"/>
        <v>0</v>
      </c>
      <c r="AP258" s="52">
        <f t="shared" si="390"/>
        <v>0</v>
      </c>
    </row>
    <row r="259" spans="1:42" ht="20.100000000000001" customHeight="1" x14ac:dyDescent="0.25">
      <c r="A259" s="129"/>
      <c r="B259" s="182" t="s">
        <v>87</v>
      </c>
      <c r="C259" s="183"/>
      <c r="E259" s="189" t="s">
        <v>317</v>
      </c>
      <c r="F259" s="14">
        <v>0</v>
      </c>
      <c r="G259" s="14"/>
      <c r="H259" s="14"/>
      <c r="I259" s="14"/>
      <c r="J259" s="11">
        <f t="shared" si="374"/>
        <v>0</v>
      </c>
      <c r="K259" s="11">
        <f t="shared" si="375"/>
        <v>0</v>
      </c>
      <c r="L259" s="11">
        <f t="shared" si="376"/>
        <v>0</v>
      </c>
      <c r="M259" s="190"/>
      <c r="N259" s="14">
        <f t="shared" si="391"/>
        <v>0</v>
      </c>
      <c r="O259" s="14">
        <f t="shared" si="392"/>
        <v>0</v>
      </c>
      <c r="P259" s="190"/>
      <c r="Q259" s="14">
        <f t="shared" si="377"/>
        <v>0</v>
      </c>
      <c r="R259" s="14">
        <f t="shared" si="378"/>
        <v>0</v>
      </c>
      <c r="S259" s="14"/>
      <c r="T259" s="14"/>
      <c r="U259" s="191">
        <f t="shared" si="379"/>
        <v>0</v>
      </c>
      <c r="V259" s="14"/>
      <c r="W259" s="14"/>
      <c r="X259" s="14"/>
      <c r="Y259" s="14"/>
      <c r="Z259" s="14"/>
      <c r="AA259" s="14"/>
      <c r="AB259" s="14">
        <f t="shared" si="380"/>
        <v>0</v>
      </c>
      <c r="AC259" s="14"/>
      <c r="AE259" s="11"/>
      <c r="AG259" s="52">
        <f t="shared" si="381"/>
        <v>0</v>
      </c>
      <c r="AH259" s="52">
        <f t="shared" si="382"/>
        <v>0</v>
      </c>
      <c r="AI259" s="193">
        <f t="shared" si="383"/>
        <v>0</v>
      </c>
      <c r="AJ259" s="194">
        <f t="shared" si="384"/>
        <v>0</v>
      </c>
      <c r="AK259" s="195">
        <f t="shared" si="385"/>
        <v>0</v>
      </c>
      <c r="AL259" s="196">
        <f t="shared" si="386"/>
        <v>0</v>
      </c>
      <c r="AM259" s="52">
        <f t="shared" si="387"/>
        <v>0</v>
      </c>
      <c r="AN259" s="52">
        <f t="shared" si="388"/>
        <v>0</v>
      </c>
      <c r="AO259" s="52">
        <f t="shared" si="389"/>
        <v>0</v>
      </c>
      <c r="AP259" s="52">
        <f t="shared" si="390"/>
        <v>0</v>
      </c>
    </row>
    <row r="260" spans="1:42" ht="20.100000000000001" customHeight="1" x14ac:dyDescent="0.25">
      <c r="A260" s="129"/>
      <c r="B260" s="182" t="s">
        <v>87</v>
      </c>
      <c r="C260" s="183"/>
      <c r="E260" s="189" t="s">
        <v>318</v>
      </c>
      <c r="F260" s="14">
        <v>1</v>
      </c>
      <c r="G260" s="14">
        <v>1.1000000000000001</v>
      </c>
      <c r="H260" s="14">
        <v>0.15</v>
      </c>
      <c r="I260" s="14">
        <v>0.45</v>
      </c>
      <c r="J260" s="11">
        <f t="shared" si="374"/>
        <v>7.425000000000001E-2</v>
      </c>
      <c r="K260" s="11">
        <f t="shared" si="375"/>
        <v>0.16500000000000001</v>
      </c>
      <c r="L260" s="11">
        <f t="shared" si="376"/>
        <v>0.64750000000000008</v>
      </c>
      <c r="M260" s="190">
        <v>0.125</v>
      </c>
      <c r="N260" s="14">
        <f t="shared" si="391"/>
        <v>0.32500000000000001</v>
      </c>
      <c r="O260" s="14">
        <f t="shared" si="392"/>
        <v>0.35750000000000004</v>
      </c>
      <c r="P260" s="190">
        <v>0.125</v>
      </c>
      <c r="Q260" s="14">
        <f t="shared" si="377"/>
        <v>0.32500000000000001</v>
      </c>
      <c r="R260" s="14">
        <f t="shared" si="378"/>
        <v>0.35750000000000004</v>
      </c>
      <c r="S260" s="14"/>
      <c r="T260" s="14"/>
      <c r="U260" s="191">
        <f t="shared" si="379"/>
        <v>0</v>
      </c>
      <c r="V260" s="14" t="s">
        <v>319</v>
      </c>
      <c r="W260" s="14"/>
      <c r="X260" s="14"/>
      <c r="Y260" s="14"/>
      <c r="Z260" s="14"/>
      <c r="AA260" s="14"/>
      <c r="AB260" s="14">
        <f t="shared" si="380"/>
        <v>6.7500000000000004E-2</v>
      </c>
      <c r="AC260" s="14"/>
      <c r="AE260" s="11"/>
      <c r="AG260" s="52">
        <f t="shared" si="381"/>
        <v>0.81250000000000011</v>
      </c>
      <c r="AH260" s="52">
        <f t="shared" si="382"/>
        <v>0</v>
      </c>
      <c r="AI260" s="193">
        <f t="shared" si="383"/>
        <v>0</v>
      </c>
      <c r="AJ260" s="194">
        <f t="shared" si="384"/>
        <v>0</v>
      </c>
      <c r="AK260" s="195">
        <f t="shared" si="385"/>
        <v>0.81250000000000011</v>
      </c>
      <c r="AL260" s="196">
        <f t="shared" si="386"/>
        <v>0</v>
      </c>
      <c r="AM260" s="52">
        <f t="shared" si="387"/>
        <v>0</v>
      </c>
      <c r="AN260" s="52">
        <f t="shared" si="388"/>
        <v>0</v>
      </c>
      <c r="AO260" s="52">
        <f t="shared" si="389"/>
        <v>1.1000000000000001</v>
      </c>
      <c r="AP260" s="52">
        <f t="shared" si="390"/>
        <v>0</v>
      </c>
    </row>
    <row r="261" spans="1:42" ht="20.100000000000001" customHeight="1" x14ac:dyDescent="0.25">
      <c r="A261" s="129"/>
      <c r="B261" s="182" t="s">
        <v>87</v>
      </c>
      <c r="C261" s="183"/>
      <c r="E261" s="189" t="s">
        <v>319</v>
      </c>
      <c r="F261" s="14">
        <v>1</v>
      </c>
      <c r="G261" s="14">
        <v>0.45</v>
      </c>
      <c r="H261" s="14">
        <v>0.15</v>
      </c>
      <c r="I261" s="14">
        <v>0.45</v>
      </c>
      <c r="J261" s="11">
        <f t="shared" si="374"/>
        <v>3.0375000000000003E-2</v>
      </c>
      <c r="K261" s="11">
        <f t="shared" si="375"/>
        <v>6.7500000000000004E-2</v>
      </c>
      <c r="L261" s="11">
        <f t="shared" si="376"/>
        <v>0.29250000000000004</v>
      </c>
      <c r="M261" s="190">
        <v>0.125</v>
      </c>
      <c r="N261" s="14">
        <f t="shared" si="391"/>
        <v>0.32500000000000001</v>
      </c>
      <c r="O261" s="14">
        <f t="shared" si="392"/>
        <v>0.14625000000000002</v>
      </c>
      <c r="P261" s="190">
        <v>0.125</v>
      </c>
      <c r="Q261" s="14">
        <f t="shared" si="377"/>
        <v>0.32500000000000001</v>
      </c>
      <c r="R261" s="14">
        <f t="shared" si="378"/>
        <v>0.14625000000000002</v>
      </c>
      <c r="S261" s="14"/>
      <c r="T261" s="14"/>
      <c r="U261" s="191">
        <f t="shared" si="379"/>
        <v>0</v>
      </c>
      <c r="V261" s="14"/>
      <c r="W261" s="14"/>
      <c r="X261" s="14"/>
      <c r="Y261" s="14"/>
      <c r="Z261" s="14"/>
      <c r="AA261" s="14"/>
      <c r="AB261" s="14">
        <f t="shared" si="380"/>
        <v>0</v>
      </c>
      <c r="AC261" s="14"/>
      <c r="AE261" s="11"/>
      <c r="AG261" s="52">
        <f t="shared" si="381"/>
        <v>0.36000000000000004</v>
      </c>
      <c r="AH261" s="52">
        <f t="shared" si="382"/>
        <v>0</v>
      </c>
      <c r="AI261" s="193">
        <f t="shared" si="383"/>
        <v>0</v>
      </c>
      <c r="AJ261" s="194">
        <f t="shared" si="384"/>
        <v>0</v>
      </c>
      <c r="AK261" s="195">
        <f t="shared" si="385"/>
        <v>0.36000000000000004</v>
      </c>
      <c r="AL261" s="196">
        <f t="shared" si="386"/>
        <v>0</v>
      </c>
      <c r="AM261" s="52">
        <f t="shared" si="387"/>
        <v>0</v>
      </c>
      <c r="AN261" s="52">
        <f t="shared" si="388"/>
        <v>0</v>
      </c>
      <c r="AO261" s="52">
        <f t="shared" si="389"/>
        <v>0.45</v>
      </c>
      <c r="AP261" s="52">
        <f t="shared" si="390"/>
        <v>0</v>
      </c>
    </row>
    <row r="262" spans="1:42" ht="20.100000000000001" customHeight="1" x14ac:dyDescent="0.25">
      <c r="A262" s="129"/>
      <c r="B262" s="182" t="s">
        <v>87</v>
      </c>
      <c r="C262" s="183"/>
      <c r="E262" s="189" t="s">
        <v>320</v>
      </c>
      <c r="F262" s="14">
        <v>1</v>
      </c>
      <c r="G262" s="14">
        <v>1.5</v>
      </c>
      <c r="H262" s="14">
        <v>0.2</v>
      </c>
      <c r="I262" s="14">
        <v>0.45</v>
      </c>
      <c r="J262" s="11">
        <f t="shared" si="374"/>
        <v>0.13500000000000004</v>
      </c>
      <c r="K262" s="11">
        <f t="shared" si="375"/>
        <v>0.30000000000000004</v>
      </c>
      <c r="L262" s="11">
        <f t="shared" si="376"/>
        <v>1.2675000000000001</v>
      </c>
      <c r="M262" s="190">
        <v>0.125</v>
      </c>
      <c r="N262" s="14">
        <f t="shared" si="391"/>
        <v>0.32500000000000001</v>
      </c>
      <c r="O262" s="14">
        <f t="shared" si="392"/>
        <v>0.48750000000000004</v>
      </c>
      <c r="P262" s="190">
        <v>0.125</v>
      </c>
      <c r="Q262" s="14">
        <f t="shared" si="377"/>
        <v>0.32500000000000001</v>
      </c>
      <c r="R262" s="14">
        <f t="shared" si="378"/>
        <v>0.48750000000000004</v>
      </c>
      <c r="S262" s="14">
        <v>0.45</v>
      </c>
      <c r="T262" s="14"/>
      <c r="U262" s="191">
        <f t="shared" si="379"/>
        <v>0.29250000000000004</v>
      </c>
      <c r="V262" s="14"/>
      <c r="W262" s="14"/>
      <c r="X262" s="14"/>
      <c r="Y262" s="14"/>
      <c r="Z262" s="14"/>
      <c r="AA262" s="14"/>
      <c r="AB262" s="14">
        <f t="shared" si="380"/>
        <v>0</v>
      </c>
      <c r="AC262" s="14"/>
      <c r="AE262" s="11"/>
      <c r="AG262" s="52">
        <f t="shared" si="381"/>
        <v>1.5675000000000001</v>
      </c>
      <c r="AH262" s="52">
        <f t="shared" si="382"/>
        <v>0</v>
      </c>
      <c r="AI262" s="193">
        <f t="shared" si="383"/>
        <v>0</v>
      </c>
      <c r="AJ262" s="194">
        <f t="shared" si="384"/>
        <v>0</v>
      </c>
      <c r="AK262" s="195">
        <f t="shared" si="385"/>
        <v>1.5675000000000001</v>
      </c>
      <c r="AL262" s="196">
        <f t="shared" si="386"/>
        <v>0</v>
      </c>
      <c r="AM262" s="52">
        <f t="shared" si="387"/>
        <v>0</v>
      </c>
      <c r="AN262" s="52">
        <f t="shared" si="388"/>
        <v>0</v>
      </c>
      <c r="AO262" s="52">
        <f t="shared" si="389"/>
        <v>1.5</v>
      </c>
      <c r="AP262" s="52">
        <f t="shared" si="390"/>
        <v>0</v>
      </c>
    </row>
    <row r="263" spans="1:42" ht="20.100000000000001" customHeight="1" x14ac:dyDescent="0.25">
      <c r="A263" s="129"/>
      <c r="B263" s="182" t="s">
        <v>87</v>
      </c>
      <c r="C263" s="183"/>
      <c r="E263" s="189" t="s">
        <v>321</v>
      </c>
      <c r="F263" s="14">
        <v>1</v>
      </c>
      <c r="G263" s="14">
        <v>2.8</v>
      </c>
      <c r="H263" s="14">
        <v>0.2</v>
      </c>
      <c r="I263" s="14">
        <v>0.45</v>
      </c>
      <c r="J263" s="11">
        <f t="shared" si="374"/>
        <v>0.252</v>
      </c>
      <c r="K263" s="11">
        <f t="shared" si="375"/>
        <v>0.55999999999999994</v>
      </c>
      <c r="L263" s="11">
        <f t="shared" si="376"/>
        <v>2.1124999999999998</v>
      </c>
      <c r="M263" s="190">
        <v>0.125</v>
      </c>
      <c r="N263" s="14">
        <f t="shared" si="391"/>
        <v>0.32500000000000001</v>
      </c>
      <c r="O263" s="14">
        <f t="shared" si="392"/>
        <v>0.90999999999999992</v>
      </c>
      <c r="P263" s="190">
        <v>0.125</v>
      </c>
      <c r="Q263" s="14">
        <f t="shared" si="377"/>
        <v>0.32500000000000001</v>
      </c>
      <c r="R263" s="14">
        <f t="shared" si="378"/>
        <v>0.90999999999999992</v>
      </c>
      <c r="S263" s="14">
        <v>0.45</v>
      </c>
      <c r="T263" s="14"/>
      <c r="U263" s="191">
        <f t="shared" si="379"/>
        <v>0.29250000000000004</v>
      </c>
      <c r="V263" s="14"/>
      <c r="W263" s="14"/>
      <c r="X263" s="14"/>
      <c r="Y263" s="14"/>
      <c r="Z263" s="14"/>
      <c r="AA263" s="14"/>
      <c r="AB263" s="14">
        <f t="shared" si="380"/>
        <v>0</v>
      </c>
      <c r="AC263" s="14"/>
      <c r="AE263" s="11"/>
      <c r="AG263" s="52">
        <f t="shared" si="381"/>
        <v>2.6724999999999999</v>
      </c>
      <c r="AH263" s="52">
        <f t="shared" si="382"/>
        <v>0</v>
      </c>
      <c r="AI263" s="193">
        <f t="shared" si="383"/>
        <v>0</v>
      </c>
      <c r="AJ263" s="194">
        <f t="shared" si="384"/>
        <v>0</v>
      </c>
      <c r="AK263" s="195">
        <f t="shared" si="385"/>
        <v>2.6724999999999999</v>
      </c>
      <c r="AL263" s="196">
        <f t="shared" si="386"/>
        <v>0</v>
      </c>
      <c r="AM263" s="52">
        <f t="shared" si="387"/>
        <v>0</v>
      </c>
      <c r="AN263" s="52">
        <f t="shared" si="388"/>
        <v>0</v>
      </c>
      <c r="AO263" s="52">
        <f t="shared" si="389"/>
        <v>2.8</v>
      </c>
      <c r="AP263" s="52">
        <f t="shared" si="390"/>
        <v>0</v>
      </c>
    </row>
    <row r="264" spans="1:42" ht="20.100000000000001" customHeight="1" x14ac:dyDescent="0.25">
      <c r="A264" s="129"/>
      <c r="B264" s="182" t="s">
        <v>87</v>
      </c>
      <c r="C264" s="183"/>
      <c r="E264" s="189" t="s">
        <v>322</v>
      </c>
      <c r="F264" s="14">
        <v>1</v>
      </c>
      <c r="G264" s="14">
        <v>3.6</v>
      </c>
      <c r="H264" s="14">
        <v>0.2</v>
      </c>
      <c r="I264" s="14">
        <v>0.45</v>
      </c>
      <c r="J264" s="11">
        <f t="shared" si="374"/>
        <v>0.32400000000000007</v>
      </c>
      <c r="K264" s="11">
        <f t="shared" si="375"/>
        <v>0.72000000000000008</v>
      </c>
      <c r="L264" s="11">
        <f t="shared" si="376"/>
        <v>2.6325000000000003</v>
      </c>
      <c r="M264" s="190">
        <v>0.125</v>
      </c>
      <c r="N264" s="14">
        <f t="shared" si="391"/>
        <v>0.32500000000000001</v>
      </c>
      <c r="O264" s="14">
        <f t="shared" si="392"/>
        <v>1.1700000000000002</v>
      </c>
      <c r="P264" s="190">
        <v>0.125</v>
      </c>
      <c r="Q264" s="14">
        <f t="shared" si="377"/>
        <v>0.32500000000000001</v>
      </c>
      <c r="R264" s="14">
        <f t="shared" si="378"/>
        <v>1.1700000000000002</v>
      </c>
      <c r="S264" s="14">
        <v>0.45</v>
      </c>
      <c r="T264" s="14"/>
      <c r="U264" s="191">
        <f t="shared" si="379"/>
        <v>0.29250000000000004</v>
      </c>
      <c r="V264" s="14" t="s">
        <v>343</v>
      </c>
      <c r="W264" s="14"/>
      <c r="X264" s="14"/>
      <c r="Y264" s="14"/>
      <c r="Z264" s="14"/>
      <c r="AA264" s="14"/>
      <c r="AB264" s="14">
        <f t="shared" si="380"/>
        <v>0</v>
      </c>
      <c r="AC264" s="14"/>
      <c r="AE264" s="11"/>
      <c r="AG264" s="52">
        <f t="shared" si="381"/>
        <v>3.3525000000000005</v>
      </c>
      <c r="AH264" s="52">
        <f t="shared" si="382"/>
        <v>0</v>
      </c>
      <c r="AI264" s="193">
        <f t="shared" si="383"/>
        <v>0</v>
      </c>
      <c r="AJ264" s="194">
        <f t="shared" si="384"/>
        <v>0</v>
      </c>
      <c r="AK264" s="195">
        <f t="shared" si="385"/>
        <v>3.3525000000000005</v>
      </c>
      <c r="AL264" s="196">
        <f t="shared" si="386"/>
        <v>0</v>
      </c>
      <c r="AM264" s="52">
        <f t="shared" si="387"/>
        <v>0</v>
      </c>
      <c r="AN264" s="52">
        <f t="shared" si="388"/>
        <v>0</v>
      </c>
      <c r="AO264" s="52">
        <f t="shared" si="389"/>
        <v>3.6</v>
      </c>
      <c r="AP264" s="52">
        <f t="shared" si="390"/>
        <v>0</v>
      </c>
    </row>
    <row r="265" spans="1:42" ht="20.100000000000001" customHeight="1" x14ac:dyDescent="0.25">
      <c r="A265" s="129"/>
      <c r="B265" s="182" t="s">
        <v>87</v>
      </c>
      <c r="C265" s="183"/>
      <c r="E265" s="189" t="s">
        <v>323</v>
      </c>
      <c r="F265" s="14">
        <v>1</v>
      </c>
      <c r="G265" s="14">
        <v>3.6150000000000002</v>
      </c>
      <c r="H265" s="14">
        <v>0.2</v>
      </c>
      <c r="I265" s="14">
        <v>0.45</v>
      </c>
      <c r="J265" s="11">
        <f t="shared" si="374"/>
        <v>0.32535000000000003</v>
      </c>
      <c r="K265" s="11">
        <f t="shared" si="375"/>
        <v>0.72300000000000009</v>
      </c>
      <c r="L265" s="11">
        <f t="shared" si="376"/>
        <v>2.5406250000000004</v>
      </c>
      <c r="M265" s="190">
        <v>0.125</v>
      </c>
      <c r="N265" s="14">
        <f t="shared" si="391"/>
        <v>0.32500000000000001</v>
      </c>
      <c r="O265" s="14">
        <f t="shared" si="392"/>
        <v>1.1748750000000001</v>
      </c>
      <c r="P265" s="190">
        <v>0.15</v>
      </c>
      <c r="Q265" s="14">
        <f t="shared" si="377"/>
        <v>0.30000000000000004</v>
      </c>
      <c r="R265" s="14">
        <f t="shared" si="378"/>
        <v>1.0845000000000002</v>
      </c>
      <c r="S265" s="14">
        <v>0.45</v>
      </c>
      <c r="T265" s="14"/>
      <c r="U265" s="191">
        <f t="shared" si="379"/>
        <v>0.28125</v>
      </c>
      <c r="V265" s="14"/>
      <c r="W265" s="14"/>
      <c r="X265" s="14"/>
      <c r="Y265" s="14"/>
      <c r="Z265" s="14"/>
      <c r="AA265" s="14"/>
      <c r="AB265" s="14">
        <f t="shared" si="380"/>
        <v>0</v>
      </c>
      <c r="AC265" s="14"/>
      <c r="AE265" s="11"/>
      <c r="AG265" s="52">
        <f t="shared" si="381"/>
        <v>3.2636250000000002</v>
      </c>
      <c r="AH265" s="52">
        <f t="shared" si="382"/>
        <v>0</v>
      </c>
      <c r="AI265" s="193">
        <f t="shared" si="383"/>
        <v>0</v>
      </c>
      <c r="AJ265" s="194">
        <f t="shared" si="384"/>
        <v>0</v>
      </c>
      <c r="AK265" s="195">
        <f t="shared" si="385"/>
        <v>3.2636250000000002</v>
      </c>
      <c r="AL265" s="196">
        <f t="shared" si="386"/>
        <v>0</v>
      </c>
      <c r="AM265" s="52">
        <f t="shared" si="387"/>
        <v>0</v>
      </c>
      <c r="AN265" s="52">
        <f t="shared" si="388"/>
        <v>0</v>
      </c>
      <c r="AO265" s="52">
        <f t="shared" si="389"/>
        <v>3.6150000000000002</v>
      </c>
      <c r="AP265" s="52">
        <f t="shared" si="390"/>
        <v>0</v>
      </c>
    </row>
    <row r="266" spans="1:42" ht="20.100000000000001" customHeight="1" x14ac:dyDescent="0.25">
      <c r="A266" s="129"/>
      <c r="B266" s="182" t="s">
        <v>87</v>
      </c>
      <c r="C266" s="183"/>
      <c r="E266" s="189" t="s">
        <v>324</v>
      </c>
      <c r="F266" s="14">
        <v>1</v>
      </c>
      <c r="G266" s="14">
        <v>1.5</v>
      </c>
      <c r="H266" s="14">
        <v>0.2</v>
      </c>
      <c r="I266" s="14">
        <v>0.45</v>
      </c>
      <c r="J266" s="11">
        <f t="shared" si="374"/>
        <v>0.13500000000000004</v>
      </c>
      <c r="K266" s="11">
        <f t="shared" si="375"/>
        <v>0.30000000000000004</v>
      </c>
      <c r="L266" s="11">
        <f t="shared" si="376"/>
        <v>0.97500000000000009</v>
      </c>
      <c r="M266" s="190">
        <v>0.125</v>
      </c>
      <c r="N266" s="14">
        <f t="shared" si="391"/>
        <v>0.32500000000000001</v>
      </c>
      <c r="O266" s="14">
        <f t="shared" si="392"/>
        <v>0.48750000000000004</v>
      </c>
      <c r="P266" s="190">
        <v>0.125</v>
      </c>
      <c r="Q266" s="14">
        <f t="shared" si="377"/>
        <v>0.32500000000000001</v>
      </c>
      <c r="R266" s="14">
        <f t="shared" si="378"/>
        <v>0.48750000000000004</v>
      </c>
      <c r="S266" s="14"/>
      <c r="T266" s="14"/>
      <c r="U266" s="191">
        <f t="shared" si="379"/>
        <v>0</v>
      </c>
      <c r="V266" s="14"/>
      <c r="W266" s="14"/>
      <c r="X266" s="14"/>
      <c r="Y266" s="14"/>
      <c r="Z266" s="14"/>
      <c r="AA266" s="14"/>
      <c r="AB266" s="14">
        <f t="shared" si="380"/>
        <v>0</v>
      </c>
      <c r="AC266" s="14"/>
      <c r="AE266" s="11"/>
      <c r="AG266" s="52">
        <f t="shared" si="381"/>
        <v>1.2750000000000001</v>
      </c>
      <c r="AH266" s="52">
        <f t="shared" si="382"/>
        <v>0</v>
      </c>
      <c r="AI266" s="193">
        <f t="shared" si="383"/>
        <v>0</v>
      </c>
      <c r="AJ266" s="194">
        <f t="shared" si="384"/>
        <v>0</v>
      </c>
      <c r="AK266" s="195">
        <f t="shared" si="385"/>
        <v>1.2750000000000001</v>
      </c>
      <c r="AL266" s="196">
        <f t="shared" si="386"/>
        <v>0</v>
      </c>
      <c r="AM266" s="52">
        <f t="shared" si="387"/>
        <v>0</v>
      </c>
      <c r="AN266" s="52">
        <f t="shared" si="388"/>
        <v>0</v>
      </c>
      <c r="AO266" s="52">
        <f t="shared" si="389"/>
        <v>1.5</v>
      </c>
      <c r="AP266" s="52">
        <f t="shared" si="390"/>
        <v>0</v>
      </c>
    </row>
    <row r="267" spans="1:42" ht="20.100000000000001" customHeight="1" x14ac:dyDescent="0.25">
      <c r="A267" s="129"/>
      <c r="B267" s="182" t="s">
        <v>87</v>
      </c>
      <c r="C267" s="183"/>
      <c r="E267" s="189" t="s">
        <v>325</v>
      </c>
      <c r="F267" s="14">
        <v>1</v>
      </c>
      <c r="G267" s="14">
        <v>14.7</v>
      </c>
      <c r="H267" s="14">
        <v>0.2</v>
      </c>
      <c r="I267" s="14">
        <v>0.7</v>
      </c>
      <c r="J267" s="11">
        <f t="shared" si="374"/>
        <v>2.0579999999999998</v>
      </c>
      <c r="K267" s="11">
        <f t="shared" si="375"/>
        <v>2.94</v>
      </c>
      <c r="L267" s="11">
        <f t="shared" si="376"/>
        <v>19.53</v>
      </c>
      <c r="M267" s="190">
        <v>0.125</v>
      </c>
      <c r="N267" s="14">
        <f t="shared" si="391"/>
        <v>0.57499999999999996</v>
      </c>
      <c r="O267" s="14">
        <f t="shared" si="392"/>
        <v>8.4524999999999988</v>
      </c>
      <c r="P267" s="190"/>
      <c r="Q267" s="14">
        <f t="shared" si="377"/>
        <v>0.7</v>
      </c>
      <c r="R267" s="14">
        <f t="shared" si="378"/>
        <v>10.29</v>
      </c>
      <c r="S267" s="14">
        <v>0.45</v>
      </c>
      <c r="T267" s="14">
        <v>0.45</v>
      </c>
      <c r="U267" s="191">
        <f t="shared" si="379"/>
        <v>1.1475</v>
      </c>
      <c r="V267" s="14" t="s">
        <v>332</v>
      </c>
      <c r="W267" s="14" t="s">
        <v>340</v>
      </c>
      <c r="X267" s="14" t="s">
        <v>350</v>
      </c>
      <c r="Y267" s="14" t="s">
        <v>354</v>
      </c>
      <c r="Z267" s="14"/>
      <c r="AA267" s="14"/>
      <c r="AB267" s="14">
        <f t="shared" si="380"/>
        <v>0.36000000000000004</v>
      </c>
      <c r="AC267" s="14"/>
      <c r="AE267" s="11"/>
      <c r="AG267" s="52">
        <f t="shared" si="381"/>
        <v>22.470000000000002</v>
      </c>
      <c r="AH267" s="52">
        <f t="shared" si="382"/>
        <v>0</v>
      </c>
      <c r="AI267" s="193">
        <f t="shared" si="383"/>
        <v>22.470000000000002</v>
      </c>
      <c r="AJ267" s="194">
        <f t="shared" si="384"/>
        <v>0</v>
      </c>
      <c r="AK267" s="195">
        <f t="shared" si="385"/>
        <v>0</v>
      </c>
      <c r="AL267" s="196">
        <f t="shared" si="386"/>
        <v>0</v>
      </c>
      <c r="AM267" s="52">
        <f t="shared" si="387"/>
        <v>14.7</v>
      </c>
      <c r="AN267" s="52">
        <f t="shared" si="388"/>
        <v>0</v>
      </c>
      <c r="AO267" s="52">
        <f t="shared" si="389"/>
        <v>0</v>
      </c>
      <c r="AP267" s="52">
        <f t="shared" si="390"/>
        <v>0</v>
      </c>
    </row>
    <row r="268" spans="1:42" ht="20.100000000000001" customHeight="1" x14ac:dyDescent="0.25">
      <c r="A268" s="129"/>
      <c r="B268" s="182" t="s">
        <v>87</v>
      </c>
      <c r="C268" s="183"/>
      <c r="E268" s="189" t="s">
        <v>326</v>
      </c>
      <c r="F268" s="14">
        <v>0</v>
      </c>
      <c r="G268" s="14"/>
      <c r="H268" s="14"/>
      <c r="I268" s="14"/>
      <c r="J268" s="11">
        <f t="shared" si="374"/>
        <v>0</v>
      </c>
      <c r="K268" s="11">
        <f t="shared" si="375"/>
        <v>0</v>
      </c>
      <c r="L268" s="11">
        <f t="shared" si="376"/>
        <v>0</v>
      </c>
      <c r="M268" s="190"/>
      <c r="N268" s="14">
        <f t="shared" si="391"/>
        <v>0</v>
      </c>
      <c r="O268" s="14">
        <f t="shared" si="392"/>
        <v>0</v>
      </c>
      <c r="P268" s="190"/>
      <c r="Q268" s="14">
        <f t="shared" si="377"/>
        <v>0</v>
      </c>
      <c r="R268" s="14">
        <f t="shared" si="378"/>
        <v>0</v>
      </c>
      <c r="S268" s="14"/>
      <c r="T268" s="14"/>
      <c r="U268" s="191">
        <f t="shared" si="379"/>
        <v>0</v>
      </c>
      <c r="V268" s="14"/>
      <c r="W268" s="14"/>
      <c r="X268" s="14"/>
      <c r="Y268" s="14"/>
      <c r="Z268" s="14"/>
      <c r="AA268" s="14"/>
      <c r="AB268" s="14">
        <f t="shared" si="380"/>
        <v>0</v>
      </c>
      <c r="AC268" s="14"/>
      <c r="AE268" s="11"/>
      <c r="AG268" s="52">
        <f t="shared" si="381"/>
        <v>0</v>
      </c>
      <c r="AH268" s="52">
        <f t="shared" si="382"/>
        <v>0</v>
      </c>
      <c r="AI268" s="193">
        <f t="shared" si="383"/>
        <v>0</v>
      </c>
      <c r="AJ268" s="194">
        <f t="shared" si="384"/>
        <v>0</v>
      </c>
      <c r="AK268" s="195">
        <f t="shared" si="385"/>
        <v>0</v>
      </c>
      <c r="AL268" s="196">
        <f t="shared" si="386"/>
        <v>0</v>
      </c>
      <c r="AM268" s="52">
        <f t="shared" si="387"/>
        <v>0</v>
      </c>
      <c r="AN268" s="52">
        <f t="shared" si="388"/>
        <v>0</v>
      </c>
      <c r="AO268" s="52">
        <f t="shared" si="389"/>
        <v>0</v>
      </c>
      <c r="AP268" s="52">
        <f t="shared" si="390"/>
        <v>0</v>
      </c>
    </row>
    <row r="269" spans="1:42" ht="20.100000000000001" customHeight="1" x14ac:dyDescent="0.25">
      <c r="A269" s="129"/>
      <c r="B269" s="182" t="s">
        <v>87</v>
      </c>
      <c r="C269" s="183"/>
      <c r="E269" s="189" t="s">
        <v>327</v>
      </c>
      <c r="F269" s="14">
        <v>0</v>
      </c>
      <c r="G269" s="14"/>
      <c r="H269" s="14"/>
      <c r="I269" s="14"/>
      <c r="J269" s="11">
        <f t="shared" si="374"/>
        <v>0</v>
      </c>
      <c r="K269" s="11">
        <f t="shared" si="375"/>
        <v>0</v>
      </c>
      <c r="L269" s="11">
        <f t="shared" si="376"/>
        <v>0</v>
      </c>
      <c r="M269" s="190"/>
      <c r="N269" s="14">
        <f t="shared" si="391"/>
        <v>0</v>
      </c>
      <c r="O269" s="14">
        <f t="shared" si="392"/>
        <v>0</v>
      </c>
      <c r="P269" s="190"/>
      <c r="Q269" s="14">
        <f t="shared" si="377"/>
        <v>0</v>
      </c>
      <c r="R269" s="14">
        <f t="shared" si="378"/>
        <v>0</v>
      </c>
      <c r="S269" s="14"/>
      <c r="T269" s="14"/>
      <c r="U269" s="191">
        <f t="shared" si="379"/>
        <v>0</v>
      </c>
      <c r="V269" s="14"/>
      <c r="W269" s="14"/>
      <c r="X269" s="14"/>
      <c r="Y269" s="14"/>
      <c r="Z269" s="14"/>
      <c r="AA269" s="14"/>
      <c r="AB269" s="14">
        <f t="shared" si="380"/>
        <v>0</v>
      </c>
      <c r="AC269" s="14"/>
      <c r="AE269" s="11"/>
      <c r="AG269" s="52">
        <f t="shared" si="381"/>
        <v>0</v>
      </c>
      <c r="AH269" s="52">
        <f t="shared" si="382"/>
        <v>0</v>
      </c>
      <c r="AI269" s="193">
        <f t="shared" si="383"/>
        <v>0</v>
      </c>
      <c r="AJ269" s="194">
        <f t="shared" si="384"/>
        <v>0</v>
      </c>
      <c r="AK269" s="195">
        <f t="shared" si="385"/>
        <v>0</v>
      </c>
      <c r="AL269" s="196">
        <f t="shared" si="386"/>
        <v>0</v>
      </c>
      <c r="AM269" s="52">
        <f t="shared" si="387"/>
        <v>0</v>
      </c>
      <c r="AN269" s="52">
        <f t="shared" si="388"/>
        <v>0</v>
      </c>
      <c r="AO269" s="52">
        <f t="shared" si="389"/>
        <v>0</v>
      </c>
      <c r="AP269" s="52">
        <f t="shared" si="390"/>
        <v>0</v>
      </c>
    </row>
    <row r="270" spans="1:42" ht="20.100000000000001" customHeight="1" x14ac:dyDescent="0.25">
      <c r="A270" s="129"/>
      <c r="B270" s="182" t="s">
        <v>87</v>
      </c>
      <c r="C270" s="183"/>
      <c r="E270" s="189" t="s">
        <v>328</v>
      </c>
      <c r="F270" s="14">
        <v>1</v>
      </c>
      <c r="G270" s="14">
        <v>9.9</v>
      </c>
      <c r="H270" s="14">
        <v>0.2</v>
      </c>
      <c r="I270" s="14">
        <v>0.7</v>
      </c>
      <c r="J270" s="11">
        <f t="shared" si="374"/>
        <v>1.3860000000000001</v>
      </c>
      <c r="K270" s="11">
        <f t="shared" si="375"/>
        <v>1.9800000000000002</v>
      </c>
      <c r="L270" s="11">
        <f t="shared" si="376"/>
        <v>12.302499999999998</v>
      </c>
      <c r="M270" s="190">
        <v>0.125</v>
      </c>
      <c r="N270" s="14">
        <f t="shared" si="391"/>
        <v>0.57499999999999996</v>
      </c>
      <c r="O270" s="14">
        <f t="shared" si="392"/>
        <v>5.6924999999999999</v>
      </c>
      <c r="P270" s="190"/>
      <c r="Q270" s="14">
        <f t="shared" si="377"/>
        <v>0.7</v>
      </c>
      <c r="R270" s="14">
        <f t="shared" si="378"/>
        <v>6.93</v>
      </c>
      <c r="S270" s="14"/>
      <c r="T270" s="14"/>
      <c r="U270" s="191">
        <f t="shared" si="379"/>
        <v>0</v>
      </c>
      <c r="V270" s="14" t="s">
        <v>320</v>
      </c>
      <c r="W270" s="14" t="s">
        <v>298</v>
      </c>
      <c r="X270" s="14" t="s">
        <v>308</v>
      </c>
      <c r="Y270" s="14"/>
      <c r="Z270" s="14"/>
      <c r="AA270" s="14"/>
      <c r="AB270" s="14">
        <f t="shared" si="380"/>
        <v>0.32</v>
      </c>
      <c r="AC270" s="14"/>
      <c r="AE270" s="11"/>
      <c r="AG270" s="52">
        <f t="shared" si="381"/>
        <v>14.282499999999999</v>
      </c>
      <c r="AH270" s="52">
        <f t="shared" si="382"/>
        <v>0</v>
      </c>
      <c r="AI270" s="193">
        <f t="shared" si="383"/>
        <v>14.282499999999999</v>
      </c>
      <c r="AJ270" s="194">
        <f t="shared" si="384"/>
        <v>0</v>
      </c>
      <c r="AK270" s="195">
        <f t="shared" si="385"/>
        <v>0</v>
      </c>
      <c r="AL270" s="196">
        <f t="shared" si="386"/>
        <v>0</v>
      </c>
      <c r="AM270" s="52">
        <f t="shared" si="387"/>
        <v>9.9</v>
      </c>
      <c r="AN270" s="52">
        <f t="shared" si="388"/>
        <v>0</v>
      </c>
      <c r="AO270" s="52">
        <f t="shared" si="389"/>
        <v>0</v>
      </c>
      <c r="AP270" s="52">
        <f t="shared" si="390"/>
        <v>0</v>
      </c>
    </row>
    <row r="271" spans="1:42" ht="20.100000000000001" customHeight="1" x14ac:dyDescent="0.25">
      <c r="A271" s="129"/>
      <c r="B271" s="182" t="s">
        <v>87</v>
      </c>
      <c r="C271" s="183"/>
      <c r="E271" s="189" t="s">
        <v>329</v>
      </c>
      <c r="F271" s="14">
        <v>0</v>
      </c>
      <c r="G271" s="14"/>
      <c r="H271" s="14"/>
      <c r="I271" s="14"/>
      <c r="J271" s="11">
        <f t="shared" si="374"/>
        <v>0</v>
      </c>
      <c r="K271" s="11">
        <f t="shared" si="375"/>
        <v>0</v>
      </c>
      <c r="L271" s="11">
        <f t="shared" si="376"/>
        <v>0</v>
      </c>
      <c r="M271" s="190"/>
      <c r="N271" s="14">
        <f t="shared" si="391"/>
        <v>0</v>
      </c>
      <c r="O271" s="14">
        <f t="shared" si="392"/>
        <v>0</v>
      </c>
      <c r="P271" s="190"/>
      <c r="Q271" s="14">
        <f t="shared" si="377"/>
        <v>0</v>
      </c>
      <c r="R271" s="14">
        <f t="shared" si="378"/>
        <v>0</v>
      </c>
      <c r="S271" s="14"/>
      <c r="T271" s="14"/>
      <c r="U271" s="191">
        <f t="shared" si="379"/>
        <v>0</v>
      </c>
      <c r="V271" s="14"/>
      <c r="W271" s="14"/>
      <c r="X271" s="14"/>
      <c r="Y271" s="14"/>
      <c r="Z271" s="14"/>
      <c r="AA271" s="14"/>
      <c r="AB271" s="14">
        <f t="shared" si="380"/>
        <v>0</v>
      </c>
      <c r="AC271" s="14"/>
      <c r="AE271" s="11"/>
      <c r="AG271" s="52">
        <f t="shared" si="381"/>
        <v>0</v>
      </c>
      <c r="AH271" s="52">
        <f t="shared" si="382"/>
        <v>0</v>
      </c>
      <c r="AI271" s="193">
        <f t="shared" si="383"/>
        <v>0</v>
      </c>
      <c r="AJ271" s="194">
        <f t="shared" si="384"/>
        <v>0</v>
      </c>
      <c r="AK271" s="195">
        <f t="shared" si="385"/>
        <v>0</v>
      </c>
      <c r="AL271" s="196">
        <f t="shared" si="386"/>
        <v>0</v>
      </c>
      <c r="AM271" s="52">
        <f t="shared" si="387"/>
        <v>0</v>
      </c>
      <c r="AN271" s="52">
        <f t="shared" si="388"/>
        <v>0</v>
      </c>
      <c r="AO271" s="52">
        <f t="shared" si="389"/>
        <v>0</v>
      </c>
      <c r="AP271" s="52">
        <f t="shared" si="390"/>
        <v>0</v>
      </c>
    </row>
    <row r="272" spans="1:42" ht="20.100000000000001" customHeight="1" x14ac:dyDescent="0.25">
      <c r="A272" s="129"/>
      <c r="B272" s="182" t="s">
        <v>87</v>
      </c>
      <c r="C272" s="183"/>
      <c r="E272" s="189" t="s">
        <v>330</v>
      </c>
      <c r="F272" s="14">
        <v>1</v>
      </c>
      <c r="G272" s="14">
        <v>5.25</v>
      </c>
      <c r="H272" s="14">
        <v>0.2</v>
      </c>
      <c r="I272" s="14">
        <v>0.7</v>
      </c>
      <c r="J272" s="11">
        <f t="shared" si="374"/>
        <v>0.73499999999999999</v>
      </c>
      <c r="K272" s="11">
        <f t="shared" si="375"/>
        <v>1.05</v>
      </c>
      <c r="L272" s="11">
        <f t="shared" si="376"/>
        <v>6.6037499999999998</v>
      </c>
      <c r="M272" s="190">
        <v>0.125</v>
      </c>
      <c r="N272" s="14">
        <f t="shared" si="391"/>
        <v>0.57499999999999996</v>
      </c>
      <c r="O272" s="14">
        <f t="shared" si="392"/>
        <v>3.0187499999999998</v>
      </c>
      <c r="P272" s="190"/>
      <c r="Q272" s="14">
        <f t="shared" si="377"/>
        <v>0.7</v>
      </c>
      <c r="R272" s="14">
        <f t="shared" si="378"/>
        <v>3.6749999999999998</v>
      </c>
      <c r="S272" s="14"/>
      <c r="T272" s="14"/>
      <c r="U272" s="191">
        <f t="shared" si="379"/>
        <v>0</v>
      </c>
      <c r="V272" s="14" t="s">
        <v>276</v>
      </c>
      <c r="W272" s="14"/>
      <c r="X272" s="14"/>
      <c r="Y272" s="14"/>
      <c r="Z272" s="14"/>
      <c r="AA272" s="14"/>
      <c r="AB272" s="14">
        <f t="shared" si="380"/>
        <v>9.0000000000000011E-2</v>
      </c>
      <c r="AC272" s="14"/>
      <c r="AE272" s="11"/>
      <c r="AG272" s="52">
        <f t="shared" si="381"/>
        <v>7.6537499999999996</v>
      </c>
      <c r="AH272" s="52">
        <f t="shared" si="382"/>
        <v>0</v>
      </c>
      <c r="AI272" s="193">
        <f t="shared" si="383"/>
        <v>7.6537499999999996</v>
      </c>
      <c r="AJ272" s="194">
        <f t="shared" si="384"/>
        <v>0</v>
      </c>
      <c r="AK272" s="195">
        <f t="shared" si="385"/>
        <v>0</v>
      </c>
      <c r="AL272" s="196">
        <f t="shared" si="386"/>
        <v>0</v>
      </c>
      <c r="AM272" s="52">
        <f t="shared" si="387"/>
        <v>5.25</v>
      </c>
      <c r="AN272" s="52">
        <f t="shared" si="388"/>
        <v>0</v>
      </c>
      <c r="AO272" s="52">
        <f t="shared" si="389"/>
        <v>0</v>
      </c>
      <c r="AP272" s="52">
        <f t="shared" si="390"/>
        <v>0</v>
      </c>
    </row>
    <row r="273" spans="1:42" ht="20.100000000000001" customHeight="1" x14ac:dyDescent="0.25">
      <c r="A273" s="129"/>
      <c r="B273" s="182" t="s">
        <v>87</v>
      </c>
      <c r="C273" s="183"/>
      <c r="E273" s="189" t="s">
        <v>331</v>
      </c>
      <c r="F273" s="14">
        <v>1</v>
      </c>
      <c r="G273" s="14">
        <v>4</v>
      </c>
      <c r="H273" s="14">
        <v>0.2</v>
      </c>
      <c r="I273" s="14">
        <v>0.6</v>
      </c>
      <c r="J273" s="11">
        <f t="shared" si="374"/>
        <v>0.48</v>
      </c>
      <c r="K273" s="11">
        <f t="shared" si="375"/>
        <v>0.8</v>
      </c>
      <c r="L273" s="11">
        <f t="shared" si="376"/>
        <v>3.8</v>
      </c>
      <c r="M273" s="190">
        <v>0.125</v>
      </c>
      <c r="N273" s="14">
        <f t="shared" si="391"/>
        <v>0.47499999999999998</v>
      </c>
      <c r="O273" s="14">
        <f t="shared" si="392"/>
        <v>1.9</v>
      </c>
      <c r="P273" s="190">
        <v>0.125</v>
      </c>
      <c r="Q273" s="14">
        <f t="shared" si="377"/>
        <v>0.47499999999999998</v>
      </c>
      <c r="R273" s="14">
        <f t="shared" si="378"/>
        <v>1.9</v>
      </c>
      <c r="S273" s="14"/>
      <c r="T273" s="14"/>
      <c r="U273" s="191">
        <f t="shared" si="379"/>
        <v>0</v>
      </c>
      <c r="V273" s="14" t="s">
        <v>314</v>
      </c>
      <c r="W273" s="14" t="s">
        <v>313</v>
      </c>
      <c r="X273" s="14"/>
      <c r="Y273" s="14"/>
      <c r="Z273" s="14"/>
      <c r="AA273" s="14"/>
      <c r="AB273" s="14">
        <f t="shared" si="380"/>
        <v>0</v>
      </c>
      <c r="AC273" s="14"/>
      <c r="AE273" s="11"/>
      <c r="AG273" s="52">
        <f t="shared" si="381"/>
        <v>4.5999999999999996</v>
      </c>
      <c r="AH273" s="52">
        <f t="shared" si="382"/>
        <v>0</v>
      </c>
      <c r="AI273" s="193">
        <f t="shared" si="383"/>
        <v>0</v>
      </c>
      <c r="AJ273" s="194">
        <f t="shared" si="384"/>
        <v>0</v>
      </c>
      <c r="AK273" s="195">
        <f t="shared" si="385"/>
        <v>4.5999999999999996</v>
      </c>
      <c r="AL273" s="196">
        <f t="shared" si="386"/>
        <v>0</v>
      </c>
      <c r="AM273" s="52">
        <f t="shared" si="387"/>
        <v>0</v>
      </c>
      <c r="AN273" s="52">
        <f t="shared" si="388"/>
        <v>0</v>
      </c>
      <c r="AO273" s="52">
        <f t="shared" si="389"/>
        <v>4</v>
      </c>
      <c r="AP273" s="52">
        <f t="shared" si="390"/>
        <v>0</v>
      </c>
    </row>
    <row r="274" spans="1:42" ht="20.100000000000001" customHeight="1" x14ac:dyDescent="0.25">
      <c r="A274" s="129"/>
      <c r="B274" s="182" t="s">
        <v>87</v>
      </c>
      <c r="C274" s="183"/>
      <c r="E274" s="189" t="s">
        <v>332</v>
      </c>
      <c r="F274" s="14">
        <v>1</v>
      </c>
      <c r="G274" s="14">
        <v>1.5</v>
      </c>
      <c r="H274" s="14">
        <v>0.2</v>
      </c>
      <c r="I274" s="14">
        <v>0.45</v>
      </c>
      <c r="J274" s="11">
        <f t="shared" si="374"/>
        <v>0.13500000000000004</v>
      </c>
      <c r="K274" s="11">
        <f t="shared" si="375"/>
        <v>0.30000000000000004</v>
      </c>
      <c r="L274" s="11">
        <f t="shared" si="376"/>
        <v>0.97500000000000009</v>
      </c>
      <c r="M274" s="190">
        <v>0.125</v>
      </c>
      <c r="N274" s="14">
        <f t="shared" si="391"/>
        <v>0.32500000000000001</v>
      </c>
      <c r="O274" s="14">
        <f t="shared" si="392"/>
        <v>0.48750000000000004</v>
      </c>
      <c r="P274" s="190">
        <v>0.125</v>
      </c>
      <c r="Q274" s="14">
        <f t="shared" si="377"/>
        <v>0.32500000000000001</v>
      </c>
      <c r="R274" s="14">
        <f t="shared" si="378"/>
        <v>0.48750000000000004</v>
      </c>
      <c r="S274" s="14"/>
      <c r="T274" s="14"/>
      <c r="U274" s="191">
        <f t="shared" si="379"/>
        <v>0</v>
      </c>
      <c r="V274" s="14"/>
      <c r="W274" s="14"/>
      <c r="X274" s="14"/>
      <c r="Y274" s="14"/>
      <c r="Z274" s="14"/>
      <c r="AA274" s="14"/>
      <c r="AB274" s="14">
        <f t="shared" si="380"/>
        <v>0</v>
      </c>
      <c r="AC274" s="14"/>
      <c r="AE274" s="11"/>
      <c r="AG274" s="52">
        <f t="shared" si="381"/>
        <v>1.2750000000000001</v>
      </c>
      <c r="AH274" s="52">
        <f t="shared" si="382"/>
        <v>0</v>
      </c>
      <c r="AI274" s="193">
        <f t="shared" si="383"/>
        <v>0</v>
      </c>
      <c r="AJ274" s="194">
        <f t="shared" si="384"/>
        <v>0</v>
      </c>
      <c r="AK274" s="195">
        <f t="shared" si="385"/>
        <v>1.2750000000000001</v>
      </c>
      <c r="AL274" s="196">
        <f t="shared" si="386"/>
        <v>0</v>
      </c>
      <c r="AM274" s="52">
        <f t="shared" si="387"/>
        <v>0</v>
      </c>
      <c r="AN274" s="52">
        <f t="shared" si="388"/>
        <v>0</v>
      </c>
      <c r="AO274" s="52">
        <f t="shared" si="389"/>
        <v>1.5</v>
      </c>
      <c r="AP274" s="52">
        <f t="shared" si="390"/>
        <v>0</v>
      </c>
    </row>
    <row r="275" spans="1:42" ht="20.100000000000001" customHeight="1" x14ac:dyDescent="0.25">
      <c r="A275" s="129"/>
      <c r="B275" s="182" t="s">
        <v>87</v>
      </c>
      <c r="C275" s="183"/>
      <c r="E275" s="189" t="s">
        <v>333</v>
      </c>
      <c r="F275" s="14">
        <v>1</v>
      </c>
      <c r="G275" s="14">
        <v>3.75</v>
      </c>
      <c r="H275" s="14">
        <v>0.2</v>
      </c>
      <c r="I275" s="14">
        <v>0.6</v>
      </c>
      <c r="J275" s="11">
        <f t="shared" si="374"/>
        <v>0.44999999999999996</v>
      </c>
      <c r="K275" s="11">
        <f t="shared" si="375"/>
        <v>0.75</v>
      </c>
      <c r="L275" s="11">
        <f t="shared" si="376"/>
        <v>3.8849999999999998</v>
      </c>
      <c r="M275" s="190">
        <v>0.15</v>
      </c>
      <c r="N275" s="14">
        <f t="shared" si="391"/>
        <v>0.44999999999999996</v>
      </c>
      <c r="O275" s="14">
        <f t="shared" si="392"/>
        <v>1.6874999999999998</v>
      </c>
      <c r="P275" s="190">
        <v>0.125</v>
      </c>
      <c r="Q275" s="14">
        <f t="shared" si="377"/>
        <v>0.47499999999999998</v>
      </c>
      <c r="R275" s="14">
        <f t="shared" si="378"/>
        <v>1.78125</v>
      </c>
      <c r="S275" s="14">
        <v>0.45</v>
      </c>
      <c r="T275" s="14"/>
      <c r="U275" s="191">
        <f t="shared" si="379"/>
        <v>0.41624999999999995</v>
      </c>
      <c r="V275" s="14"/>
      <c r="W275" s="14"/>
      <c r="X275" s="14"/>
      <c r="Y275" s="14"/>
      <c r="Z275" s="14"/>
      <c r="AA275" s="14"/>
      <c r="AB275" s="14">
        <f t="shared" si="380"/>
        <v>0</v>
      </c>
      <c r="AC275" s="14"/>
      <c r="AE275" s="11"/>
      <c r="AG275" s="52">
        <f t="shared" si="381"/>
        <v>4.6349999999999998</v>
      </c>
      <c r="AH275" s="52">
        <f t="shared" si="382"/>
        <v>0</v>
      </c>
      <c r="AI275" s="193">
        <f t="shared" si="383"/>
        <v>0</v>
      </c>
      <c r="AJ275" s="194">
        <f t="shared" si="384"/>
        <v>0</v>
      </c>
      <c r="AK275" s="195">
        <f t="shared" si="385"/>
        <v>4.6349999999999998</v>
      </c>
      <c r="AL275" s="196">
        <f t="shared" si="386"/>
        <v>0</v>
      </c>
      <c r="AM275" s="52">
        <f t="shared" si="387"/>
        <v>0</v>
      </c>
      <c r="AN275" s="52">
        <f t="shared" si="388"/>
        <v>0</v>
      </c>
      <c r="AO275" s="52">
        <f t="shared" si="389"/>
        <v>3.75</v>
      </c>
      <c r="AP275" s="52">
        <f t="shared" si="390"/>
        <v>0</v>
      </c>
    </row>
    <row r="276" spans="1:42" ht="20.100000000000001" customHeight="1" x14ac:dyDescent="0.25">
      <c r="A276" s="129"/>
      <c r="B276" s="182" t="s">
        <v>87</v>
      </c>
      <c r="C276" s="183"/>
      <c r="E276" s="189" t="s">
        <v>334</v>
      </c>
      <c r="F276" s="14">
        <v>0</v>
      </c>
      <c r="G276" s="14"/>
      <c r="H276" s="14"/>
      <c r="I276" s="14"/>
      <c r="J276" s="11">
        <f t="shared" si="374"/>
        <v>0</v>
      </c>
      <c r="K276" s="11">
        <f t="shared" si="375"/>
        <v>0</v>
      </c>
      <c r="L276" s="11">
        <f t="shared" si="376"/>
        <v>0</v>
      </c>
      <c r="M276" s="190"/>
      <c r="N276" s="14">
        <f t="shared" si="391"/>
        <v>0</v>
      </c>
      <c r="O276" s="14">
        <f t="shared" si="392"/>
        <v>0</v>
      </c>
      <c r="P276" s="190"/>
      <c r="Q276" s="14">
        <f t="shared" si="377"/>
        <v>0</v>
      </c>
      <c r="R276" s="14">
        <f t="shared" si="378"/>
        <v>0</v>
      </c>
      <c r="S276" s="14"/>
      <c r="T276" s="14"/>
      <c r="U276" s="191">
        <f t="shared" si="379"/>
        <v>0</v>
      </c>
      <c r="V276" s="14"/>
      <c r="W276" s="14"/>
      <c r="X276" s="14"/>
      <c r="Y276" s="14"/>
      <c r="Z276" s="14"/>
      <c r="AA276" s="14"/>
      <c r="AB276" s="14">
        <f t="shared" si="380"/>
        <v>0</v>
      </c>
      <c r="AC276" s="14"/>
      <c r="AE276" s="11"/>
      <c r="AG276" s="52">
        <f t="shared" si="381"/>
        <v>0</v>
      </c>
      <c r="AH276" s="52">
        <f t="shared" si="382"/>
        <v>0</v>
      </c>
      <c r="AI276" s="193">
        <f t="shared" si="383"/>
        <v>0</v>
      </c>
      <c r="AJ276" s="194">
        <f t="shared" si="384"/>
        <v>0</v>
      </c>
      <c r="AK276" s="195">
        <f t="shared" si="385"/>
        <v>0</v>
      </c>
      <c r="AL276" s="196">
        <f t="shared" si="386"/>
        <v>0</v>
      </c>
      <c r="AM276" s="52">
        <f t="shared" si="387"/>
        <v>0</v>
      </c>
      <c r="AN276" s="52">
        <f t="shared" si="388"/>
        <v>0</v>
      </c>
      <c r="AO276" s="52">
        <f t="shared" si="389"/>
        <v>0</v>
      </c>
      <c r="AP276" s="52">
        <f t="shared" si="390"/>
        <v>0</v>
      </c>
    </row>
    <row r="277" spans="1:42" ht="20.100000000000001" customHeight="1" x14ac:dyDescent="0.25">
      <c r="A277" s="129"/>
      <c r="B277" s="182" t="s">
        <v>87</v>
      </c>
      <c r="C277" s="183"/>
      <c r="E277" s="189" t="s">
        <v>335</v>
      </c>
      <c r="F277" s="14">
        <v>1</v>
      </c>
      <c r="G277" s="14">
        <v>3.55</v>
      </c>
      <c r="H277" s="14">
        <v>0.2</v>
      </c>
      <c r="I277" s="14">
        <v>0.6</v>
      </c>
      <c r="J277" s="11">
        <f t="shared" si="374"/>
        <v>0.42599999999999999</v>
      </c>
      <c r="K277" s="11">
        <f t="shared" si="375"/>
        <v>0.71</v>
      </c>
      <c r="L277" s="11">
        <f t="shared" si="376"/>
        <v>3.6999999999999993</v>
      </c>
      <c r="M277" s="190">
        <v>0.15</v>
      </c>
      <c r="N277" s="14">
        <f t="shared" si="391"/>
        <v>0.44999999999999996</v>
      </c>
      <c r="O277" s="14">
        <f t="shared" si="392"/>
        <v>1.5974999999999997</v>
      </c>
      <c r="P277" s="190">
        <v>0.125</v>
      </c>
      <c r="Q277" s="14">
        <f t="shared" si="377"/>
        <v>0.47499999999999998</v>
      </c>
      <c r="R277" s="14">
        <f t="shared" si="378"/>
        <v>1.6862499999999998</v>
      </c>
      <c r="S277" s="14">
        <v>0.45</v>
      </c>
      <c r="T277" s="14"/>
      <c r="U277" s="191">
        <f t="shared" si="379"/>
        <v>0.41624999999999995</v>
      </c>
      <c r="V277" s="14"/>
      <c r="W277" s="14"/>
      <c r="X277" s="14"/>
      <c r="Y277" s="14"/>
      <c r="Z277" s="14"/>
      <c r="AA277" s="14"/>
      <c r="AB277" s="14">
        <f t="shared" si="380"/>
        <v>0</v>
      </c>
      <c r="AC277" s="14"/>
      <c r="AE277" s="11"/>
      <c r="AG277" s="52">
        <f t="shared" si="381"/>
        <v>4.4099999999999993</v>
      </c>
      <c r="AH277" s="52">
        <f t="shared" si="382"/>
        <v>0</v>
      </c>
      <c r="AI277" s="193">
        <f t="shared" si="383"/>
        <v>0</v>
      </c>
      <c r="AJ277" s="194">
        <f t="shared" si="384"/>
        <v>0</v>
      </c>
      <c r="AK277" s="195">
        <f t="shared" si="385"/>
        <v>4.4099999999999993</v>
      </c>
      <c r="AL277" s="196">
        <f t="shared" si="386"/>
        <v>0</v>
      </c>
      <c r="AM277" s="52">
        <f t="shared" si="387"/>
        <v>0</v>
      </c>
      <c r="AN277" s="52">
        <f t="shared" si="388"/>
        <v>0</v>
      </c>
      <c r="AO277" s="52">
        <f t="shared" si="389"/>
        <v>3.55</v>
      </c>
      <c r="AP277" s="52">
        <f t="shared" si="390"/>
        <v>0</v>
      </c>
    </row>
    <row r="278" spans="1:42" ht="20.100000000000001" customHeight="1" x14ac:dyDescent="0.25">
      <c r="A278" s="129"/>
      <c r="B278" s="182" t="s">
        <v>87</v>
      </c>
      <c r="C278" s="183"/>
      <c r="E278" s="189" t="s">
        <v>336</v>
      </c>
      <c r="F278" s="14">
        <v>1</v>
      </c>
      <c r="G278" s="14">
        <v>1.5</v>
      </c>
      <c r="H278" s="14">
        <v>0.2</v>
      </c>
      <c r="I278" s="14">
        <v>0.45</v>
      </c>
      <c r="J278" s="11">
        <f t="shared" si="374"/>
        <v>0.13500000000000004</v>
      </c>
      <c r="K278" s="11">
        <f t="shared" si="375"/>
        <v>0.30000000000000004</v>
      </c>
      <c r="L278" s="11">
        <f t="shared" si="376"/>
        <v>0.97500000000000009</v>
      </c>
      <c r="M278" s="190">
        <v>0.125</v>
      </c>
      <c r="N278" s="14">
        <f t="shared" si="391"/>
        <v>0.32500000000000001</v>
      </c>
      <c r="O278" s="14">
        <f t="shared" si="392"/>
        <v>0.48750000000000004</v>
      </c>
      <c r="P278" s="190">
        <v>0.125</v>
      </c>
      <c r="Q278" s="14">
        <f t="shared" si="377"/>
        <v>0.32500000000000001</v>
      </c>
      <c r="R278" s="14">
        <f t="shared" si="378"/>
        <v>0.48750000000000004</v>
      </c>
      <c r="S278" s="14"/>
      <c r="T278" s="14"/>
      <c r="U278" s="191">
        <f t="shared" si="379"/>
        <v>0</v>
      </c>
      <c r="V278" s="14"/>
      <c r="W278" s="14"/>
      <c r="X278" s="14"/>
      <c r="Y278" s="14"/>
      <c r="Z278" s="14"/>
      <c r="AA278" s="14"/>
      <c r="AB278" s="14">
        <f t="shared" si="380"/>
        <v>0</v>
      </c>
      <c r="AC278" s="14"/>
      <c r="AE278" s="11"/>
      <c r="AG278" s="52">
        <f t="shared" si="381"/>
        <v>1.2750000000000001</v>
      </c>
      <c r="AH278" s="52">
        <f t="shared" si="382"/>
        <v>0</v>
      </c>
      <c r="AI278" s="193">
        <f t="shared" si="383"/>
        <v>0</v>
      </c>
      <c r="AJ278" s="194">
        <f t="shared" si="384"/>
        <v>0</v>
      </c>
      <c r="AK278" s="195">
        <f t="shared" si="385"/>
        <v>1.2750000000000001</v>
      </c>
      <c r="AL278" s="196">
        <f t="shared" si="386"/>
        <v>0</v>
      </c>
      <c r="AM278" s="52">
        <f t="shared" si="387"/>
        <v>0</v>
      </c>
      <c r="AN278" s="52">
        <f t="shared" si="388"/>
        <v>0</v>
      </c>
      <c r="AO278" s="52">
        <f t="shared" si="389"/>
        <v>1.5</v>
      </c>
      <c r="AP278" s="52">
        <f t="shared" si="390"/>
        <v>0</v>
      </c>
    </row>
    <row r="279" spans="1:42" ht="20.100000000000001" customHeight="1" x14ac:dyDescent="0.25">
      <c r="A279" s="129"/>
      <c r="B279" s="182" t="s">
        <v>87</v>
      </c>
      <c r="C279" s="183"/>
      <c r="E279" s="189" t="s">
        <v>337</v>
      </c>
      <c r="F279" s="14">
        <v>1</v>
      </c>
      <c r="G279" s="14">
        <v>3.49</v>
      </c>
      <c r="H279" s="14">
        <v>0.2</v>
      </c>
      <c r="I279" s="14">
        <v>0.45</v>
      </c>
      <c r="J279" s="11">
        <f t="shared" si="374"/>
        <v>0.31410000000000005</v>
      </c>
      <c r="K279" s="11">
        <f t="shared" si="375"/>
        <v>0.69800000000000006</v>
      </c>
      <c r="L279" s="11">
        <f t="shared" si="376"/>
        <v>3.0535000000000005</v>
      </c>
      <c r="M279" s="190">
        <v>0.125</v>
      </c>
      <c r="N279" s="14">
        <f t="shared" si="391"/>
        <v>0.32500000000000001</v>
      </c>
      <c r="O279" s="14">
        <f t="shared" si="392"/>
        <v>1.1342500000000002</v>
      </c>
      <c r="P279" s="190"/>
      <c r="Q279" s="14">
        <f t="shared" si="377"/>
        <v>0.45</v>
      </c>
      <c r="R279" s="14">
        <f t="shared" si="378"/>
        <v>1.5705000000000002</v>
      </c>
      <c r="S279" s="14">
        <v>0.45</v>
      </c>
      <c r="T279" s="14"/>
      <c r="U279" s="191">
        <f t="shared" si="379"/>
        <v>0.34875</v>
      </c>
      <c r="V279" s="14"/>
      <c r="W279" s="14"/>
      <c r="X279" s="14"/>
      <c r="Y279" s="14"/>
      <c r="Z279" s="14"/>
      <c r="AA279" s="14"/>
      <c r="AB279" s="14">
        <f t="shared" ref="AB279:AB305" si="393">IFERROR(VLOOKUP(V279,$E$19:$I$625,4,FALSE)*VLOOKUP(V279,$E$19:$I$625,5,FALSE),)+IFERROR(VLOOKUP(W279,$E$19:$I$625,4,FALSE)*VLOOKUP(W279,$E$19:$I$625,5,FALSE),)+IFERROR(VLOOKUP(X279,$E$19:$I$625,4,FALSE)*VLOOKUP(X279,$E$19:$I$625,5,FALSE),)+IFERROR(VLOOKUP(Y279,$E$19:$I$625,4,FALSE)*VLOOKUP(Y279,$E$19:$I$625,5,FALSE),)+IFERROR(VLOOKUP(Z279,$E$19:$I$625,4,FALSE)*VLOOKUP(Z279,$E$19:$I$625,5,FALSE),)+IFERROR(VLOOKUP(AA279,$E$19:$I$625,4,FALSE)*VLOOKUP(AA279,$E$19:$I$625,5,FALSE),)</f>
        <v>0</v>
      </c>
      <c r="AC279" s="14"/>
      <c r="AE279" s="11"/>
      <c r="AG279" s="52">
        <f t="shared" si="381"/>
        <v>3.7515000000000005</v>
      </c>
      <c r="AH279" s="52">
        <f t="shared" si="382"/>
        <v>0</v>
      </c>
      <c r="AI279" s="193">
        <f t="shared" si="383"/>
        <v>3.7515000000000005</v>
      </c>
      <c r="AJ279" s="194">
        <f t="shared" si="384"/>
        <v>0</v>
      </c>
      <c r="AK279" s="195">
        <f t="shared" si="385"/>
        <v>0</v>
      </c>
      <c r="AL279" s="196">
        <f t="shared" si="386"/>
        <v>0</v>
      </c>
      <c r="AM279" s="52">
        <f t="shared" si="387"/>
        <v>3.49</v>
      </c>
      <c r="AN279" s="52">
        <f t="shared" si="388"/>
        <v>0</v>
      </c>
      <c r="AO279" s="52">
        <f t="shared" si="389"/>
        <v>0</v>
      </c>
      <c r="AP279" s="52">
        <f t="shared" si="390"/>
        <v>0</v>
      </c>
    </row>
    <row r="280" spans="1:42" ht="20.100000000000001" customHeight="1" x14ac:dyDescent="0.25">
      <c r="A280" s="129"/>
      <c r="B280" s="182" t="s">
        <v>87</v>
      </c>
      <c r="C280" s="183"/>
      <c r="E280" s="189" t="s">
        <v>338</v>
      </c>
      <c r="F280" s="14">
        <v>0</v>
      </c>
      <c r="G280" s="14"/>
      <c r="H280" s="14"/>
      <c r="I280" s="14"/>
      <c r="J280" s="11">
        <f t="shared" si="374"/>
        <v>0</v>
      </c>
      <c r="K280" s="11">
        <f t="shared" si="375"/>
        <v>0</v>
      </c>
      <c r="L280" s="11">
        <f t="shared" si="376"/>
        <v>0</v>
      </c>
      <c r="M280" s="190"/>
      <c r="N280" s="14">
        <f t="shared" si="391"/>
        <v>0</v>
      </c>
      <c r="O280" s="14">
        <f t="shared" si="392"/>
        <v>0</v>
      </c>
      <c r="P280" s="190"/>
      <c r="Q280" s="14">
        <f t="shared" si="377"/>
        <v>0</v>
      </c>
      <c r="R280" s="14">
        <f t="shared" si="378"/>
        <v>0</v>
      </c>
      <c r="S280" s="14"/>
      <c r="T280" s="14"/>
      <c r="U280" s="191">
        <f t="shared" si="379"/>
        <v>0</v>
      </c>
      <c r="V280" s="14"/>
      <c r="W280" s="14"/>
      <c r="X280" s="14"/>
      <c r="Y280" s="14"/>
      <c r="Z280" s="14"/>
      <c r="AA280" s="14"/>
      <c r="AB280" s="14">
        <f t="shared" si="393"/>
        <v>0</v>
      </c>
      <c r="AC280" s="14"/>
      <c r="AE280" s="11"/>
      <c r="AG280" s="52">
        <f t="shared" si="381"/>
        <v>0</v>
      </c>
      <c r="AH280" s="52">
        <f t="shared" si="382"/>
        <v>0</v>
      </c>
      <c r="AI280" s="193">
        <f t="shared" si="383"/>
        <v>0</v>
      </c>
      <c r="AJ280" s="194">
        <f t="shared" si="384"/>
        <v>0</v>
      </c>
      <c r="AK280" s="195">
        <f t="shared" si="385"/>
        <v>0</v>
      </c>
      <c r="AL280" s="196">
        <f t="shared" si="386"/>
        <v>0</v>
      </c>
      <c r="AM280" s="52">
        <f t="shared" si="387"/>
        <v>0</v>
      </c>
      <c r="AN280" s="52">
        <f t="shared" si="388"/>
        <v>0</v>
      </c>
      <c r="AO280" s="52">
        <f t="shared" si="389"/>
        <v>0</v>
      </c>
      <c r="AP280" s="52">
        <f t="shared" si="390"/>
        <v>0</v>
      </c>
    </row>
    <row r="281" spans="1:42" ht="20.100000000000001" customHeight="1" x14ac:dyDescent="0.25">
      <c r="A281" s="129"/>
      <c r="B281" s="182" t="s">
        <v>87</v>
      </c>
      <c r="C281" s="183"/>
      <c r="E281" s="189" t="s">
        <v>339</v>
      </c>
      <c r="F281" s="14">
        <v>1</v>
      </c>
      <c r="G281" s="14">
        <v>4</v>
      </c>
      <c r="H281" s="14">
        <v>0.2</v>
      </c>
      <c r="I281" s="14">
        <v>0.45</v>
      </c>
      <c r="J281" s="11">
        <f t="shared" si="374"/>
        <v>0.36000000000000004</v>
      </c>
      <c r="K281" s="11">
        <f t="shared" si="375"/>
        <v>0.8</v>
      </c>
      <c r="L281" s="11">
        <f t="shared" si="376"/>
        <v>2.6</v>
      </c>
      <c r="M281" s="190">
        <v>0.125</v>
      </c>
      <c r="N281" s="14">
        <f t="shared" si="391"/>
        <v>0.32500000000000001</v>
      </c>
      <c r="O281" s="14">
        <f t="shared" si="392"/>
        <v>1.3</v>
      </c>
      <c r="P281" s="190">
        <v>0.125</v>
      </c>
      <c r="Q281" s="14">
        <f t="shared" si="377"/>
        <v>0.32500000000000001</v>
      </c>
      <c r="R281" s="14">
        <f t="shared" si="378"/>
        <v>1.3</v>
      </c>
      <c r="S281" s="14"/>
      <c r="T281" s="14"/>
      <c r="U281" s="191">
        <f t="shared" si="379"/>
        <v>0</v>
      </c>
      <c r="V281" s="14" t="s">
        <v>315</v>
      </c>
      <c r="W281" s="14"/>
      <c r="X281" s="14"/>
      <c r="Y281" s="14"/>
      <c r="Z281" s="14"/>
      <c r="AA281" s="14"/>
      <c r="AB281" s="14">
        <f t="shared" si="393"/>
        <v>0</v>
      </c>
      <c r="AC281" s="14"/>
      <c r="AE281" s="11"/>
      <c r="AG281" s="52">
        <f t="shared" si="381"/>
        <v>3.4000000000000004</v>
      </c>
      <c r="AH281" s="52">
        <f t="shared" si="382"/>
        <v>0</v>
      </c>
      <c r="AI281" s="193">
        <f t="shared" si="383"/>
        <v>0</v>
      </c>
      <c r="AJ281" s="194">
        <f t="shared" si="384"/>
        <v>0</v>
      </c>
      <c r="AK281" s="195">
        <f t="shared" si="385"/>
        <v>3.4000000000000004</v>
      </c>
      <c r="AL281" s="196">
        <f t="shared" si="386"/>
        <v>0</v>
      </c>
      <c r="AM281" s="52">
        <f t="shared" si="387"/>
        <v>0</v>
      </c>
      <c r="AN281" s="52">
        <f t="shared" si="388"/>
        <v>0</v>
      </c>
      <c r="AO281" s="52">
        <f t="shared" si="389"/>
        <v>4</v>
      </c>
      <c r="AP281" s="52">
        <f t="shared" si="390"/>
        <v>0</v>
      </c>
    </row>
    <row r="282" spans="1:42" ht="20.100000000000001" customHeight="1" x14ac:dyDescent="0.25">
      <c r="A282" s="129"/>
      <c r="B282" s="182" t="s">
        <v>87</v>
      </c>
      <c r="C282" s="183"/>
      <c r="E282" s="189" t="s">
        <v>340</v>
      </c>
      <c r="F282" s="14">
        <v>1</v>
      </c>
      <c r="G282" s="14">
        <v>1.5</v>
      </c>
      <c r="H282" s="14">
        <v>0.2</v>
      </c>
      <c r="I282" s="14">
        <v>0.45</v>
      </c>
      <c r="J282" s="11">
        <f t="shared" si="374"/>
        <v>0.13500000000000004</v>
      </c>
      <c r="K282" s="11">
        <f t="shared" si="375"/>
        <v>0.30000000000000004</v>
      </c>
      <c r="L282" s="11">
        <f t="shared" si="376"/>
        <v>0.97500000000000009</v>
      </c>
      <c r="M282" s="190">
        <v>0.125</v>
      </c>
      <c r="N282" s="14">
        <f t="shared" si="391"/>
        <v>0.32500000000000001</v>
      </c>
      <c r="O282" s="14">
        <f t="shared" si="392"/>
        <v>0.48750000000000004</v>
      </c>
      <c r="P282" s="190">
        <v>0.125</v>
      </c>
      <c r="Q282" s="14">
        <f t="shared" si="377"/>
        <v>0.32500000000000001</v>
      </c>
      <c r="R282" s="14">
        <f t="shared" si="378"/>
        <v>0.48750000000000004</v>
      </c>
      <c r="S282" s="14"/>
      <c r="T282" s="14"/>
      <c r="U282" s="191">
        <f t="shared" si="379"/>
        <v>0</v>
      </c>
      <c r="V282" s="14"/>
      <c r="W282" s="14"/>
      <c r="X282" s="14"/>
      <c r="Y282" s="14"/>
      <c r="Z282" s="14"/>
      <c r="AA282" s="14"/>
      <c r="AB282" s="14">
        <f t="shared" si="393"/>
        <v>0</v>
      </c>
      <c r="AC282" s="14"/>
      <c r="AE282" s="11"/>
      <c r="AG282" s="52">
        <f t="shared" si="381"/>
        <v>1.2750000000000001</v>
      </c>
      <c r="AH282" s="52">
        <f t="shared" si="382"/>
        <v>0</v>
      </c>
      <c r="AI282" s="193">
        <f t="shared" si="383"/>
        <v>0</v>
      </c>
      <c r="AJ282" s="194">
        <f t="shared" si="384"/>
        <v>0</v>
      </c>
      <c r="AK282" s="195">
        <f t="shared" si="385"/>
        <v>1.2750000000000001</v>
      </c>
      <c r="AL282" s="196">
        <f t="shared" si="386"/>
        <v>0</v>
      </c>
      <c r="AM282" s="52">
        <f t="shared" si="387"/>
        <v>0</v>
      </c>
      <c r="AN282" s="52">
        <f t="shared" si="388"/>
        <v>0</v>
      </c>
      <c r="AO282" s="52">
        <f t="shared" si="389"/>
        <v>1.5</v>
      </c>
      <c r="AP282" s="52">
        <f t="shared" si="390"/>
        <v>0</v>
      </c>
    </row>
    <row r="283" spans="1:42" ht="20.100000000000001" customHeight="1" x14ac:dyDescent="0.25">
      <c r="A283" s="129"/>
      <c r="B283" s="182" t="s">
        <v>87</v>
      </c>
      <c r="C283" s="183"/>
      <c r="D283" s="188" t="s">
        <v>100</v>
      </c>
      <c r="E283" s="189" t="s">
        <v>341</v>
      </c>
      <c r="F283" s="14">
        <v>1</v>
      </c>
      <c r="G283" s="14">
        <v>1.5</v>
      </c>
      <c r="H283" s="14">
        <v>0.2</v>
      </c>
      <c r="I283" s="14">
        <v>0.45</v>
      </c>
      <c r="J283" s="11">
        <f t="shared" si="374"/>
        <v>0.13500000000000004</v>
      </c>
      <c r="K283" s="11">
        <f t="shared" si="375"/>
        <v>0.30000000000000004</v>
      </c>
      <c r="L283" s="11">
        <f t="shared" si="376"/>
        <v>0.97500000000000009</v>
      </c>
      <c r="M283" s="190">
        <v>0.125</v>
      </c>
      <c r="N283" s="14">
        <f t="shared" si="391"/>
        <v>0.32500000000000001</v>
      </c>
      <c r="O283" s="14">
        <f t="shared" si="392"/>
        <v>0.48750000000000004</v>
      </c>
      <c r="P283" s="190">
        <v>0.125</v>
      </c>
      <c r="Q283" s="14">
        <f t="shared" si="377"/>
        <v>0.32500000000000001</v>
      </c>
      <c r="R283" s="14">
        <f t="shared" si="378"/>
        <v>0.48750000000000004</v>
      </c>
      <c r="S283" s="14"/>
      <c r="T283" s="14"/>
      <c r="U283" s="191">
        <f t="shared" si="379"/>
        <v>0</v>
      </c>
      <c r="V283" s="14"/>
      <c r="W283" s="14"/>
      <c r="X283" s="14"/>
      <c r="Y283" s="14"/>
      <c r="Z283" s="14"/>
      <c r="AA283" s="14"/>
      <c r="AB283" s="14">
        <f t="shared" si="393"/>
        <v>0</v>
      </c>
      <c r="AC283" s="14"/>
      <c r="AE283" s="11"/>
      <c r="AG283" s="52">
        <f t="shared" si="381"/>
        <v>1.2750000000000001</v>
      </c>
      <c r="AH283" s="52">
        <f t="shared" si="382"/>
        <v>0</v>
      </c>
      <c r="AI283" s="193">
        <f t="shared" si="383"/>
        <v>0</v>
      </c>
      <c r="AJ283" s="194">
        <f t="shared" si="384"/>
        <v>0</v>
      </c>
      <c r="AK283" s="195">
        <f t="shared" si="385"/>
        <v>1.2750000000000001</v>
      </c>
      <c r="AL283" s="196">
        <f t="shared" si="386"/>
        <v>0</v>
      </c>
      <c r="AM283" s="52">
        <f t="shared" si="387"/>
        <v>0</v>
      </c>
      <c r="AN283" s="52">
        <f t="shared" si="388"/>
        <v>0</v>
      </c>
      <c r="AO283" s="52">
        <f t="shared" si="389"/>
        <v>1.5</v>
      </c>
      <c r="AP283" s="52">
        <f t="shared" si="390"/>
        <v>0</v>
      </c>
    </row>
    <row r="284" spans="1:42" ht="20.100000000000001" customHeight="1" x14ac:dyDescent="0.25">
      <c r="A284" s="129"/>
      <c r="B284" s="182" t="s">
        <v>87</v>
      </c>
      <c r="C284" s="183"/>
      <c r="E284" s="189" t="s">
        <v>342</v>
      </c>
      <c r="F284" s="14">
        <v>0</v>
      </c>
      <c r="G284" s="14"/>
      <c r="H284" s="14"/>
      <c r="I284" s="14"/>
      <c r="J284" s="11">
        <f t="shared" si="374"/>
        <v>0</v>
      </c>
      <c r="K284" s="11">
        <f t="shared" si="375"/>
        <v>0</v>
      </c>
      <c r="L284" s="11">
        <f t="shared" si="376"/>
        <v>0</v>
      </c>
      <c r="M284" s="190"/>
      <c r="N284" s="14">
        <f t="shared" si="391"/>
        <v>0</v>
      </c>
      <c r="O284" s="14">
        <f t="shared" si="392"/>
        <v>0</v>
      </c>
      <c r="P284" s="190"/>
      <c r="Q284" s="14">
        <f t="shared" si="377"/>
        <v>0</v>
      </c>
      <c r="R284" s="14">
        <f t="shared" si="378"/>
        <v>0</v>
      </c>
      <c r="S284" s="14"/>
      <c r="T284" s="14"/>
      <c r="U284" s="191">
        <f t="shared" si="379"/>
        <v>0</v>
      </c>
      <c r="V284" s="14"/>
      <c r="W284" s="14"/>
      <c r="X284" s="14"/>
      <c r="Y284" s="14"/>
      <c r="Z284" s="14"/>
      <c r="AA284" s="14"/>
      <c r="AB284" s="14">
        <f t="shared" si="393"/>
        <v>0</v>
      </c>
      <c r="AC284" s="14"/>
      <c r="AE284" s="11"/>
      <c r="AG284" s="52">
        <f t="shared" si="381"/>
        <v>0</v>
      </c>
      <c r="AH284" s="52">
        <f t="shared" si="382"/>
        <v>0</v>
      </c>
      <c r="AI284" s="193">
        <f t="shared" si="383"/>
        <v>0</v>
      </c>
      <c r="AJ284" s="194">
        <f t="shared" si="384"/>
        <v>0</v>
      </c>
      <c r="AK284" s="195">
        <f t="shared" si="385"/>
        <v>0</v>
      </c>
      <c r="AL284" s="196">
        <f t="shared" si="386"/>
        <v>0</v>
      </c>
      <c r="AM284" s="52">
        <f t="shared" si="387"/>
        <v>0</v>
      </c>
      <c r="AN284" s="52">
        <f t="shared" si="388"/>
        <v>0</v>
      </c>
      <c r="AO284" s="52">
        <f t="shared" si="389"/>
        <v>0</v>
      </c>
      <c r="AP284" s="52">
        <f t="shared" si="390"/>
        <v>0</v>
      </c>
    </row>
    <row r="285" spans="1:42" ht="20.100000000000001" customHeight="1" x14ac:dyDescent="0.25">
      <c r="A285" s="129"/>
      <c r="B285" s="182" t="s">
        <v>87</v>
      </c>
      <c r="C285" s="183"/>
      <c r="E285" s="189" t="s">
        <v>343</v>
      </c>
      <c r="F285" s="14">
        <v>0</v>
      </c>
      <c r="G285" s="14"/>
      <c r="H285" s="14"/>
      <c r="I285" s="14"/>
      <c r="J285" s="11">
        <f t="shared" si="374"/>
        <v>0</v>
      </c>
      <c r="K285" s="11">
        <f t="shared" si="375"/>
        <v>0</v>
      </c>
      <c r="L285" s="11">
        <f t="shared" si="376"/>
        <v>0</v>
      </c>
      <c r="M285" s="190"/>
      <c r="N285" s="14">
        <f t="shared" si="391"/>
        <v>0</v>
      </c>
      <c r="O285" s="14">
        <f t="shared" si="392"/>
        <v>0</v>
      </c>
      <c r="P285" s="190"/>
      <c r="Q285" s="14">
        <f t="shared" si="377"/>
        <v>0</v>
      </c>
      <c r="R285" s="14">
        <f t="shared" si="378"/>
        <v>0</v>
      </c>
      <c r="S285" s="14"/>
      <c r="T285" s="14"/>
      <c r="U285" s="191">
        <f t="shared" si="379"/>
        <v>0</v>
      </c>
      <c r="V285" s="14"/>
      <c r="W285" s="14"/>
      <c r="X285" s="14"/>
      <c r="Y285" s="14"/>
      <c r="Z285" s="14"/>
      <c r="AA285" s="14"/>
      <c r="AB285" s="14">
        <f t="shared" si="393"/>
        <v>0</v>
      </c>
      <c r="AC285" s="14"/>
      <c r="AE285" s="11"/>
      <c r="AG285" s="52">
        <f t="shared" si="381"/>
        <v>0</v>
      </c>
      <c r="AH285" s="52">
        <f t="shared" si="382"/>
        <v>0</v>
      </c>
      <c r="AI285" s="193">
        <f t="shared" si="383"/>
        <v>0</v>
      </c>
      <c r="AJ285" s="194">
        <f t="shared" si="384"/>
        <v>0</v>
      </c>
      <c r="AK285" s="195">
        <f t="shared" si="385"/>
        <v>0</v>
      </c>
      <c r="AL285" s="196">
        <f t="shared" si="386"/>
        <v>0</v>
      </c>
      <c r="AM285" s="52">
        <f t="shared" si="387"/>
        <v>0</v>
      </c>
      <c r="AN285" s="52">
        <f t="shared" si="388"/>
        <v>0</v>
      </c>
      <c r="AO285" s="52">
        <f t="shared" si="389"/>
        <v>0</v>
      </c>
      <c r="AP285" s="52">
        <f t="shared" si="390"/>
        <v>0</v>
      </c>
    </row>
    <row r="286" spans="1:42" ht="20.100000000000001" customHeight="1" x14ac:dyDescent="0.25">
      <c r="A286" s="129"/>
      <c r="B286" s="182" t="s">
        <v>87</v>
      </c>
      <c r="C286" s="183"/>
      <c r="D286" s="188" t="s">
        <v>100</v>
      </c>
      <c r="E286" s="189" t="s">
        <v>344</v>
      </c>
      <c r="F286" s="14">
        <v>1</v>
      </c>
      <c r="G286" s="14">
        <v>4</v>
      </c>
      <c r="H286" s="14">
        <v>0.2</v>
      </c>
      <c r="I286" s="14">
        <v>0.45</v>
      </c>
      <c r="J286" s="11">
        <f t="shared" si="374"/>
        <v>0.36000000000000004</v>
      </c>
      <c r="K286" s="11">
        <f t="shared" si="375"/>
        <v>0.8</v>
      </c>
      <c r="L286" s="11">
        <f t="shared" si="376"/>
        <v>2.4000000000000004</v>
      </c>
      <c r="M286" s="190">
        <v>0.17499999999999999</v>
      </c>
      <c r="N286" s="14">
        <f t="shared" si="391"/>
        <v>0.27500000000000002</v>
      </c>
      <c r="O286" s="14">
        <f t="shared" si="392"/>
        <v>1.1000000000000001</v>
      </c>
      <c r="P286" s="190">
        <v>0.125</v>
      </c>
      <c r="Q286" s="14">
        <f t="shared" si="377"/>
        <v>0.32500000000000001</v>
      </c>
      <c r="R286" s="14">
        <f t="shared" si="378"/>
        <v>1.3</v>
      </c>
      <c r="S286" s="14"/>
      <c r="T286" s="14"/>
      <c r="U286" s="191">
        <f t="shared" si="379"/>
        <v>0</v>
      </c>
      <c r="V286" s="14"/>
      <c r="W286" s="14"/>
      <c r="X286" s="14"/>
      <c r="Y286" s="14"/>
      <c r="Z286" s="14"/>
      <c r="AA286" s="14"/>
      <c r="AB286" s="14">
        <f t="shared" si="393"/>
        <v>0</v>
      </c>
      <c r="AC286" s="14"/>
      <c r="AE286" s="11"/>
      <c r="AG286" s="52">
        <f t="shared" si="381"/>
        <v>3.2</v>
      </c>
      <c r="AH286" s="52">
        <f t="shared" si="382"/>
        <v>0</v>
      </c>
      <c r="AI286" s="193">
        <f t="shared" si="383"/>
        <v>0</v>
      </c>
      <c r="AJ286" s="194">
        <f t="shared" si="384"/>
        <v>0</v>
      </c>
      <c r="AK286" s="195">
        <f t="shared" si="385"/>
        <v>3.2</v>
      </c>
      <c r="AL286" s="196">
        <f t="shared" si="386"/>
        <v>0</v>
      </c>
      <c r="AM286" s="52">
        <f t="shared" si="387"/>
        <v>0</v>
      </c>
      <c r="AN286" s="52">
        <f t="shared" si="388"/>
        <v>0</v>
      </c>
      <c r="AO286" s="52">
        <f t="shared" si="389"/>
        <v>4</v>
      </c>
      <c r="AP286" s="52">
        <f t="shared" si="390"/>
        <v>0</v>
      </c>
    </row>
    <row r="287" spans="1:42" ht="20.100000000000001" customHeight="1" x14ac:dyDescent="0.25">
      <c r="A287" s="129"/>
      <c r="B287" s="182" t="s">
        <v>87</v>
      </c>
      <c r="C287" s="183"/>
      <c r="E287" s="189" t="s">
        <v>345</v>
      </c>
      <c r="F287" s="14">
        <v>1</v>
      </c>
      <c r="G287" s="14">
        <v>3.74</v>
      </c>
      <c r="H287" s="14">
        <v>0.2</v>
      </c>
      <c r="I287" s="14">
        <v>0.45</v>
      </c>
      <c r="J287" s="11">
        <f t="shared" si="374"/>
        <v>0.33660000000000007</v>
      </c>
      <c r="K287" s="11">
        <f t="shared" si="375"/>
        <v>0.74800000000000011</v>
      </c>
      <c r="L287" s="11">
        <f t="shared" si="376"/>
        <v>2.431</v>
      </c>
      <c r="M287" s="190">
        <v>0.125</v>
      </c>
      <c r="N287" s="14">
        <f t="shared" si="391"/>
        <v>0.32500000000000001</v>
      </c>
      <c r="O287" s="14">
        <f t="shared" si="392"/>
        <v>1.2155</v>
      </c>
      <c r="P287" s="190">
        <v>0.125</v>
      </c>
      <c r="Q287" s="14">
        <f t="shared" si="377"/>
        <v>0.32500000000000001</v>
      </c>
      <c r="R287" s="14">
        <f t="shared" si="378"/>
        <v>1.2155</v>
      </c>
      <c r="S287" s="14"/>
      <c r="T287" s="14"/>
      <c r="U287" s="191">
        <f t="shared" si="379"/>
        <v>0</v>
      </c>
      <c r="V287" s="14"/>
      <c r="W287" s="14"/>
      <c r="X287" s="14"/>
      <c r="Y287" s="14"/>
      <c r="Z287" s="14"/>
      <c r="AA287" s="14"/>
      <c r="AB287" s="14">
        <f t="shared" si="393"/>
        <v>0</v>
      </c>
      <c r="AC287" s="14"/>
      <c r="AE287" s="11"/>
      <c r="AG287" s="52">
        <f t="shared" si="381"/>
        <v>3.1790000000000003</v>
      </c>
      <c r="AH287" s="52">
        <f t="shared" si="382"/>
        <v>0</v>
      </c>
      <c r="AI287" s="193">
        <f t="shared" si="383"/>
        <v>0</v>
      </c>
      <c r="AJ287" s="194">
        <f t="shared" si="384"/>
        <v>0</v>
      </c>
      <c r="AK287" s="195">
        <f t="shared" si="385"/>
        <v>3.1790000000000003</v>
      </c>
      <c r="AL287" s="196">
        <f t="shared" si="386"/>
        <v>0</v>
      </c>
      <c r="AM287" s="52">
        <f t="shared" si="387"/>
        <v>0</v>
      </c>
      <c r="AN287" s="52">
        <f t="shared" si="388"/>
        <v>0</v>
      </c>
      <c r="AO287" s="52">
        <f t="shared" si="389"/>
        <v>3.74</v>
      </c>
      <c r="AP287" s="52">
        <f t="shared" si="390"/>
        <v>0</v>
      </c>
    </row>
    <row r="288" spans="1:42" ht="20.100000000000001" customHeight="1" x14ac:dyDescent="0.25">
      <c r="A288" s="129"/>
      <c r="B288" s="182" t="s">
        <v>87</v>
      </c>
      <c r="C288" s="183"/>
      <c r="E288" s="189" t="s">
        <v>346</v>
      </c>
      <c r="F288" s="14">
        <v>1</v>
      </c>
      <c r="G288" s="14">
        <v>3.24</v>
      </c>
      <c r="H288" s="14">
        <v>0.2</v>
      </c>
      <c r="I288" s="14">
        <v>0.45</v>
      </c>
      <c r="J288" s="11">
        <f t="shared" si="374"/>
        <v>0.29160000000000008</v>
      </c>
      <c r="K288" s="11">
        <f t="shared" si="375"/>
        <v>0.64800000000000013</v>
      </c>
      <c r="L288" s="11">
        <f t="shared" si="376"/>
        <v>3.2084999999999999</v>
      </c>
      <c r="M288" s="190">
        <v>0.125</v>
      </c>
      <c r="N288" s="14">
        <f t="shared" si="391"/>
        <v>0.32500000000000001</v>
      </c>
      <c r="O288" s="14">
        <f t="shared" si="392"/>
        <v>1.0530000000000002</v>
      </c>
      <c r="P288" s="190"/>
      <c r="Q288" s="14">
        <f t="shared" si="377"/>
        <v>0.45</v>
      </c>
      <c r="R288" s="14">
        <f t="shared" si="378"/>
        <v>1.4580000000000002</v>
      </c>
      <c r="S288" s="14">
        <v>0.45</v>
      </c>
      <c r="T288" s="14">
        <v>0.45</v>
      </c>
      <c r="U288" s="191">
        <f t="shared" si="379"/>
        <v>0.69750000000000001</v>
      </c>
      <c r="V288" s="14"/>
      <c r="W288" s="14"/>
      <c r="X288" s="14"/>
      <c r="Y288" s="14"/>
      <c r="Z288" s="14"/>
      <c r="AA288" s="14"/>
      <c r="AB288" s="14">
        <f t="shared" si="393"/>
        <v>0</v>
      </c>
      <c r="AC288" s="14"/>
      <c r="AE288" s="11"/>
      <c r="AG288" s="52">
        <f t="shared" si="381"/>
        <v>3.8565</v>
      </c>
      <c r="AH288" s="52">
        <f t="shared" si="382"/>
        <v>0</v>
      </c>
      <c r="AI288" s="193">
        <f t="shared" si="383"/>
        <v>3.8565</v>
      </c>
      <c r="AJ288" s="194">
        <f t="shared" si="384"/>
        <v>0</v>
      </c>
      <c r="AK288" s="195">
        <f t="shared" si="385"/>
        <v>0</v>
      </c>
      <c r="AL288" s="196">
        <f t="shared" si="386"/>
        <v>0</v>
      </c>
      <c r="AM288" s="52">
        <f t="shared" si="387"/>
        <v>3.24</v>
      </c>
      <c r="AN288" s="52">
        <f t="shared" si="388"/>
        <v>0</v>
      </c>
      <c r="AO288" s="52">
        <f t="shared" si="389"/>
        <v>0</v>
      </c>
      <c r="AP288" s="52">
        <f t="shared" si="390"/>
        <v>0</v>
      </c>
    </row>
    <row r="289" spans="1:42" ht="20.100000000000001" customHeight="1" x14ac:dyDescent="0.25">
      <c r="A289" s="129"/>
      <c r="B289" s="182" t="s">
        <v>87</v>
      </c>
      <c r="C289" s="183"/>
      <c r="D289" s="188" t="s">
        <v>100</v>
      </c>
      <c r="E289" s="189" t="s">
        <v>347</v>
      </c>
      <c r="F289" s="14">
        <v>1</v>
      </c>
      <c r="G289" s="14">
        <v>3.35</v>
      </c>
      <c r="H289" s="14">
        <v>0.2</v>
      </c>
      <c r="I289" s="14">
        <v>0.45</v>
      </c>
      <c r="J289" s="11">
        <f t="shared" si="374"/>
        <v>0.30150000000000005</v>
      </c>
      <c r="K289" s="11">
        <f t="shared" si="375"/>
        <v>0.67</v>
      </c>
      <c r="L289" s="11">
        <f t="shared" si="376"/>
        <v>2.375</v>
      </c>
      <c r="M289" s="190">
        <v>0.15</v>
      </c>
      <c r="N289" s="14">
        <f t="shared" si="391"/>
        <v>0.30000000000000004</v>
      </c>
      <c r="O289" s="14">
        <f t="shared" si="392"/>
        <v>1.0050000000000001</v>
      </c>
      <c r="P289" s="190">
        <v>0.125</v>
      </c>
      <c r="Q289" s="14">
        <f t="shared" si="377"/>
        <v>0.32500000000000001</v>
      </c>
      <c r="R289" s="14">
        <f t="shared" si="378"/>
        <v>1.0887500000000001</v>
      </c>
      <c r="S289" s="14">
        <v>0.45</v>
      </c>
      <c r="T289" s="14"/>
      <c r="U289" s="191">
        <f t="shared" si="379"/>
        <v>0.28125</v>
      </c>
      <c r="V289" s="14"/>
      <c r="W289" s="14"/>
      <c r="X289" s="14"/>
      <c r="Y289" s="14"/>
      <c r="Z289" s="14"/>
      <c r="AA289" s="14"/>
      <c r="AB289" s="14">
        <f t="shared" si="393"/>
        <v>0</v>
      </c>
      <c r="AC289" s="14"/>
      <c r="AE289" s="11"/>
      <c r="AG289" s="52">
        <f t="shared" si="381"/>
        <v>3.0449999999999999</v>
      </c>
      <c r="AH289" s="52">
        <f t="shared" si="382"/>
        <v>0</v>
      </c>
      <c r="AI289" s="193">
        <f t="shared" si="383"/>
        <v>0</v>
      </c>
      <c r="AJ289" s="194">
        <f t="shared" si="384"/>
        <v>0</v>
      </c>
      <c r="AK289" s="195">
        <f t="shared" si="385"/>
        <v>3.0449999999999999</v>
      </c>
      <c r="AL289" s="196">
        <f t="shared" si="386"/>
        <v>0</v>
      </c>
      <c r="AM289" s="52">
        <f t="shared" si="387"/>
        <v>0</v>
      </c>
      <c r="AN289" s="52">
        <f t="shared" si="388"/>
        <v>0</v>
      </c>
      <c r="AO289" s="52">
        <f t="shared" si="389"/>
        <v>3.35</v>
      </c>
      <c r="AP289" s="52">
        <f t="shared" si="390"/>
        <v>0</v>
      </c>
    </row>
    <row r="290" spans="1:42" ht="20.100000000000001" customHeight="1" x14ac:dyDescent="0.25">
      <c r="A290" s="129"/>
      <c r="B290" s="182" t="s">
        <v>87</v>
      </c>
      <c r="C290" s="183"/>
      <c r="D290" s="188" t="s">
        <v>100</v>
      </c>
      <c r="E290" s="189" t="s">
        <v>348</v>
      </c>
      <c r="F290" s="14">
        <v>1</v>
      </c>
      <c r="G290" s="14">
        <v>1.5</v>
      </c>
      <c r="H290" s="14">
        <v>0.2</v>
      </c>
      <c r="I290" s="14">
        <v>0.45</v>
      </c>
      <c r="J290" s="11">
        <f t="shared" si="374"/>
        <v>0.13500000000000004</v>
      </c>
      <c r="K290" s="11">
        <f t="shared" si="375"/>
        <v>0.30000000000000004</v>
      </c>
      <c r="L290" s="11">
        <f t="shared" si="376"/>
        <v>0.97500000000000009</v>
      </c>
      <c r="M290" s="190">
        <v>0.125</v>
      </c>
      <c r="N290" s="14">
        <f t="shared" si="391"/>
        <v>0.32500000000000001</v>
      </c>
      <c r="O290" s="14">
        <f t="shared" si="392"/>
        <v>0.48750000000000004</v>
      </c>
      <c r="P290" s="190">
        <v>0.125</v>
      </c>
      <c r="Q290" s="14">
        <f t="shared" si="377"/>
        <v>0.32500000000000001</v>
      </c>
      <c r="R290" s="14">
        <f t="shared" si="378"/>
        <v>0.48750000000000004</v>
      </c>
      <c r="S290" s="14"/>
      <c r="T290" s="14"/>
      <c r="U290" s="191">
        <f t="shared" si="379"/>
        <v>0</v>
      </c>
      <c r="V290" s="14"/>
      <c r="W290" s="14"/>
      <c r="X290" s="14"/>
      <c r="Y290" s="14"/>
      <c r="Z290" s="14"/>
      <c r="AA290" s="14"/>
      <c r="AB290" s="14">
        <f t="shared" si="393"/>
        <v>0</v>
      </c>
      <c r="AC290" s="14"/>
      <c r="AE290" s="11"/>
      <c r="AG290" s="52">
        <f t="shared" si="381"/>
        <v>1.2750000000000001</v>
      </c>
      <c r="AH290" s="52">
        <f t="shared" si="382"/>
        <v>0</v>
      </c>
      <c r="AI290" s="193">
        <f t="shared" si="383"/>
        <v>0</v>
      </c>
      <c r="AJ290" s="194">
        <f t="shared" si="384"/>
        <v>0</v>
      </c>
      <c r="AK290" s="195">
        <f t="shared" si="385"/>
        <v>1.2750000000000001</v>
      </c>
      <c r="AL290" s="196">
        <f t="shared" si="386"/>
        <v>0</v>
      </c>
      <c r="AM290" s="52">
        <f t="shared" si="387"/>
        <v>0</v>
      </c>
      <c r="AN290" s="52">
        <f t="shared" si="388"/>
        <v>0</v>
      </c>
      <c r="AO290" s="52">
        <f t="shared" si="389"/>
        <v>1.5</v>
      </c>
      <c r="AP290" s="52">
        <f t="shared" si="390"/>
        <v>0</v>
      </c>
    </row>
    <row r="291" spans="1:42" ht="20.100000000000001" customHeight="1" x14ac:dyDescent="0.25">
      <c r="A291" s="129"/>
      <c r="B291" s="182" t="s">
        <v>87</v>
      </c>
      <c r="C291" s="183"/>
      <c r="D291" s="188" t="s">
        <v>100</v>
      </c>
      <c r="E291" s="189" t="s">
        <v>349</v>
      </c>
      <c r="F291" s="14">
        <v>1</v>
      </c>
      <c r="G291" s="14">
        <v>4</v>
      </c>
      <c r="H291" s="14">
        <v>0.2</v>
      </c>
      <c r="I291" s="14">
        <v>0.45</v>
      </c>
      <c r="J291" s="11">
        <f t="shared" si="374"/>
        <v>0.36000000000000004</v>
      </c>
      <c r="K291" s="11">
        <f t="shared" si="375"/>
        <v>0.8</v>
      </c>
      <c r="L291" s="11">
        <f t="shared" si="376"/>
        <v>2.6</v>
      </c>
      <c r="M291" s="190">
        <v>0.125</v>
      </c>
      <c r="N291" s="14">
        <f t="shared" si="391"/>
        <v>0.32500000000000001</v>
      </c>
      <c r="O291" s="14">
        <f t="shared" si="392"/>
        <v>1.3</v>
      </c>
      <c r="P291" s="190">
        <v>0.125</v>
      </c>
      <c r="Q291" s="14">
        <f t="shared" si="377"/>
        <v>0.32500000000000001</v>
      </c>
      <c r="R291" s="14">
        <f t="shared" si="378"/>
        <v>1.3</v>
      </c>
      <c r="S291" s="14"/>
      <c r="T291" s="14"/>
      <c r="U291" s="191">
        <f t="shared" si="379"/>
        <v>0</v>
      </c>
      <c r="V291" s="14" t="s">
        <v>316</v>
      </c>
      <c r="W291" s="14"/>
      <c r="X291" s="14"/>
      <c r="Y291" s="14"/>
      <c r="Z291" s="14"/>
      <c r="AA291" s="14"/>
      <c r="AB291" s="14">
        <f t="shared" si="393"/>
        <v>0</v>
      </c>
      <c r="AC291" s="14"/>
      <c r="AE291" s="11"/>
      <c r="AG291" s="52">
        <f t="shared" si="381"/>
        <v>3.4000000000000004</v>
      </c>
      <c r="AH291" s="52">
        <f t="shared" si="382"/>
        <v>0</v>
      </c>
      <c r="AI291" s="193">
        <f t="shared" si="383"/>
        <v>0</v>
      </c>
      <c r="AJ291" s="194">
        <f t="shared" si="384"/>
        <v>0</v>
      </c>
      <c r="AK291" s="195">
        <f t="shared" si="385"/>
        <v>3.4000000000000004</v>
      </c>
      <c r="AL291" s="196">
        <f t="shared" si="386"/>
        <v>0</v>
      </c>
      <c r="AM291" s="52">
        <f t="shared" si="387"/>
        <v>0</v>
      </c>
      <c r="AN291" s="52">
        <f t="shared" si="388"/>
        <v>0</v>
      </c>
      <c r="AO291" s="52">
        <f t="shared" si="389"/>
        <v>4</v>
      </c>
      <c r="AP291" s="52">
        <f t="shared" si="390"/>
        <v>0</v>
      </c>
    </row>
    <row r="292" spans="1:42" ht="20.100000000000001" customHeight="1" x14ac:dyDescent="0.25">
      <c r="A292" s="129"/>
      <c r="B292" s="182" t="s">
        <v>87</v>
      </c>
      <c r="C292" s="183"/>
      <c r="D292" s="188" t="s">
        <v>100</v>
      </c>
      <c r="E292" s="189" t="s">
        <v>350</v>
      </c>
      <c r="F292" s="14">
        <v>1</v>
      </c>
      <c r="G292" s="14">
        <v>1.5</v>
      </c>
      <c r="H292" s="14">
        <v>0.2</v>
      </c>
      <c r="I292" s="14">
        <v>0.45</v>
      </c>
      <c r="J292" s="11">
        <f t="shared" si="374"/>
        <v>0.13500000000000004</v>
      </c>
      <c r="K292" s="11">
        <f t="shared" si="375"/>
        <v>0.30000000000000004</v>
      </c>
      <c r="L292" s="11">
        <f t="shared" si="376"/>
        <v>0.97500000000000009</v>
      </c>
      <c r="M292" s="190">
        <v>0.125</v>
      </c>
      <c r="N292" s="14">
        <f t="shared" si="391"/>
        <v>0.32500000000000001</v>
      </c>
      <c r="O292" s="14">
        <f t="shared" si="392"/>
        <v>0.48750000000000004</v>
      </c>
      <c r="P292" s="190">
        <v>0.125</v>
      </c>
      <c r="Q292" s="14">
        <f t="shared" si="377"/>
        <v>0.32500000000000001</v>
      </c>
      <c r="R292" s="14">
        <f t="shared" si="378"/>
        <v>0.48750000000000004</v>
      </c>
      <c r="S292" s="14"/>
      <c r="T292" s="14"/>
      <c r="U292" s="191">
        <f t="shared" si="379"/>
        <v>0</v>
      </c>
      <c r="V292" s="14" t="s">
        <v>316</v>
      </c>
      <c r="W292" s="14"/>
      <c r="X292" s="14"/>
      <c r="Y292" s="14"/>
      <c r="Z292" s="14"/>
      <c r="AA292" s="14"/>
      <c r="AB292" s="14">
        <f t="shared" si="393"/>
        <v>0</v>
      </c>
      <c r="AC292" s="14"/>
      <c r="AE292" s="11"/>
      <c r="AG292" s="52">
        <f t="shared" si="381"/>
        <v>1.2750000000000001</v>
      </c>
      <c r="AH292" s="52">
        <f t="shared" si="382"/>
        <v>0</v>
      </c>
      <c r="AI292" s="193">
        <f t="shared" si="383"/>
        <v>0</v>
      </c>
      <c r="AJ292" s="194">
        <f t="shared" si="384"/>
        <v>0</v>
      </c>
      <c r="AK292" s="195">
        <f t="shared" si="385"/>
        <v>1.2750000000000001</v>
      </c>
      <c r="AL292" s="196">
        <f t="shared" si="386"/>
        <v>0</v>
      </c>
      <c r="AM292" s="52">
        <f t="shared" si="387"/>
        <v>0</v>
      </c>
      <c r="AN292" s="52">
        <f t="shared" si="388"/>
        <v>0</v>
      </c>
      <c r="AO292" s="52">
        <f t="shared" si="389"/>
        <v>1.5</v>
      </c>
      <c r="AP292" s="52">
        <f t="shared" si="390"/>
        <v>0</v>
      </c>
    </row>
    <row r="293" spans="1:42" ht="20.100000000000001" customHeight="1" x14ac:dyDescent="0.25">
      <c r="A293" s="129"/>
      <c r="B293" s="182" t="s">
        <v>87</v>
      </c>
      <c r="C293" s="183"/>
      <c r="D293" s="188" t="s">
        <v>100</v>
      </c>
      <c r="E293" s="189" t="s">
        <v>351</v>
      </c>
      <c r="F293" s="14">
        <v>1</v>
      </c>
      <c r="G293" s="14">
        <v>1.7</v>
      </c>
      <c r="H293" s="14">
        <v>0.2</v>
      </c>
      <c r="I293" s="14">
        <v>0.45</v>
      </c>
      <c r="J293" s="11">
        <f t="shared" si="374"/>
        <v>0.15300000000000002</v>
      </c>
      <c r="K293" s="11">
        <f t="shared" si="375"/>
        <v>0.34</v>
      </c>
      <c r="L293" s="11">
        <f t="shared" si="376"/>
        <v>1.105</v>
      </c>
      <c r="M293" s="190">
        <v>0.125</v>
      </c>
      <c r="N293" s="14">
        <f t="shared" si="391"/>
        <v>0.32500000000000001</v>
      </c>
      <c r="O293" s="14">
        <f t="shared" si="392"/>
        <v>0.55249999999999999</v>
      </c>
      <c r="P293" s="190">
        <v>0.125</v>
      </c>
      <c r="Q293" s="14">
        <f t="shared" si="377"/>
        <v>0.32500000000000001</v>
      </c>
      <c r="R293" s="14">
        <f t="shared" si="378"/>
        <v>0.55249999999999999</v>
      </c>
      <c r="S293" s="14"/>
      <c r="T293" s="14"/>
      <c r="U293" s="191">
        <f t="shared" ref="U293:U305" si="394">+SUM(S293:T293)*(N293+Q293)/2*2</f>
        <v>0</v>
      </c>
      <c r="V293" s="14"/>
      <c r="W293" s="14"/>
      <c r="X293" s="14"/>
      <c r="Y293" s="14"/>
      <c r="Z293" s="14"/>
      <c r="AA293" s="14"/>
      <c r="AB293" s="14">
        <f t="shared" si="393"/>
        <v>0</v>
      </c>
      <c r="AC293" s="14"/>
      <c r="AE293" s="11"/>
      <c r="AG293" s="52">
        <f t="shared" si="381"/>
        <v>1.4450000000000001</v>
      </c>
      <c r="AH293" s="52">
        <f t="shared" si="382"/>
        <v>0</v>
      </c>
      <c r="AI293" s="193">
        <f t="shared" si="383"/>
        <v>0</v>
      </c>
      <c r="AJ293" s="194">
        <f t="shared" si="384"/>
        <v>0</v>
      </c>
      <c r="AK293" s="195">
        <f t="shared" si="385"/>
        <v>1.4450000000000001</v>
      </c>
      <c r="AL293" s="196">
        <f t="shared" si="386"/>
        <v>0</v>
      </c>
      <c r="AM293" s="52">
        <f t="shared" si="387"/>
        <v>0</v>
      </c>
      <c r="AN293" s="52">
        <f t="shared" si="388"/>
        <v>0</v>
      </c>
      <c r="AO293" s="52">
        <f t="shared" si="389"/>
        <v>1.7</v>
      </c>
      <c r="AP293" s="52">
        <f t="shared" si="390"/>
        <v>0</v>
      </c>
    </row>
    <row r="294" spans="1:42" ht="20.100000000000001" customHeight="1" x14ac:dyDescent="0.25">
      <c r="A294" s="129"/>
      <c r="B294" s="182" t="s">
        <v>87</v>
      </c>
      <c r="C294" s="183"/>
      <c r="E294" s="189" t="s">
        <v>352</v>
      </c>
      <c r="F294" s="14">
        <v>1</v>
      </c>
      <c r="G294" s="14">
        <v>3.6</v>
      </c>
      <c r="H294" s="14">
        <v>0.2</v>
      </c>
      <c r="I294" s="14">
        <v>0.45</v>
      </c>
      <c r="J294" s="11">
        <f t="shared" si="374"/>
        <v>0.32400000000000007</v>
      </c>
      <c r="K294" s="11">
        <f t="shared" si="375"/>
        <v>0.72000000000000008</v>
      </c>
      <c r="L294" s="11">
        <f t="shared" si="376"/>
        <v>2.1825000000000006</v>
      </c>
      <c r="M294" s="190">
        <v>0.15</v>
      </c>
      <c r="N294" s="14">
        <f t="shared" si="391"/>
        <v>0.30000000000000004</v>
      </c>
      <c r="O294" s="14">
        <f t="shared" si="392"/>
        <v>1.0800000000000003</v>
      </c>
      <c r="P294" s="190">
        <v>0.125</v>
      </c>
      <c r="Q294" s="14">
        <f t="shared" si="377"/>
        <v>0.32500000000000001</v>
      </c>
      <c r="R294" s="14">
        <f t="shared" si="378"/>
        <v>1.1700000000000002</v>
      </c>
      <c r="S294" s="14"/>
      <c r="T294" s="14"/>
      <c r="U294" s="191">
        <f t="shared" si="394"/>
        <v>0</v>
      </c>
      <c r="V294" s="14" t="s">
        <v>283</v>
      </c>
      <c r="W294" s="14" t="s">
        <v>282</v>
      </c>
      <c r="X294" s="14"/>
      <c r="Y294" s="14"/>
      <c r="Z294" s="14"/>
      <c r="AA294" s="14"/>
      <c r="AB294" s="14">
        <f t="shared" si="393"/>
        <v>6.7500000000000004E-2</v>
      </c>
      <c r="AC294" s="14"/>
      <c r="AE294" s="11"/>
      <c r="AG294" s="52">
        <f t="shared" si="381"/>
        <v>2.9025000000000007</v>
      </c>
      <c r="AH294" s="52">
        <f t="shared" si="382"/>
        <v>0</v>
      </c>
      <c r="AI294" s="193">
        <f t="shared" si="383"/>
        <v>0</v>
      </c>
      <c r="AJ294" s="194">
        <f t="shared" si="384"/>
        <v>0</v>
      </c>
      <c r="AK294" s="195">
        <f t="shared" si="385"/>
        <v>2.9025000000000007</v>
      </c>
      <c r="AL294" s="196">
        <f t="shared" si="386"/>
        <v>0</v>
      </c>
      <c r="AM294" s="52">
        <f t="shared" si="387"/>
        <v>0</v>
      </c>
      <c r="AN294" s="52">
        <f t="shared" si="388"/>
        <v>0</v>
      </c>
      <c r="AO294" s="52">
        <f t="shared" si="389"/>
        <v>3.6</v>
      </c>
      <c r="AP294" s="52">
        <f t="shared" si="390"/>
        <v>0</v>
      </c>
    </row>
    <row r="295" spans="1:42" ht="20.100000000000001" customHeight="1" x14ac:dyDescent="0.25">
      <c r="A295" s="129"/>
      <c r="B295" s="182" t="s">
        <v>87</v>
      </c>
      <c r="C295" s="183"/>
      <c r="E295" s="189" t="s">
        <v>353</v>
      </c>
      <c r="F295" s="14">
        <v>1</v>
      </c>
      <c r="G295" s="14">
        <v>4</v>
      </c>
      <c r="H295" s="14">
        <v>0.2</v>
      </c>
      <c r="I295" s="14">
        <v>0.45</v>
      </c>
      <c r="J295" s="11">
        <f t="shared" si="374"/>
        <v>0.36000000000000004</v>
      </c>
      <c r="K295" s="11">
        <f t="shared" si="375"/>
        <v>0.8</v>
      </c>
      <c r="L295" s="11">
        <f t="shared" si="376"/>
        <v>2.6</v>
      </c>
      <c r="M295" s="190">
        <v>0.125</v>
      </c>
      <c r="N295" s="14">
        <f t="shared" si="391"/>
        <v>0.32500000000000001</v>
      </c>
      <c r="O295" s="14">
        <f t="shared" si="392"/>
        <v>1.3</v>
      </c>
      <c r="P295" s="190">
        <v>0.125</v>
      </c>
      <c r="Q295" s="14">
        <f t="shared" si="377"/>
        <v>0.32500000000000001</v>
      </c>
      <c r="R295" s="14">
        <f t="shared" si="378"/>
        <v>1.3</v>
      </c>
      <c r="S295" s="14"/>
      <c r="T295" s="14"/>
      <c r="U295" s="191">
        <f t="shared" si="394"/>
        <v>0</v>
      </c>
      <c r="V295" s="14"/>
      <c r="W295" s="14"/>
      <c r="X295" s="14"/>
      <c r="Y295" s="14"/>
      <c r="Z295" s="14"/>
      <c r="AA295" s="14"/>
      <c r="AB295" s="14">
        <f t="shared" si="393"/>
        <v>0</v>
      </c>
      <c r="AC295" s="14"/>
      <c r="AE295" s="11"/>
      <c r="AG295" s="52">
        <f t="shared" si="381"/>
        <v>3.4000000000000004</v>
      </c>
      <c r="AH295" s="52">
        <f t="shared" si="382"/>
        <v>0</v>
      </c>
      <c r="AI295" s="193">
        <f t="shared" si="383"/>
        <v>0</v>
      </c>
      <c r="AJ295" s="194">
        <f t="shared" si="384"/>
        <v>0</v>
      </c>
      <c r="AK295" s="195">
        <f t="shared" si="385"/>
        <v>3.4000000000000004</v>
      </c>
      <c r="AL295" s="196">
        <f t="shared" si="386"/>
        <v>0</v>
      </c>
      <c r="AM295" s="52">
        <f t="shared" si="387"/>
        <v>0</v>
      </c>
      <c r="AN295" s="52">
        <f t="shared" si="388"/>
        <v>0</v>
      </c>
      <c r="AO295" s="52">
        <f t="shared" si="389"/>
        <v>4</v>
      </c>
      <c r="AP295" s="52">
        <f t="shared" si="390"/>
        <v>0</v>
      </c>
    </row>
    <row r="296" spans="1:42" ht="20.100000000000001" customHeight="1" x14ac:dyDescent="0.25">
      <c r="A296" s="129"/>
      <c r="B296" s="182" t="s">
        <v>87</v>
      </c>
      <c r="C296" s="183"/>
      <c r="E296" s="189" t="s">
        <v>354</v>
      </c>
      <c r="F296" s="14">
        <v>1</v>
      </c>
      <c r="G296" s="14">
        <v>1.5</v>
      </c>
      <c r="H296" s="14">
        <v>0.2</v>
      </c>
      <c r="I296" s="14">
        <v>0.45</v>
      </c>
      <c r="J296" s="11">
        <f t="shared" si="374"/>
        <v>0.13500000000000004</v>
      </c>
      <c r="K296" s="11">
        <f t="shared" si="375"/>
        <v>0.30000000000000004</v>
      </c>
      <c r="L296" s="11">
        <f t="shared" si="376"/>
        <v>0.97500000000000009</v>
      </c>
      <c r="M296" s="190">
        <v>0.125</v>
      </c>
      <c r="N296" s="14">
        <f t="shared" si="391"/>
        <v>0.32500000000000001</v>
      </c>
      <c r="O296" s="14">
        <f t="shared" si="392"/>
        <v>0.48750000000000004</v>
      </c>
      <c r="P296" s="190">
        <v>0.125</v>
      </c>
      <c r="Q296" s="14">
        <f t="shared" si="377"/>
        <v>0.32500000000000001</v>
      </c>
      <c r="R296" s="14">
        <f t="shared" si="378"/>
        <v>0.48750000000000004</v>
      </c>
      <c r="S296" s="14"/>
      <c r="T296" s="14"/>
      <c r="U296" s="191">
        <f t="shared" si="394"/>
        <v>0</v>
      </c>
      <c r="V296" s="14"/>
      <c r="W296" s="14"/>
      <c r="X296" s="14"/>
      <c r="Y296" s="14"/>
      <c r="Z296" s="14"/>
      <c r="AA296" s="14"/>
      <c r="AB296" s="14">
        <f t="shared" si="393"/>
        <v>0</v>
      </c>
      <c r="AC296" s="14"/>
      <c r="AE296" s="11"/>
      <c r="AG296" s="52">
        <f t="shared" si="381"/>
        <v>1.2750000000000001</v>
      </c>
      <c r="AH296" s="52">
        <f t="shared" si="382"/>
        <v>0</v>
      </c>
      <c r="AI296" s="193">
        <f t="shared" si="383"/>
        <v>0</v>
      </c>
      <c r="AJ296" s="194">
        <f t="shared" si="384"/>
        <v>0</v>
      </c>
      <c r="AK296" s="195">
        <f t="shared" si="385"/>
        <v>1.2750000000000001</v>
      </c>
      <c r="AL296" s="196">
        <f t="shared" si="386"/>
        <v>0</v>
      </c>
      <c r="AM296" s="52">
        <f t="shared" si="387"/>
        <v>0</v>
      </c>
      <c r="AN296" s="52">
        <f t="shared" si="388"/>
        <v>0</v>
      </c>
      <c r="AO296" s="52">
        <f t="shared" si="389"/>
        <v>1.5</v>
      </c>
      <c r="AP296" s="52">
        <f t="shared" si="390"/>
        <v>0</v>
      </c>
    </row>
    <row r="297" spans="1:42" ht="20.100000000000001" customHeight="1" x14ac:dyDescent="0.25">
      <c r="A297" s="129"/>
      <c r="B297" s="182" t="s">
        <v>87</v>
      </c>
      <c r="C297" s="183"/>
      <c r="E297" s="189" t="s">
        <v>355</v>
      </c>
      <c r="F297" s="14">
        <v>1</v>
      </c>
      <c r="G297" s="14">
        <v>4</v>
      </c>
      <c r="H297" s="14">
        <v>0.2</v>
      </c>
      <c r="I297" s="14">
        <v>0.45</v>
      </c>
      <c r="J297" s="11">
        <f t="shared" si="374"/>
        <v>0.36000000000000004</v>
      </c>
      <c r="K297" s="11">
        <f t="shared" si="375"/>
        <v>0.8</v>
      </c>
      <c r="L297" s="11">
        <f t="shared" si="376"/>
        <v>2.5</v>
      </c>
      <c r="M297" s="190">
        <v>0.15</v>
      </c>
      <c r="N297" s="14">
        <f t="shared" si="391"/>
        <v>0.30000000000000004</v>
      </c>
      <c r="O297" s="14">
        <f t="shared" si="392"/>
        <v>1.2000000000000002</v>
      </c>
      <c r="P297" s="190">
        <v>0.125</v>
      </c>
      <c r="Q297" s="14">
        <f t="shared" si="377"/>
        <v>0.32500000000000001</v>
      </c>
      <c r="R297" s="14">
        <f t="shared" si="378"/>
        <v>1.3</v>
      </c>
      <c r="S297" s="14"/>
      <c r="T297" s="14"/>
      <c r="U297" s="191">
        <f t="shared" si="394"/>
        <v>0</v>
      </c>
      <c r="V297" s="14"/>
      <c r="W297" s="14"/>
      <c r="X297" s="14"/>
      <c r="Y297" s="14"/>
      <c r="Z297" s="14"/>
      <c r="AA297" s="14"/>
      <c r="AB297" s="14">
        <f t="shared" si="393"/>
        <v>0</v>
      </c>
      <c r="AC297" s="14"/>
      <c r="AE297" s="11"/>
      <c r="AG297" s="52">
        <f t="shared" si="381"/>
        <v>3.3</v>
      </c>
      <c r="AH297" s="52">
        <f t="shared" si="382"/>
        <v>0</v>
      </c>
      <c r="AI297" s="193">
        <f t="shared" si="383"/>
        <v>0</v>
      </c>
      <c r="AJ297" s="194">
        <f t="shared" si="384"/>
        <v>0</v>
      </c>
      <c r="AK297" s="195">
        <f t="shared" si="385"/>
        <v>3.3</v>
      </c>
      <c r="AL297" s="196">
        <f t="shared" si="386"/>
        <v>0</v>
      </c>
      <c r="AM297" s="52">
        <f t="shared" si="387"/>
        <v>0</v>
      </c>
      <c r="AN297" s="52">
        <f t="shared" si="388"/>
        <v>0</v>
      </c>
      <c r="AO297" s="52">
        <f t="shared" si="389"/>
        <v>4</v>
      </c>
      <c r="AP297" s="52">
        <f t="shared" si="390"/>
        <v>0</v>
      </c>
    </row>
    <row r="298" spans="1:42" ht="20.100000000000001" customHeight="1" x14ac:dyDescent="0.25">
      <c r="A298" s="129"/>
      <c r="B298" s="182" t="s">
        <v>87</v>
      </c>
      <c r="C298" s="183"/>
      <c r="E298" s="189" t="s">
        <v>356</v>
      </c>
      <c r="F298" s="14">
        <v>1</v>
      </c>
      <c r="G298" s="14">
        <v>2.94</v>
      </c>
      <c r="H298" s="14">
        <v>0.2</v>
      </c>
      <c r="I298" s="14">
        <v>0.45</v>
      </c>
      <c r="J298" s="11">
        <f t="shared" si="374"/>
        <v>0.2646</v>
      </c>
      <c r="K298" s="11">
        <f t="shared" si="375"/>
        <v>0.58799999999999997</v>
      </c>
      <c r="L298" s="11">
        <f t="shared" si="376"/>
        <v>1.7310000000000001</v>
      </c>
      <c r="M298" s="190">
        <v>0.125</v>
      </c>
      <c r="N298" s="14">
        <f t="shared" si="391"/>
        <v>0.32500000000000001</v>
      </c>
      <c r="O298" s="14">
        <f t="shared" si="392"/>
        <v>0.95550000000000002</v>
      </c>
      <c r="P298" s="190">
        <v>0.125</v>
      </c>
      <c r="Q298" s="14">
        <f t="shared" si="377"/>
        <v>0.32500000000000001</v>
      </c>
      <c r="R298" s="14">
        <f t="shared" si="378"/>
        <v>0.95550000000000002</v>
      </c>
      <c r="S298" s="14"/>
      <c r="T298" s="14"/>
      <c r="U298" s="191">
        <f t="shared" si="394"/>
        <v>0</v>
      </c>
      <c r="V298" s="14" t="s">
        <v>296</v>
      </c>
      <c r="W298" s="14" t="s">
        <v>297</v>
      </c>
      <c r="X298" s="14"/>
      <c r="Y298" s="14"/>
      <c r="Z298" s="14"/>
      <c r="AA298" s="14"/>
      <c r="AB298" s="14">
        <f t="shared" si="393"/>
        <v>0.18000000000000002</v>
      </c>
      <c r="AC298" s="14"/>
      <c r="AE298" s="11"/>
      <c r="AG298" s="52">
        <f t="shared" si="381"/>
        <v>2.319</v>
      </c>
      <c r="AH298" s="52">
        <f t="shared" si="382"/>
        <v>0</v>
      </c>
      <c r="AI298" s="193">
        <f t="shared" si="383"/>
        <v>0</v>
      </c>
      <c r="AJ298" s="194">
        <f t="shared" si="384"/>
        <v>0</v>
      </c>
      <c r="AK298" s="195">
        <f t="shared" si="385"/>
        <v>2.319</v>
      </c>
      <c r="AL298" s="196">
        <f t="shared" si="386"/>
        <v>0</v>
      </c>
      <c r="AM298" s="52">
        <f t="shared" si="387"/>
        <v>0</v>
      </c>
      <c r="AN298" s="52">
        <f t="shared" si="388"/>
        <v>0</v>
      </c>
      <c r="AO298" s="52">
        <f t="shared" si="389"/>
        <v>2.94</v>
      </c>
      <c r="AP298" s="52">
        <f t="shared" si="390"/>
        <v>0</v>
      </c>
    </row>
    <row r="299" spans="1:42" ht="20.100000000000001" customHeight="1" x14ac:dyDescent="0.25">
      <c r="A299" s="129"/>
      <c r="B299" s="182" t="s">
        <v>87</v>
      </c>
      <c r="C299" s="183"/>
      <c r="E299" s="189" t="s">
        <v>357</v>
      </c>
      <c r="F299" s="14">
        <v>1</v>
      </c>
      <c r="G299" s="14">
        <v>4.1500000000000004</v>
      </c>
      <c r="H299" s="14">
        <v>0.2</v>
      </c>
      <c r="I299" s="14">
        <v>0.55000000000000004</v>
      </c>
      <c r="J299" s="11">
        <f t="shared" si="374"/>
        <v>0.45650000000000007</v>
      </c>
      <c r="K299" s="11">
        <f t="shared" si="375"/>
        <v>0.83000000000000007</v>
      </c>
      <c r="L299" s="11">
        <f t="shared" si="376"/>
        <v>3.7950000000000004</v>
      </c>
      <c r="M299" s="190">
        <v>0.15</v>
      </c>
      <c r="N299" s="14">
        <f t="shared" si="391"/>
        <v>0.4</v>
      </c>
      <c r="O299" s="14">
        <f t="shared" si="392"/>
        <v>1.6600000000000001</v>
      </c>
      <c r="P299" s="190">
        <v>0.125</v>
      </c>
      <c r="Q299" s="14">
        <f t="shared" si="377"/>
        <v>0.42500000000000004</v>
      </c>
      <c r="R299" s="14">
        <f t="shared" si="378"/>
        <v>1.7637500000000004</v>
      </c>
      <c r="S299" s="14">
        <v>0.45</v>
      </c>
      <c r="T299" s="14"/>
      <c r="U299" s="191">
        <f t="shared" si="394"/>
        <v>0.37125000000000002</v>
      </c>
      <c r="V299" s="14"/>
      <c r="W299" s="14"/>
      <c r="X299" s="14"/>
      <c r="Y299" s="14"/>
      <c r="Z299" s="14"/>
      <c r="AA299" s="14"/>
      <c r="AB299" s="14">
        <f t="shared" si="393"/>
        <v>0</v>
      </c>
      <c r="AC299" s="14"/>
      <c r="AE299" s="11"/>
      <c r="AG299" s="52">
        <f t="shared" si="381"/>
        <v>4.625</v>
      </c>
      <c r="AH299" s="52">
        <f t="shared" si="382"/>
        <v>0</v>
      </c>
      <c r="AI299" s="193">
        <f t="shared" si="383"/>
        <v>0</v>
      </c>
      <c r="AJ299" s="194">
        <f t="shared" si="384"/>
        <v>0</v>
      </c>
      <c r="AK299" s="195">
        <f t="shared" si="385"/>
        <v>4.625</v>
      </c>
      <c r="AL299" s="196">
        <f t="shared" si="386"/>
        <v>0</v>
      </c>
      <c r="AM299" s="52">
        <f t="shared" si="387"/>
        <v>0</v>
      </c>
      <c r="AN299" s="52">
        <f t="shared" si="388"/>
        <v>0</v>
      </c>
      <c r="AO299" s="52">
        <f t="shared" si="389"/>
        <v>4.1500000000000004</v>
      </c>
      <c r="AP299" s="52">
        <f t="shared" si="390"/>
        <v>0</v>
      </c>
    </row>
    <row r="300" spans="1:42" ht="20.100000000000001" customHeight="1" x14ac:dyDescent="0.25">
      <c r="A300" s="129"/>
      <c r="B300" s="182" t="s">
        <v>87</v>
      </c>
      <c r="C300" s="183"/>
      <c r="E300" s="189" t="s">
        <v>358</v>
      </c>
      <c r="F300" s="14">
        <v>1</v>
      </c>
      <c r="G300" s="14">
        <v>1.5</v>
      </c>
      <c r="H300" s="14">
        <v>0.2</v>
      </c>
      <c r="I300" s="14">
        <v>0.45</v>
      </c>
      <c r="J300" s="11">
        <f t="shared" si="374"/>
        <v>0.13500000000000004</v>
      </c>
      <c r="K300" s="11">
        <f t="shared" si="375"/>
        <v>0.30000000000000004</v>
      </c>
      <c r="L300" s="11">
        <f t="shared" si="376"/>
        <v>0.97500000000000009</v>
      </c>
      <c r="M300" s="190">
        <v>0.125</v>
      </c>
      <c r="N300" s="14">
        <f t="shared" si="391"/>
        <v>0.32500000000000001</v>
      </c>
      <c r="O300" s="14">
        <f t="shared" si="392"/>
        <v>0.48750000000000004</v>
      </c>
      <c r="P300" s="190">
        <v>0.125</v>
      </c>
      <c r="Q300" s="14">
        <f t="shared" si="377"/>
        <v>0.32500000000000001</v>
      </c>
      <c r="R300" s="14">
        <f t="shared" si="378"/>
        <v>0.48750000000000004</v>
      </c>
      <c r="S300" s="14"/>
      <c r="T300" s="14"/>
      <c r="U300" s="191">
        <f t="shared" si="394"/>
        <v>0</v>
      </c>
      <c r="V300" s="14"/>
      <c r="W300" s="14"/>
      <c r="X300" s="14"/>
      <c r="Y300" s="14"/>
      <c r="Z300" s="14"/>
      <c r="AA300" s="14"/>
      <c r="AB300" s="14">
        <f t="shared" si="393"/>
        <v>0</v>
      </c>
      <c r="AC300" s="14"/>
      <c r="AE300" s="11"/>
      <c r="AG300" s="52">
        <f t="shared" si="381"/>
        <v>1.2750000000000001</v>
      </c>
      <c r="AH300" s="52">
        <f t="shared" si="382"/>
        <v>0</v>
      </c>
      <c r="AI300" s="193">
        <f t="shared" si="383"/>
        <v>0</v>
      </c>
      <c r="AJ300" s="194">
        <f t="shared" si="384"/>
        <v>0</v>
      </c>
      <c r="AK300" s="195">
        <f t="shared" si="385"/>
        <v>1.2750000000000001</v>
      </c>
      <c r="AL300" s="196">
        <f t="shared" si="386"/>
        <v>0</v>
      </c>
      <c r="AM300" s="52">
        <f t="shared" si="387"/>
        <v>0</v>
      </c>
      <c r="AN300" s="52">
        <f t="shared" si="388"/>
        <v>0</v>
      </c>
      <c r="AO300" s="52">
        <f t="shared" si="389"/>
        <v>1.5</v>
      </c>
      <c r="AP300" s="52">
        <f t="shared" si="390"/>
        <v>0</v>
      </c>
    </row>
    <row r="301" spans="1:42" ht="20.100000000000001" customHeight="1" x14ac:dyDescent="0.25">
      <c r="A301" s="129"/>
      <c r="B301" s="182" t="s">
        <v>87</v>
      </c>
      <c r="C301" s="183"/>
      <c r="E301" s="189" t="s">
        <v>359</v>
      </c>
      <c r="F301" s="14">
        <v>1</v>
      </c>
      <c r="G301" s="14">
        <v>9.15</v>
      </c>
      <c r="H301" s="14">
        <v>0.2</v>
      </c>
      <c r="I301" s="14">
        <v>0.7</v>
      </c>
      <c r="J301" s="11">
        <f t="shared" si="374"/>
        <v>1.2809999999999999</v>
      </c>
      <c r="K301" s="11">
        <f t="shared" si="375"/>
        <v>1.83</v>
      </c>
      <c r="L301" s="11">
        <f t="shared" si="376"/>
        <v>12.06</v>
      </c>
      <c r="M301" s="190">
        <v>0.125</v>
      </c>
      <c r="N301" s="14">
        <f t="shared" si="391"/>
        <v>0.57499999999999996</v>
      </c>
      <c r="O301" s="14">
        <f t="shared" si="392"/>
        <v>5.2612499999999995</v>
      </c>
      <c r="P301" s="190"/>
      <c r="Q301" s="14">
        <f t="shared" si="377"/>
        <v>0.7</v>
      </c>
      <c r="R301" s="14">
        <f t="shared" si="378"/>
        <v>6.4050000000000002</v>
      </c>
      <c r="S301" s="14">
        <v>0.45</v>
      </c>
      <c r="T301" s="14"/>
      <c r="U301" s="191">
        <f t="shared" si="394"/>
        <v>0.57374999999999998</v>
      </c>
      <c r="V301" s="14" t="s">
        <v>324</v>
      </c>
      <c r="W301" s="14" t="s">
        <v>312</v>
      </c>
      <c r="X301" s="14"/>
      <c r="Y301" s="14"/>
      <c r="Z301" s="14"/>
      <c r="AA301" s="14"/>
      <c r="AB301" s="14">
        <f t="shared" si="393"/>
        <v>0.18000000000000002</v>
      </c>
      <c r="AC301" s="14"/>
      <c r="AE301" s="11"/>
      <c r="AG301" s="52">
        <f t="shared" si="381"/>
        <v>13.89</v>
      </c>
      <c r="AH301" s="52">
        <f t="shared" si="382"/>
        <v>0</v>
      </c>
      <c r="AI301" s="193">
        <f t="shared" si="383"/>
        <v>13.89</v>
      </c>
      <c r="AJ301" s="194">
        <f t="shared" si="384"/>
        <v>0</v>
      </c>
      <c r="AK301" s="195">
        <f t="shared" si="385"/>
        <v>0</v>
      </c>
      <c r="AL301" s="196">
        <f t="shared" si="386"/>
        <v>0</v>
      </c>
      <c r="AM301" s="52">
        <f t="shared" si="387"/>
        <v>9.15</v>
      </c>
      <c r="AN301" s="52">
        <f t="shared" si="388"/>
        <v>0</v>
      </c>
      <c r="AO301" s="52">
        <f t="shared" si="389"/>
        <v>0</v>
      </c>
      <c r="AP301" s="52">
        <f t="shared" si="390"/>
        <v>0</v>
      </c>
    </row>
    <row r="302" spans="1:42" ht="20.100000000000001" customHeight="1" x14ac:dyDescent="0.25">
      <c r="A302" s="129"/>
      <c r="B302" s="182" t="s">
        <v>87</v>
      </c>
      <c r="C302" s="183"/>
      <c r="E302" s="189" t="s">
        <v>360</v>
      </c>
      <c r="F302" s="14">
        <v>0</v>
      </c>
      <c r="G302" s="14"/>
      <c r="H302" s="14"/>
      <c r="I302" s="14"/>
      <c r="J302" s="11">
        <f t="shared" si="374"/>
        <v>0</v>
      </c>
      <c r="K302" s="11">
        <f t="shared" si="375"/>
        <v>0</v>
      </c>
      <c r="L302" s="11">
        <f t="shared" si="376"/>
        <v>0</v>
      </c>
      <c r="M302" s="190"/>
      <c r="N302" s="14">
        <f t="shared" si="391"/>
        <v>0</v>
      </c>
      <c r="O302" s="14">
        <f t="shared" si="392"/>
        <v>0</v>
      </c>
      <c r="P302" s="190"/>
      <c r="Q302" s="14">
        <f t="shared" si="377"/>
        <v>0</v>
      </c>
      <c r="R302" s="14">
        <f t="shared" si="378"/>
        <v>0</v>
      </c>
      <c r="S302" s="14"/>
      <c r="T302" s="14"/>
      <c r="U302" s="191">
        <f t="shared" si="394"/>
        <v>0</v>
      </c>
      <c r="V302" s="14"/>
      <c r="W302" s="14"/>
      <c r="X302" s="14"/>
      <c r="Y302" s="14"/>
      <c r="Z302" s="14"/>
      <c r="AA302" s="14"/>
      <c r="AB302" s="14">
        <f t="shared" si="393"/>
        <v>0</v>
      </c>
      <c r="AC302" s="14"/>
      <c r="AE302" s="11"/>
      <c r="AG302" s="52">
        <f t="shared" si="381"/>
        <v>0</v>
      </c>
      <c r="AH302" s="52">
        <f t="shared" si="382"/>
        <v>0</v>
      </c>
      <c r="AI302" s="193">
        <f t="shared" si="383"/>
        <v>0</v>
      </c>
      <c r="AJ302" s="194">
        <f t="shared" si="384"/>
        <v>0</v>
      </c>
      <c r="AK302" s="195">
        <f t="shared" si="385"/>
        <v>0</v>
      </c>
      <c r="AL302" s="196">
        <f t="shared" si="386"/>
        <v>0</v>
      </c>
      <c r="AM302" s="52">
        <f t="shared" si="387"/>
        <v>0</v>
      </c>
      <c r="AN302" s="52">
        <f t="shared" si="388"/>
        <v>0</v>
      </c>
      <c r="AO302" s="52">
        <f t="shared" si="389"/>
        <v>0</v>
      </c>
      <c r="AP302" s="52">
        <f t="shared" si="390"/>
        <v>0</v>
      </c>
    </row>
    <row r="303" spans="1:42" ht="20.100000000000001" customHeight="1" x14ac:dyDescent="0.25">
      <c r="A303" s="129"/>
      <c r="B303" s="182" t="s">
        <v>87</v>
      </c>
      <c r="C303" s="183"/>
      <c r="E303" s="189" t="s">
        <v>361</v>
      </c>
      <c r="F303" s="14">
        <v>1</v>
      </c>
      <c r="G303" s="14">
        <v>3.641</v>
      </c>
      <c r="H303" s="14">
        <v>0.2</v>
      </c>
      <c r="I303" s="14">
        <v>1.05</v>
      </c>
      <c r="J303" s="11">
        <f t="shared" si="374"/>
        <v>0.76461000000000012</v>
      </c>
      <c r="K303" s="11">
        <f t="shared" si="375"/>
        <v>0.72820000000000007</v>
      </c>
      <c r="L303" s="11">
        <f t="shared" si="376"/>
        <v>7.0109750000000002</v>
      </c>
      <c r="M303" s="190">
        <v>0.125</v>
      </c>
      <c r="N303" s="14">
        <f t="shared" si="391"/>
        <v>0.92500000000000004</v>
      </c>
      <c r="O303" s="14">
        <f t="shared" si="392"/>
        <v>3.3679250000000001</v>
      </c>
      <c r="P303" s="190"/>
      <c r="Q303" s="14">
        <f t="shared" si="377"/>
        <v>1.05</v>
      </c>
      <c r="R303" s="14">
        <f t="shared" si="378"/>
        <v>3.8230500000000003</v>
      </c>
      <c r="S303" s="14"/>
      <c r="T303" s="14"/>
      <c r="U303" s="191">
        <f t="shared" si="394"/>
        <v>0</v>
      </c>
      <c r="V303" s="14" t="s">
        <v>302</v>
      </c>
      <c r="W303" s="14" t="s">
        <v>297</v>
      </c>
      <c r="X303" s="14"/>
      <c r="Y303" s="14"/>
      <c r="Z303" s="14"/>
      <c r="AA303" s="14"/>
      <c r="AB303" s="14">
        <f t="shared" si="393"/>
        <v>0.18000000000000002</v>
      </c>
      <c r="AC303" s="14"/>
      <c r="AE303" s="11"/>
      <c r="AG303" s="52">
        <f t="shared" si="381"/>
        <v>0</v>
      </c>
      <c r="AH303" s="52">
        <f t="shared" si="382"/>
        <v>7.7391750000000004</v>
      </c>
      <c r="AI303" s="193">
        <f t="shared" si="383"/>
        <v>0</v>
      </c>
      <c r="AJ303" s="194">
        <f t="shared" si="384"/>
        <v>7.7391750000000004</v>
      </c>
      <c r="AK303" s="195">
        <f t="shared" si="385"/>
        <v>0</v>
      </c>
      <c r="AL303" s="196">
        <f t="shared" si="386"/>
        <v>0</v>
      </c>
      <c r="AM303" s="52">
        <f t="shared" si="387"/>
        <v>0</v>
      </c>
      <c r="AN303" s="52">
        <f t="shared" si="388"/>
        <v>3.641</v>
      </c>
      <c r="AO303" s="52">
        <f t="shared" si="389"/>
        <v>0</v>
      </c>
      <c r="AP303" s="52">
        <f t="shared" si="390"/>
        <v>0</v>
      </c>
    </row>
    <row r="304" spans="1:42" ht="20.100000000000001" customHeight="1" x14ac:dyDescent="0.25">
      <c r="A304" s="129"/>
      <c r="B304" s="182" t="s">
        <v>87</v>
      </c>
      <c r="C304" s="183"/>
      <c r="E304" s="189" t="s">
        <v>362</v>
      </c>
      <c r="F304" s="14">
        <v>1</v>
      </c>
      <c r="G304" s="14">
        <v>6.15</v>
      </c>
      <c r="H304" s="14">
        <v>0.2</v>
      </c>
      <c r="I304" s="14">
        <v>0.7</v>
      </c>
      <c r="J304" s="11">
        <f t="shared" si="374"/>
        <v>0.8610000000000001</v>
      </c>
      <c r="K304" s="11">
        <f t="shared" si="375"/>
        <v>1.2300000000000002</v>
      </c>
      <c r="L304" s="11">
        <f t="shared" si="376"/>
        <v>7.7512499999999998</v>
      </c>
      <c r="M304" s="190">
        <v>0.125</v>
      </c>
      <c r="N304" s="14">
        <f t="shared" si="391"/>
        <v>0.57499999999999996</v>
      </c>
      <c r="O304" s="14">
        <f t="shared" si="392"/>
        <v>3.5362499999999999</v>
      </c>
      <c r="P304" s="190"/>
      <c r="Q304" s="14">
        <f t="shared" si="377"/>
        <v>0.7</v>
      </c>
      <c r="R304" s="14">
        <f t="shared" si="378"/>
        <v>4.3049999999999997</v>
      </c>
      <c r="S304" s="14"/>
      <c r="T304" s="14"/>
      <c r="U304" s="191">
        <f t="shared" si="394"/>
        <v>0</v>
      </c>
      <c r="V304" s="14" t="s">
        <v>280</v>
      </c>
      <c r="W304" s="14"/>
      <c r="X304" s="14"/>
      <c r="Y304" s="14"/>
      <c r="Z304" s="14"/>
      <c r="AA304" s="14"/>
      <c r="AB304" s="14">
        <f t="shared" si="393"/>
        <v>9.0000000000000011E-2</v>
      </c>
      <c r="AC304" s="14"/>
      <c r="AE304" s="11"/>
      <c r="AG304" s="52">
        <f t="shared" si="381"/>
        <v>8.9812499999999993</v>
      </c>
      <c r="AH304" s="52">
        <f t="shared" si="382"/>
        <v>0</v>
      </c>
      <c r="AI304" s="193">
        <f t="shared" si="383"/>
        <v>8.9812499999999993</v>
      </c>
      <c r="AJ304" s="194">
        <f t="shared" si="384"/>
        <v>0</v>
      </c>
      <c r="AK304" s="195">
        <f t="shared" si="385"/>
        <v>0</v>
      </c>
      <c r="AL304" s="196">
        <f t="shared" si="386"/>
        <v>0</v>
      </c>
      <c r="AM304" s="52">
        <f t="shared" si="387"/>
        <v>6.15</v>
      </c>
      <c r="AN304" s="52">
        <f t="shared" si="388"/>
        <v>0</v>
      </c>
      <c r="AO304" s="52">
        <f t="shared" si="389"/>
        <v>0</v>
      </c>
      <c r="AP304" s="52">
        <f t="shared" si="390"/>
        <v>0</v>
      </c>
    </row>
    <row r="305" spans="1:42" ht="20.100000000000001" customHeight="1" x14ac:dyDescent="0.25">
      <c r="A305" s="129"/>
      <c r="B305" s="182" t="s">
        <v>87</v>
      </c>
      <c r="C305" s="183"/>
      <c r="E305" s="189" t="s">
        <v>363</v>
      </c>
      <c r="F305" s="14">
        <v>0</v>
      </c>
      <c r="G305" s="14"/>
      <c r="H305" s="14"/>
      <c r="I305" s="14"/>
      <c r="J305" s="11">
        <f t="shared" si="374"/>
        <v>0</v>
      </c>
      <c r="K305" s="11">
        <f t="shared" si="375"/>
        <v>0</v>
      </c>
      <c r="L305" s="11">
        <f t="shared" si="376"/>
        <v>0</v>
      </c>
      <c r="M305" s="190"/>
      <c r="N305" s="14">
        <f t="shared" si="391"/>
        <v>0</v>
      </c>
      <c r="O305" s="14">
        <f t="shared" si="392"/>
        <v>0</v>
      </c>
      <c r="P305" s="190"/>
      <c r="Q305" s="14">
        <f t="shared" si="377"/>
        <v>0</v>
      </c>
      <c r="R305" s="14">
        <f t="shared" si="378"/>
        <v>0</v>
      </c>
      <c r="S305" s="14"/>
      <c r="T305" s="14"/>
      <c r="U305" s="191">
        <f t="shared" si="394"/>
        <v>0</v>
      </c>
      <c r="V305" s="14"/>
      <c r="W305" s="14"/>
      <c r="X305" s="14"/>
      <c r="Y305" s="14"/>
      <c r="Z305" s="14"/>
      <c r="AA305" s="14"/>
      <c r="AB305" s="14">
        <f t="shared" si="393"/>
        <v>0</v>
      </c>
      <c r="AC305" s="14"/>
      <c r="AE305" s="11"/>
      <c r="AG305" s="52">
        <f t="shared" si="381"/>
        <v>0</v>
      </c>
      <c r="AH305" s="52">
        <f t="shared" si="382"/>
        <v>0</v>
      </c>
      <c r="AI305" s="193">
        <f t="shared" si="383"/>
        <v>0</v>
      </c>
      <c r="AJ305" s="194">
        <f t="shared" si="384"/>
        <v>0</v>
      </c>
      <c r="AK305" s="195">
        <f t="shared" si="385"/>
        <v>0</v>
      </c>
      <c r="AL305" s="196">
        <f t="shared" si="386"/>
        <v>0</v>
      </c>
      <c r="AM305" s="52">
        <f t="shared" si="387"/>
        <v>0</v>
      </c>
      <c r="AN305" s="52">
        <f t="shared" si="388"/>
        <v>0</v>
      </c>
      <c r="AO305" s="52">
        <f t="shared" si="389"/>
        <v>0</v>
      </c>
      <c r="AP305" s="52">
        <f t="shared" si="390"/>
        <v>0</v>
      </c>
    </row>
    <row r="306" spans="1:42" s="207" customFormat="1" ht="20.100000000000001" customHeight="1" x14ac:dyDescent="0.25">
      <c r="A306" s="197"/>
      <c r="B306" s="182" t="s">
        <v>87</v>
      </c>
      <c r="C306" s="182"/>
      <c r="D306" s="198"/>
      <c r="E306" s="189"/>
      <c r="F306" s="199">
        <f>SUM(F215:F305)</f>
        <v>65</v>
      </c>
      <c r="G306" s="199">
        <f>SUM(G215:G305)</f>
        <v>201.708</v>
      </c>
      <c r="H306" s="200">
        <f>IFERROR(AVERAGE(H215:H305),0)</f>
        <v>0.19538461538461521</v>
      </c>
      <c r="I306" s="200">
        <f>IFERROR(AVERAGE(I215:I305),0)</f>
        <v>0.50230769230769201</v>
      </c>
      <c r="J306" s="199">
        <f>SUM(J215:J305)</f>
        <v>22.048515000000002</v>
      </c>
      <c r="K306" s="199">
        <f>SUM(K215:K305)</f>
        <v>40.149100000000004</v>
      </c>
      <c r="L306" s="199">
        <f>SUM(L215:L305)</f>
        <v>186.50054999999992</v>
      </c>
      <c r="M306" s="200">
        <f>IFERROR(AVERAGE(M215:M305),0)</f>
        <v>0.13000000000000003</v>
      </c>
      <c r="N306" s="200">
        <f>IFERROR(AVERAGE(N215:N305),0)</f>
        <v>0.29156626506024075</v>
      </c>
      <c r="O306" s="199">
        <f>SUM(O215:O305)</f>
        <v>84.26994999999998</v>
      </c>
      <c r="P306" s="200">
        <f>IFERROR(AVERAGE(P215:P305),0)</f>
        <v>0.1305</v>
      </c>
      <c r="Q306" s="200">
        <f>IFERROR(AVERAGE(Q215:Q305),0)</f>
        <v>0.28708791208791185</v>
      </c>
      <c r="R306" s="199">
        <f>SUM(R215:R305)</f>
        <v>93.929349999999971</v>
      </c>
      <c r="S306" s="199">
        <f>SUM(S215:S305)</f>
        <v>12.049999999999995</v>
      </c>
      <c r="T306" s="199">
        <f>SUM(T215:T305)</f>
        <v>1.35</v>
      </c>
      <c r="U306" s="199">
        <f>SUM(U215:U305)</f>
        <v>10.758750000000003</v>
      </c>
      <c r="V306" s="201"/>
      <c r="W306" s="201"/>
      <c r="X306" s="201"/>
      <c r="Y306" s="201"/>
      <c r="Z306" s="201"/>
      <c r="AA306" s="201"/>
      <c r="AB306" s="199">
        <f>SUM(AB215:AB305)</f>
        <v>2.4575000000000005</v>
      </c>
      <c r="AC306" s="199"/>
      <c r="AD306" s="202"/>
      <c r="AE306" s="199"/>
      <c r="AF306" s="203"/>
      <c r="AG306" s="199">
        <f t="shared" ref="AG306:AP306" si="395">SUM(AG215:AG305)</f>
        <v>218.91047500000002</v>
      </c>
      <c r="AH306" s="204">
        <f t="shared" si="395"/>
        <v>7.7391750000000004</v>
      </c>
      <c r="AI306" s="205">
        <f t="shared" si="395"/>
        <v>101.54425000000001</v>
      </c>
      <c r="AJ306" s="206">
        <f t="shared" si="395"/>
        <v>7.7391750000000004</v>
      </c>
      <c r="AK306" s="205">
        <f t="shared" si="395"/>
        <v>117.36622500000006</v>
      </c>
      <c r="AL306" s="206">
        <f t="shared" si="395"/>
        <v>0</v>
      </c>
      <c r="AM306" s="206">
        <f t="shared" si="395"/>
        <v>69.98</v>
      </c>
      <c r="AN306" s="206">
        <f t="shared" si="395"/>
        <v>3.641</v>
      </c>
      <c r="AO306" s="206">
        <f t="shared" si="395"/>
        <v>128.08699999999999</v>
      </c>
      <c r="AP306" s="206">
        <f t="shared" si="395"/>
        <v>0</v>
      </c>
    </row>
    <row r="309" spans="1:42" s="84" customFormat="1" ht="29.25" customHeight="1" x14ac:dyDescent="0.25">
      <c r="A309" s="83" t="s">
        <v>96</v>
      </c>
      <c r="B309" s="83"/>
      <c r="C309" s="85"/>
      <c r="D309" s="83" t="s">
        <v>68</v>
      </c>
      <c r="E309" s="83" t="s">
        <v>69</v>
      </c>
      <c r="F309" s="86" t="s">
        <v>2</v>
      </c>
      <c r="G309" s="86" t="s">
        <v>3</v>
      </c>
      <c r="H309" s="86" t="s">
        <v>4</v>
      </c>
      <c r="I309" s="86" t="s">
        <v>5</v>
      </c>
      <c r="J309" s="86" t="s">
        <v>70</v>
      </c>
      <c r="K309" s="87" t="s">
        <v>71</v>
      </c>
      <c r="L309" s="88" t="s">
        <v>72</v>
      </c>
      <c r="M309" s="89" t="s">
        <v>73</v>
      </c>
      <c r="N309" s="87" t="s">
        <v>74</v>
      </c>
      <c r="O309" s="90" t="s">
        <v>75</v>
      </c>
      <c r="P309" s="89" t="s">
        <v>73</v>
      </c>
      <c r="Q309" s="87" t="s">
        <v>74</v>
      </c>
      <c r="R309" s="91" t="s">
        <v>75</v>
      </c>
      <c r="S309" s="91" t="s">
        <v>76</v>
      </c>
      <c r="T309" s="91" t="s">
        <v>77</v>
      </c>
      <c r="U309" s="91" t="s">
        <v>78</v>
      </c>
      <c r="V309" s="91" t="s">
        <v>97</v>
      </c>
      <c r="W309" s="91" t="s">
        <v>97</v>
      </c>
      <c r="X309" s="91" t="s">
        <v>97</v>
      </c>
      <c r="Y309" s="91" t="s">
        <v>97</v>
      </c>
      <c r="Z309" s="91" t="s">
        <v>97</v>
      </c>
      <c r="AA309" s="91" t="s">
        <v>97</v>
      </c>
      <c r="AB309" s="91" t="s">
        <v>81</v>
      </c>
      <c r="AC309" s="91"/>
      <c r="AD309" s="91"/>
      <c r="AE309" s="91" t="s">
        <v>82</v>
      </c>
      <c r="AF309" s="92" t="s">
        <v>82</v>
      </c>
      <c r="AI309" s="93"/>
    </row>
    <row r="310" spans="1:42" s="94" customFormat="1" ht="20.100000000000001" customHeight="1" x14ac:dyDescent="0.25">
      <c r="A310" s="181"/>
      <c r="B310" s="182" t="s">
        <v>367</v>
      </c>
      <c r="C310" s="183"/>
      <c r="D310" s="182"/>
      <c r="E310" s="182"/>
      <c r="F310" s="184"/>
      <c r="G310" s="184"/>
      <c r="H310" s="184"/>
      <c r="I310" s="184"/>
      <c r="J310" s="184"/>
      <c r="K310" s="184"/>
      <c r="L310" s="184"/>
      <c r="M310" s="185"/>
      <c r="N310" s="182"/>
      <c r="O310" s="182"/>
      <c r="P310" s="185"/>
      <c r="Q310" s="182"/>
      <c r="R310" s="182"/>
      <c r="S310" s="182"/>
      <c r="T310" s="182"/>
      <c r="U310" s="182"/>
      <c r="V310" s="182"/>
      <c r="W310" s="182"/>
      <c r="X310" s="182"/>
      <c r="Y310" s="182"/>
      <c r="Z310" s="182"/>
      <c r="AA310" s="182"/>
      <c r="AB310" s="182"/>
      <c r="AC310" s="182"/>
      <c r="AD310" s="182"/>
      <c r="AE310" s="184"/>
      <c r="AF310" s="186"/>
      <c r="AG310" s="187" t="s">
        <v>98</v>
      </c>
      <c r="AH310" s="187" t="s">
        <v>99</v>
      </c>
      <c r="AI310" s="187" t="s">
        <v>98</v>
      </c>
      <c r="AJ310" s="187" t="s">
        <v>99</v>
      </c>
      <c r="AK310" s="187" t="s">
        <v>98</v>
      </c>
      <c r="AL310" s="187" t="s">
        <v>99</v>
      </c>
      <c r="AM310" s="187" t="s">
        <v>98</v>
      </c>
      <c r="AN310" s="187" t="s">
        <v>99</v>
      </c>
      <c r="AO310" s="187" t="s">
        <v>98</v>
      </c>
      <c r="AP310" s="187" t="s">
        <v>99</v>
      </c>
    </row>
    <row r="311" spans="1:42" ht="20.100000000000001" customHeight="1" x14ac:dyDescent="0.25">
      <c r="A311" s="129"/>
      <c r="B311" s="182" t="s">
        <v>367</v>
      </c>
      <c r="C311" s="183"/>
      <c r="E311" s="189" t="s">
        <v>366</v>
      </c>
      <c r="F311" s="14">
        <v>1</v>
      </c>
      <c r="G311" s="14">
        <v>3.15</v>
      </c>
      <c r="H311" s="14">
        <v>0.2</v>
      </c>
      <c r="I311" s="14">
        <v>0.45</v>
      </c>
      <c r="J311" s="11">
        <f>+PRODUCT(F311:I311)</f>
        <v>0.28350000000000003</v>
      </c>
      <c r="K311" s="11">
        <f>PRODUCT(F311,G311,H311)</f>
        <v>0.63</v>
      </c>
      <c r="L311" s="11">
        <f>+O311+R311-AB311+U311</f>
        <v>2.79</v>
      </c>
      <c r="M311" s="190">
        <v>0.125</v>
      </c>
      <c r="N311" s="14">
        <f>+I311-M311</f>
        <v>0.32500000000000001</v>
      </c>
      <c r="O311" s="14">
        <f>+PRODUCT(F311,G311,N311)</f>
        <v>1.0237499999999999</v>
      </c>
      <c r="P311" s="190"/>
      <c r="Q311" s="14">
        <f>+I311-P311</f>
        <v>0.45</v>
      </c>
      <c r="R311" s="14">
        <f>+PRODUCT(F311:G311,Q311)</f>
        <v>1.4175</v>
      </c>
      <c r="S311" s="14">
        <v>0.45</v>
      </c>
      <c r="T311" s="14"/>
      <c r="U311" s="191">
        <f t="shared" ref="U311:U321" si="396">+SUM(S311:T311)*(N311+Q311)/2*2</f>
        <v>0.34875</v>
      </c>
      <c r="V311" s="14"/>
      <c r="W311" s="14"/>
      <c r="X311" s="14"/>
      <c r="Y311" s="14"/>
      <c r="Z311" s="14"/>
      <c r="AA311" s="14"/>
      <c r="AB311" s="14">
        <f t="shared" ref="AB311:AB331" si="397">IFERROR(VLOOKUP(V311,$E$19:$I$625,4,FALSE)*VLOOKUP(V311,$E$19:$I$625,5,FALSE),)+IFERROR(VLOOKUP(W311,$E$19:$I$625,4,FALSE)*VLOOKUP(W311,$E$19:$I$625,5,FALSE),)+IFERROR(VLOOKUP(X311,$E$19:$I$625,4,FALSE)*VLOOKUP(X311,$E$19:$I$625,5,FALSE),)+IFERROR(VLOOKUP(Y311,$E$19:$I$625,4,FALSE)*VLOOKUP(Y311,$E$19:$I$625,5,FALSE),)+IFERROR(VLOOKUP(Z311,$E$19:$I$625,4,FALSE)*VLOOKUP(Z311,$E$19:$I$625,5,FALSE),)+IFERROR(VLOOKUP(AA311,$E$19:$I$625,4,FALSE)*VLOOKUP(AA311,$E$19:$I$625,5,FALSE),)</f>
        <v>0</v>
      </c>
      <c r="AC311" s="14"/>
      <c r="AE311" s="11"/>
      <c r="AG311" s="52">
        <f>+IF(I311&lt;0.75,(K311+L311),0)</f>
        <v>3.42</v>
      </c>
      <c r="AH311" s="52">
        <f>+IF(I311&lt;0.75,0,(K311+L311))</f>
        <v>0</v>
      </c>
      <c r="AI311" s="193">
        <f>IF(P311=0,(+IF(I311&lt;0.75,(K311+L311),0)),0)</f>
        <v>3.42</v>
      </c>
      <c r="AJ311" s="194">
        <f>IF(P311=0,(+IF(I311&lt;0.75,0,(K311+L311))),0)</f>
        <v>0</v>
      </c>
      <c r="AK311" s="195">
        <f>+AG311-AI311</f>
        <v>0</v>
      </c>
      <c r="AL311" s="196">
        <f>+AH311-AJ311</f>
        <v>0</v>
      </c>
      <c r="AM311" s="52">
        <f>+IF(AI311=0,0,G311)</f>
        <v>3.15</v>
      </c>
      <c r="AN311" s="52">
        <f>+IF(AJ311=0,0,G311)</f>
        <v>0</v>
      </c>
      <c r="AO311" s="52">
        <f>+IF(AK311=0,0,G311)</f>
        <v>0</v>
      </c>
      <c r="AP311" s="52">
        <f>+IF(AL311=0,0,G311)</f>
        <v>0</v>
      </c>
    </row>
    <row r="312" spans="1:42" ht="20.100000000000001" customHeight="1" x14ac:dyDescent="0.25">
      <c r="A312" s="129"/>
      <c r="B312" s="182" t="s">
        <v>367</v>
      </c>
      <c r="C312" s="183"/>
      <c r="E312" s="189" t="s">
        <v>368</v>
      </c>
      <c r="F312" s="14">
        <v>1</v>
      </c>
      <c r="G312" s="14">
        <v>3.4</v>
      </c>
      <c r="H312" s="14">
        <v>0.2</v>
      </c>
      <c r="I312" s="14">
        <v>0.45</v>
      </c>
      <c r="J312" s="11">
        <f t="shared" ref="J312:J321" si="398">+PRODUCT(F312:I312)</f>
        <v>0.30600000000000005</v>
      </c>
      <c r="K312" s="11">
        <f t="shared" ref="K312:K321" si="399">PRODUCT(F312,G312,H312)</f>
        <v>0.68</v>
      </c>
      <c r="L312" s="11">
        <f t="shared" ref="L312:L321" si="400">+O312+R312-AB312+U312</f>
        <v>2.21</v>
      </c>
      <c r="M312" s="190">
        <v>0.125</v>
      </c>
      <c r="N312" s="14">
        <f t="shared" ref="N312:N321" si="401">+I312-M312</f>
        <v>0.32500000000000001</v>
      </c>
      <c r="O312" s="14">
        <f t="shared" ref="O312:O321" si="402">+PRODUCT(F312,G312,N312)</f>
        <v>1.105</v>
      </c>
      <c r="P312" s="190">
        <v>0.125</v>
      </c>
      <c r="Q312" s="14">
        <f t="shared" ref="Q312:Q321" si="403">+I312-P312</f>
        <v>0.32500000000000001</v>
      </c>
      <c r="R312" s="14">
        <f t="shared" ref="R312:R321" si="404">+PRODUCT(F312:G312,Q312)</f>
        <v>1.105</v>
      </c>
      <c r="S312" s="14"/>
      <c r="T312" s="14"/>
      <c r="U312" s="191">
        <f t="shared" si="396"/>
        <v>0</v>
      </c>
      <c r="V312" s="14"/>
      <c r="W312" s="14"/>
      <c r="X312" s="14"/>
      <c r="Y312" s="14"/>
      <c r="Z312" s="14"/>
      <c r="AA312" s="14"/>
      <c r="AB312" s="14">
        <f t="shared" si="397"/>
        <v>0</v>
      </c>
      <c r="AC312" s="14"/>
      <c r="AE312" s="11"/>
      <c r="AG312" s="52">
        <f t="shared" ref="AG312:AG321" si="405">+IF(I312&lt;0.75,(K312+L312),0)</f>
        <v>2.89</v>
      </c>
      <c r="AH312" s="52">
        <f t="shared" ref="AH312:AH321" si="406">+IF(I312&lt;0.75,0,(K312+L312))</f>
        <v>0</v>
      </c>
      <c r="AI312" s="193">
        <f>IF(P312=0,(+IF(I312&lt;0.75,(K312+L312),0)),0)</f>
        <v>0</v>
      </c>
      <c r="AJ312" s="194">
        <f t="shared" ref="AJ312" si="407">IF(P312=0,(+IF(I312&lt;0.75,0,(K312+L312))),0)</f>
        <v>0</v>
      </c>
      <c r="AK312" s="195">
        <f t="shared" ref="AK312:AK316" si="408">+AG312-AI312</f>
        <v>2.89</v>
      </c>
      <c r="AL312" s="196">
        <f t="shared" ref="AL312:AL316" si="409">+AH312-AJ312</f>
        <v>0</v>
      </c>
      <c r="AM312" s="52">
        <f t="shared" ref="AM312:AM321" si="410">+IF(AI312=0,0,G312)</f>
        <v>0</v>
      </c>
      <c r="AN312" s="52">
        <f t="shared" ref="AN312:AN321" si="411">+IF(AJ312=0,0,G312)</f>
        <v>0</v>
      </c>
      <c r="AO312" s="52">
        <f t="shared" ref="AO312:AO321" si="412">+IF(AK312=0,0,G312)</f>
        <v>3.4</v>
      </c>
      <c r="AP312" s="52">
        <f t="shared" ref="AP312:AP321" si="413">+IF(AL312=0,0,G312)</f>
        <v>0</v>
      </c>
    </row>
    <row r="313" spans="1:42" ht="20.100000000000001" customHeight="1" x14ac:dyDescent="0.25">
      <c r="A313" s="129"/>
      <c r="B313" s="182" t="s">
        <v>367</v>
      </c>
      <c r="C313" s="183"/>
      <c r="E313" s="189" t="s">
        <v>369</v>
      </c>
      <c r="F313" s="14">
        <v>1</v>
      </c>
      <c r="G313" s="14">
        <v>1.1499999999999999</v>
      </c>
      <c r="H313" s="14">
        <v>0.2</v>
      </c>
      <c r="I313" s="14">
        <v>0.45</v>
      </c>
      <c r="J313" s="11">
        <f t="shared" si="398"/>
        <v>0.10349999999999999</v>
      </c>
      <c r="K313" s="11">
        <f t="shared" si="399"/>
        <v>0.22999999999999998</v>
      </c>
      <c r="L313" s="11">
        <f t="shared" si="400"/>
        <v>1.395</v>
      </c>
      <c r="M313" s="190">
        <v>0.125</v>
      </c>
      <c r="N313" s="14">
        <f t="shared" si="401"/>
        <v>0.32500000000000001</v>
      </c>
      <c r="O313" s="14">
        <f t="shared" si="402"/>
        <v>0.37374999999999997</v>
      </c>
      <c r="P313" s="190"/>
      <c r="Q313" s="14">
        <f t="shared" si="403"/>
        <v>0.45</v>
      </c>
      <c r="R313" s="14">
        <f t="shared" si="404"/>
        <v>0.51749999999999996</v>
      </c>
      <c r="S313" s="14">
        <v>0.65</v>
      </c>
      <c r="T313" s="14"/>
      <c r="U313" s="191">
        <f t="shared" si="396"/>
        <v>0.50375000000000003</v>
      </c>
      <c r="V313" s="14"/>
      <c r="W313" s="14"/>
      <c r="X313" s="14"/>
      <c r="Y313" s="14"/>
      <c r="Z313" s="14"/>
      <c r="AA313" s="14"/>
      <c r="AB313" s="14">
        <f t="shared" si="397"/>
        <v>0</v>
      </c>
      <c r="AC313" s="14"/>
      <c r="AE313" s="11"/>
      <c r="AG313" s="52">
        <f t="shared" si="405"/>
        <v>1.625</v>
      </c>
      <c r="AH313" s="52">
        <f t="shared" si="406"/>
        <v>0</v>
      </c>
      <c r="AI313" s="193">
        <f t="shared" ref="AI313:AI321" si="414">IF(P313=0,(+IF(I313&lt;0.75,(K313+L313),0)),0)</f>
        <v>1.625</v>
      </c>
      <c r="AJ313" s="194">
        <f>IF(P313=0,(+IF(I313&lt;0.75,0,(K313+L313))),0)</f>
        <v>0</v>
      </c>
      <c r="AK313" s="195">
        <f t="shared" si="408"/>
        <v>0</v>
      </c>
      <c r="AL313" s="196">
        <f t="shared" si="409"/>
        <v>0</v>
      </c>
      <c r="AM313" s="52">
        <f t="shared" si="410"/>
        <v>1.1499999999999999</v>
      </c>
      <c r="AN313" s="52">
        <f t="shared" si="411"/>
        <v>0</v>
      </c>
      <c r="AO313" s="52">
        <f t="shared" si="412"/>
        <v>0</v>
      </c>
      <c r="AP313" s="52">
        <f t="shared" si="413"/>
        <v>0</v>
      </c>
    </row>
    <row r="314" spans="1:42" ht="20.100000000000001" customHeight="1" x14ac:dyDescent="0.25">
      <c r="A314" s="129"/>
      <c r="B314" s="182" t="s">
        <v>367</v>
      </c>
      <c r="C314" s="183"/>
      <c r="E314" s="189" t="s">
        <v>370</v>
      </c>
      <c r="F314" s="14">
        <v>1</v>
      </c>
      <c r="G314" s="14">
        <v>0.55000000000000004</v>
      </c>
      <c r="H314" s="14">
        <v>0.2</v>
      </c>
      <c r="I314" s="14">
        <v>0.45</v>
      </c>
      <c r="J314" s="11">
        <f t="shared" si="398"/>
        <v>4.9500000000000009E-2</v>
      </c>
      <c r="K314" s="11">
        <f t="shared" si="399"/>
        <v>0.11000000000000001</v>
      </c>
      <c r="L314" s="11">
        <f t="shared" si="400"/>
        <v>0.33624999999999999</v>
      </c>
      <c r="M314" s="190">
        <v>0.125</v>
      </c>
      <c r="N314" s="14">
        <f t="shared" si="401"/>
        <v>0.32500000000000001</v>
      </c>
      <c r="O314" s="14">
        <f t="shared" si="402"/>
        <v>0.17875000000000002</v>
      </c>
      <c r="P314" s="190"/>
      <c r="Q314" s="14">
        <f t="shared" si="403"/>
        <v>0.45</v>
      </c>
      <c r="R314" s="14">
        <f t="shared" si="404"/>
        <v>0.24750000000000003</v>
      </c>
      <c r="S314" s="14"/>
      <c r="T314" s="14"/>
      <c r="U314" s="191">
        <f t="shared" si="396"/>
        <v>0</v>
      </c>
      <c r="V314" s="14"/>
      <c r="W314" s="14" t="s">
        <v>377</v>
      </c>
      <c r="X314" s="14"/>
      <c r="Y314" s="14"/>
      <c r="Z314" s="14"/>
      <c r="AA314" s="14"/>
      <c r="AB314" s="14">
        <f t="shared" si="397"/>
        <v>9.0000000000000011E-2</v>
      </c>
      <c r="AC314" s="14"/>
      <c r="AE314" s="11"/>
      <c r="AG314" s="52">
        <f t="shared" si="405"/>
        <v>0.44625000000000004</v>
      </c>
      <c r="AH314" s="52">
        <f t="shared" si="406"/>
        <v>0</v>
      </c>
      <c r="AI314" s="193">
        <f t="shared" si="414"/>
        <v>0.44625000000000004</v>
      </c>
      <c r="AJ314" s="194">
        <f t="shared" ref="AJ314:AJ321" si="415">IF(P314=0,(+IF(I314&lt;0.75,0,(K314+L314))),0)</f>
        <v>0</v>
      </c>
      <c r="AK314" s="195">
        <f t="shared" si="408"/>
        <v>0</v>
      </c>
      <c r="AL314" s="196">
        <f t="shared" si="409"/>
        <v>0</v>
      </c>
      <c r="AM314" s="52">
        <f t="shared" si="410"/>
        <v>0.55000000000000004</v>
      </c>
      <c r="AN314" s="52">
        <f t="shared" si="411"/>
        <v>0</v>
      </c>
      <c r="AO314" s="52">
        <f t="shared" si="412"/>
        <v>0</v>
      </c>
      <c r="AP314" s="52">
        <f t="shared" si="413"/>
        <v>0</v>
      </c>
    </row>
    <row r="315" spans="1:42" ht="20.100000000000001" customHeight="1" x14ac:dyDescent="0.25">
      <c r="A315" s="129"/>
      <c r="B315" s="182" t="s">
        <v>367</v>
      </c>
      <c r="C315" s="183"/>
      <c r="E315" s="189" t="s">
        <v>371</v>
      </c>
      <c r="F315" s="14">
        <v>1</v>
      </c>
      <c r="G315" s="14">
        <v>6.15</v>
      </c>
      <c r="H315" s="14">
        <v>0.2</v>
      </c>
      <c r="I315" s="14">
        <v>0.45</v>
      </c>
      <c r="J315" s="11">
        <f t="shared" si="398"/>
        <v>0.5535000000000001</v>
      </c>
      <c r="K315" s="11">
        <f t="shared" si="399"/>
        <v>1.2300000000000002</v>
      </c>
      <c r="L315" s="11">
        <f t="shared" si="400"/>
        <v>4.40625</v>
      </c>
      <c r="M315" s="190">
        <v>0.125</v>
      </c>
      <c r="N315" s="14">
        <f t="shared" si="401"/>
        <v>0.32500000000000001</v>
      </c>
      <c r="O315" s="14">
        <f t="shared" si="402"/>
        <v>1.9987500000000002</v>
      </c>
      <c r="P315" s="190"/>
      <c r="Q315" s="14">
        <f t="shared" si="403"/>
        <v>0.45</v>
      </c>
      <c r="R315" s="14">
        <f t="shared" si="404"/>
        <v>2.7675000000000001</v>
      </c>
      <c r="S315" s="14"/>
      <c r="T315" s="14"/>
      <c r="U315" s="191">
        <f t="shared" si="396"/>
        <v>0</v>
      </c>
      <c r="V315" s="14" t="s">
        <v>372</v>
      </c>
      <c r="W315" s="14" t="s">
        <v>374</v>
      </c>
      <c r="X315" s="14" t="s">
        <v>376</v>
      </c>
      <c r="Y315" s="14" t="s">
        <v>377</v>
      </c>
      <c r="Z315" s="14"/>
      <c r="AA315" s="14"/>
      <c r="AB315" s="14">
        <f t="shared" si="397"/>
        <v>0.36000000000000004</v>
      </c>
      <c r="AC315" s="14"/>
      <c r="AE315" s="11"/>
      <c r="AG315" s="52">
        <f t="shared" si="405"/>
        <v>5.6362500000000004</v>
      </c>
      <c r="AH315" s="52">
        <f t="shared" si="406"/>
        <v>0</v>
      </c>
      <c r="AI315" s="193">
        <f t="shared" si="414"/>
        <v>5.6362500000000004</v>
      </c>
      <c r="AJ315" s="194">
        <f t="shared" si="415"/>
        <v>0</v>
      </c>
      <c r="AK315" s="195">
        <f t="shared" si="408"/>
        <v>0</v>
      </c>
      <c r="AL315" s="196">
        <f t="shared" si="409"/>
        <v>0</v>
      </c>
      <c r="AM315" s="52">
        <f t="shared" si="410"/>
        <v>6.15</v>
      </c>
      <c r="AN315" s="52">
        <f t="shared" si="411"/>
        <v>0</v>
      </c>
      <c r="AO315" s="52">
        <f t="shared" si="412"/>
        <v>0</v>
      </c>
      <c r="AP315" s="52">
        <f t="shared" si="413"/>
        <v>0</v>
      </c>
    </row>
    <row r="316" spans="1:42" ht="20.100000000000001" customHeight="1" x14ac:dyDescent="0.25">
      <c r="A316" s="129"/>
      <c r="B316" s="182" t="s">
        <v>367</v>
      </c>
      <c r="C316" s="183"/>
      <c r="E316" s="189" t="s">
        <v>372</v>
      </c>
      <c r="F316" s="14">
        <v>1</v>
      </c>
      <c r="G316" s="14">
        <v>1.8</v>
      </c>
      <c r="H316" s="14">
        <v>0.2</v>
      </c>
      <c r="I316" s="14">
        <v>0.45</v>
      </c>
      <c r="J316" s="11">
        <f t="shared" si="398"/>
        <v>0.16200000000000003</v>
      </c>
      <c r="K316" s="11">
        <f t="shared" si="399"/>
        <v>0.36000000000000004</v>
      </c>
      <c r="L316" s="11">
        <f t="shared" si="400"/>
        <v>1.7437499999999999</v>
      </c>
      <c r="M316" s="190">
        <v>0.125</v>
      </c>
      <c r="N316" s="14">
        <f t="shared" si="401"/>
        <v>0.32500000000000001</v>
      </c>
      <c r="O316" s="14">
        <f t="shared" si="402"/>
        <v>0.58500000000000008</v>
      </c>
      <c r="P316" s="190"/>
      <c r="Q316" s="14">
        <f t="shared" si="403"/>
        <v>0.45</v>
      </c>
      <c r="R316" s="14">
        <f t="shared" si="404"/>
        <v>0.81</v>
      </c>
      <c r="S316" s="14">
        <v>0.45</v>
      </c>
      <c r="T316" s="14"/>
      <c r="U316" s="191">
        <f t="shared" si="396"/>
        <v>0.34875</v>
      </c>
      <c r="V316" s="14"/>
      <c r="W316" s="14"/>
      <c r="X316" s="14"/>
      <c r="Y316" s="14"/>
      <c r="Z316" s="14"/>
      <c r="AA316" s="14"/>
      <c r="AB316" s="14">
        <f t="shared" si="397"/>
        <v>0</v>
      </c>
      <c r="AC316" s="14"/>
      <c r="AE316" s="11"/>
      <c r="AG316" s="52">
        <f t="shared" si="405"/>
        <v>2.1037499999999998</v>
      </c>
      <c r="AH316" s="52">
        <f t="shared" si="406"/>
        <v>0</v>
      </c>
      <c r="AI316" s="193">
        <f t="shared" si="414"/>
        <v>2.1037499999999998</v>
      </c>
      <c r="AJ316" s="194">
        <f t="shared" si="415"/>
        <v>0</v>
      </c>
      <c r="AK316" s="195">
        <f t="shared" si="408"/>
        <v>0</v>
      </c>
      <c r="AL316" s="196">
        <f t="shared" si="409"/>
        <v>0</v>
      </c>
      <c r="AM316" s="52">
        <f t="shared" si="410"/>
        <v>1.8</v>
      </c>
      <c r="AN316" s="52">
        <f t="shared" si="411"/>
        <v>0</v>
      </c>
      <c r="AO316" s="52">
        <f t="shared" si="412"/>
        <v>0</v>
      </c>
      <c r="AP316" s="52">
        <f t="shared" si="413"/>
        <v>0</v>
      </c>
    </row>
    <row r="317" spans="1:42" ht="20.100000000000001" customHeight="1" x14ac:dyDescent="0.25">
      <c r="A317" s="129"/>
      <c r="B317" s="182" t="s">
        <v>367</v>
      </c>
      <c r="C317" s="183"/>
      <c r="E317" s="189" t="s">
        <v>373</v>
      </c>
      <c r="F317" s="14">
        <v>1</v>
      </c>
      <c r="G317" s="14">
        <v>3.49</v>
      </c>
      <c r="H317" s="14">
        <v>0.2</v>
      </c>
      <c r="I317" s="14">
        <v>0.45</v>
      </c>
      <c r="J317" s="11">
        <f t="shared" si="398"/>
        <v>0.31410000000000005</v>
      </c>
      <c r="K317" s="11">
        <f t="shared" si="399"/>
        <v>0.69800000000000006</v>
      </c>
      <c r="L317" s="11">
        <f t="shared" si="400"/>
        <v>2.7047500000000007</v>
      </c>
      <c r="M317" s="190">
        <v>0.125</v>
      </c>
      <c r="N317" s="14">
        <f t="shared" si="401"/>
        <v>0.32500000000000001</v>
      </c>
      <c r="O317" s="14">
        <f t="shared" si="402"/>
        <v>1.1342500000000002</v>
      </c>
      <c r="P317" s="190"/>
      <c r="Q317" s="14">
        <f t="shared" si="403"/>
        <v>0.45</v>
      </c>
      <c r="R317" s="14">
        <f t="shared" si="404"/>
        <v>1.5705000000000002</v>
      </c>
      <c r="S317" s="14"/>
      <c r="T317" s="14"/>
      <c r="U317" s="191">
        <f t="shared" si="396"/>
        <v>0</v>
      </c>
      <c r="V317" s="14"/>
      <c r="W317" s="14"/>
      <c r="X317" s="14"/>
      <c r="Y317" s="14"/>
      <c r="Z317" s="14"/>
      <c r="AA317" s="14"/>
      <c r="AB317" s="14">
        <f t="shared" si="397"/>
        <v>0</v>
      </c>
      <c r="AC317" s="14"/>
      <c r="AE317" s="11"/>
      <c r="AG317" s="52">
        <f t="shared" si="405"/>
        <v>3.4027500000000006</v>
      </c>
      <c r="AH317" s="52">
        <f t="shared" si="406"/>
        <v>0</v>
      </c>
      <c r="AI317" s="193">
        <f t="shared" si="414"/>
        <v>3.4027500000000006</v>
      </c>
      <c r="AJ317" s="194">
        <f t="shared" si="415"/>
        <v>0</v>
      </c>
      <c r="AK317" s="195">
        <f>+AG317-AI317</f>
        <v>0</v>
      </c>
      <c r="AL317" s="196">
        <f>+AH317-AJ317</f>
        <v>0</v>
      </c>
      <c r="AM317" s="52">
        <f t="shared" si="410"/>
        <v>3.49</v>
      </c>
      <c r="AN317" s="52">
        <f t="shared" si="411"/>
        <v>0</v>
      </c>
      <c r="AO317" s="52">
        <f t="shared" si="412"/>
        <v>0</v>
      </c>
      <c r="AP317" s="52">
        <f t="shared" si="413"/>
        <v>0</v>
      </c>
    </row>
    <row r="318" spans="1:42" ht="20.100000000000001" customHeight="1" x14ac:dyDescent="0.25">
      <c r="A318" s="129"/>
      <c r="B318" s="182" t="s">
        <v>367</v>
      </c>
      <c r="C318" s="183"/>
      <c r="E318" s="189" t="s">
        <v>374</v>
      </c>
      <c r="F318" s="14">
        <v>1</v>
      </c>
      <c r="G318" s="14">
        <v>1.8</v>
      </c>
      <c r="H318" s="14">
        <v>0.2</v>
      </c>
      <c r="I318" s="14">
        <v>0.45</v>
      </c>
      <c r="J318" s="11">
        <f t="shared" si="398"/>
        <v>0.16200000000000003</v>
      </c>
      <c r="K318" s="11">
        <f t="shared" si="399"/>
        <v>0.36000000000000004</v>
      </c>
      <c r="L318" s="11">
        <f t="shared" si="400"/>
        <v>1.7437499999999999</v>
      </c>
      <c r="M318" s="190">
        <v>0.125</v>
      </c>
      <c r="N318" s="14">
        <f t="shared" si="401"/>
        <v>0.32500000000000001</v>
      </c>
      <c r="O318" s="14">
        <f t="shared" si="402"/>
        <v>0.58500000000000008</v>
      </c>
      <c r="P318" s="190"/>
      <c r="Q318" s="14">
        <f t="shared" si="403"/>
        <v>0.45</v>
      </c>
      <c r="R318" s="14">
        <f t="shared" si="404"/>
        <v>0.81</v>
      </c>
      <c r="S318" s="14">
        <v>0.45</v>
      </c>
      <c r="T318" s="14"/>
      <c r="U318" s="191">
        <f t="shared" si="396"/>
        <v>0.34875</v>
      </c>
      <c r="V318" s="14"/>
      <c r="W318" s="14"/>
      <c r="X318" s="14"/>
      <c r="Y318" s="14"/>
      <c r="Z318" s="14"/>
      <c r="AA318" s="14"/>
      <c r="AB318" s="14">
        <f t="shared" si="397"/>
        <v>0</v>
      </c>
      <c r="AC318" s="14"/>
      <c r="AE318" s="11"/>
      <c r="AG318" s="52">
        <f t="shared" si="405"/>
        <v>2.1037499999999998</v>
      </c>
      <c r="AH318" s="52">
        <f t="shared" si="406"/>
        <v>0</v>
      </c>
      <c r="AI318" s="193">
        <f t="shared" si="414"/>
        <v>2.1037499999999998</v>
      </c>
      <c r="AJ318" s="194">
        <f t="shared" si="415"/>
        <v>0</v>
      </c>
      <c r="AK318" s="195">
        <f t="shared" ref="AK318:AK321" si="416">+AG318-AI318</f>
        <v>0</v>
      </c>
      <c r="AL318" s="196">
        <f t="shared" ref="AL318:AL321" si="417">+AH318-AJ318</f>
        <v>0</v>
      </c>
      <c r="AM318" s="52">
        <f t="shared" si="410"/>
        <v>1.8</v>
      </c>
      <c r="AN318" s="52">
        <f t="shared" si="411"/>
        <v>0</v>
      </c>
      <c r="AO318" s="52">
        <f t="shared" si="412"/>
        <v>0</v>
      </c>
      <c r="AP318" s="52">
        <f t="shared" si="413"/>
        <v>0</v>
      </c>
    </row>
    <row r="319" spans="1:42" ht="20.100000000000001" customHeight="1" x14ac:dyDescent="0.25">
      <c r="A319" s="129"/>
      <c r="B319" s="182" t="s">
        <v>367</v>
      </c>
      <c r="C319" s="183"/>
      <c r="E319" s="189" t="s">
        <v>375</v>
      </c>
      <c r="F319" s="14">
        <v>1</v>
      </c>
      <c r="G319" s="14">
        <v>3.24</v>
      </c>
      <c r="H319" s="14">
        <v>0.2</v>
      </c>
      <c r="I319" s="14">
        <v>0.45</v>
      </c>
      <c r="J319" s="11">
        <f t="shared" si="398"/>
        <v>0.29160000000000008</v>
      </c>
      <c r="K319" s="11">
        <f t="shared" si="399"/>
        <v>0.64800000000000013</v>
      </c>
      <c r="L319" s="11">
        <f t="shared" si="400"/>
        <v>2.85975</v>
      </c>
      <c r="M319" s="190">
        <v>0.125</v>
      </c>
      <c r="N319" s="14">
        <f t="shared" si="401"/>
        <v>0.32500000000000001</v>
      </c>
      <c r="O319" s="14">
        <f t="shared" si="402"/>
        <v>1.0530000000000002</v>
      </c>
      <c r="P319" s="190"/>
      <c r="Q319" s="14">
        <f t="shared" si="403"/>
        <v>0.45</v>
      </c>
      <c r="R319" s="14">
        <f t="shared" si="404"/>
        <v>1.4580000000000002</v>
      </c>
      <c r="S319" s="14">
        <v>0.45</v>
      </c>
      <c r="T319" s="14"/>
      <c r="U319" s="191">
        <f t="shared" si="396"/>
        <v>0.34875</v>
      </c>
      <c r="V319" s="14"/>
      <c r="W319" s="14"/>
      <c r="X319" s="14"/>
      <c r="Y319" s="14"/>
      <c r="Z319" s="14"/>
      <c r="AA319" s="14"/>
      <c r="AB319" s="14">
        <f t="shared" si="397"/>
        <v>0</v>
      </c>
      <c r="AC319" s="14"/>
      <c r="AE319" s="11"/>
      <c r="AG319" s="52">
        <f t="shared" si="405"/>
        <v>3.5077500000000001</v>
      </c>
      <c r="AH319" s="52">
        <f t="shared" si="406"/>
        <v>0</v>
      </c>
      <c r="AI319" s="193">
        <f t="shared" si="414"/>
        <v>3.5077500000000001</v>
      </c>
      <c r="AJ319" s="194">
        <f t="shared" si="415"/>
        <v>0</v>
      </c>
      <c r="AK319" s="195">
        <f t="shared" si="416"/>
        <v>0</v>
      </c>
      <c r="AL319" s="196">
        <f t="shared" si="417"/>
        <v>0</v>
      </c>
      <c r="AM319" s="52">
        <f t="shared" si="410"/>
        <v>3.24</v>
      </c>
      <c r="AN319" s="52">
        <f t="shared" si="411"/>
        <v>0</v>
      </c>
      <c r="AO319" s="52">
        <f t="shared" si="412"/>
        <v>0</v>
      </c>
      <c r="AP319" s="52">
        <f t="shared" si="413"/>
        <v>0</v>
      </c>
    </row>
    <row r="320" spans="1:42" ht="20.100000000000001" customHeight="1" x14ac:dyDescent="0.25">
      <c r="A320" s="129"/>
      <c r="B320" s="182" t="s">
        <v>367</v>
      </c>
      <c r="C320" s="183"/>
      <c r="E320" s="189" t="s">
        <v>376</v>
      </c>
      <c r="F320" s="14">
        <v>1</v>
      </c>
      <c r="G320" s="14">
        <v>1.8</v>
      </c>
      <c r="H320" s="14">
        <v>0.2</v>
      </c>
      <c r="I320" s="14">
        <v>0.45</v>
      </c>
      <c r="J320" s="11">
        <f t="shared" si="398"/>
        <v>0.16200000000000003</v>
      </c>
      <c r="K320" s="11">
        <f t="shared" si="399"/>
        <v>0.36000000000000004</v>
      </c>
      <c r="L320" s="11">
        <f t="shared" si="400"/>
        <v>1.1700000000000002</v>
      </c>
      <c r="M320" s="190">
        <v>0.125</v>
      </c>
      <c r="N320" s="14">
        <f t="shared" si="401"/>
        <v>0.32500000000000001</v>
      </c>
      <c r="O320" s="14">
        <f t="shared" si="402"/>
        <v>0.58500000000000008</v>
      </c>
      <c r="P320" s="190">
        <v>0.125</v>
      </c>
      <c r="Q320" s="14">
        <f t="shared" si="403"/>
        <v>0.32500000000000001</v>
      </c>
      <c r="R320" s="14">
        <f t="shared" si="404"/>
        <v>0.58500000000000008</v>
      </c>
      <c r="S320" s="14"/>
      <c r="T320" s="14"/>
      <c r="U320" s="191">
        <f t="shared" si="396"/>
        <v>0</v>
      </c>
      <c r="V320" s="14"/>
      <c r="W320" s="14"/>
      <c r="X320" s="14"/>
      <c r="Y320" s="14"/>
      <c r="Z320" s="14"/>
      <c r="AA320" s="14"/>
      <c r="AB320" s="14">
        <f t="shared" si="397"/>
        <v>0</v>
      </c>
      <c r="AC320" s="14"/>
      <c r="AE320" s="11"/>
      <c r="AG320" s="52">
        <f t="shared" si="405"/>
        <v>1.5300000000000002</v>
      </c>
      <c r="AH320" s="52">
        <f t="shared" si="406"/>
        <v>0</v>
      </c>
      <c r="AI320" s="193">
        <f t="shared" si="414"/>
        <v>0</v>
      </c>
      <c r="AJ320" s="194">
        <f t="shared" si="415"/>
        <v>0</v>
      </c>
      <c r="AK320" s="195">
        <f t="shared" si="416"/>
        <v>1.5300000000000002</v>
      </c>
      <c r="AL320" s="196">
        <f t="shared" si="417"/>
        <v>0</v>
      </c>
      <c r="AM320" s="52">
        <f t="shared" si="410"/>
        <v>0</v>
      </c>
      <c r="AN320" s="52">
        <f t="shared" si="411"/>
        <v>0</v>
      </c>
      <c r="AO320" s="52">
        <f t="shared" si="412"/>
        <v>1.8</v>
      </c>
      <c r="AP320" s="52">
        <f t="shared" si="413"/>
        <v>0</v>
      </c>
    </row>
    <row r="321" spans="1:42" ht="20.100000000000001" customHeight="1" x14ac:dyDescent="0.25">
      <c r="A321" s="129"/>
      <c r="B321" s="182" t="s">
        <v>367</v>
      </c>
      <c r="C321" s="183"/>
      <c r="E321" s="189" t="s">
        <v>377</v>
      </c>
      <c r="F321" s="14">
        <v>1</v>
      </c>
      <c r="G321" s="14">
        <v>1.8</v>
      </c>
      <c r="H321" s="14">
        <v>0.2</v>
      </c>
      <c r="I321" s="14">
        <v>0.45</v>
      </c>
      <c r="J321" s="11">
        <f t="shared" si="398"/>
        <v>0.16200000000000003</v>
      </c>
      <c r="K321" s="11">
        <f t="shared" si="399"/>
        <v>0.36000000000000004</v>
      </c>
      <c r="L321" s="11">
        <f t="shared" si="400"/>
        <v>1.395</v>
      </c>
      <c r="M321" s="190">
        <v>0.125</v>
      </c>
      <c r="N321" s="14">
        <f t="shared" si="401"/>
        <v>0.32500000000000001</v>
      </c>
      <c r="O321" s="14">
        <f t="shared" si="402"/>
        <v>0.58500000000000008</v>
      </c>
      <c r="P321" s="190"/>
      <c r="Q321" s="14">
        <f t="shared" si="403"/>
        <v>0.45</v>
      </c>
      <c r="R321" s="14">
        <f t="shared" si="404"/>
        <v>0.81</v>
      </c>
      <c r="S321" s="14"/>
      <c r="T321" s="14"/>
      <c r="U321" s="191">
        <f t="shared" si="396"/>
        <v>0</v>
      </c>
      <c r="V321" s="14"/>
      <c r="W321" s="14"/>
      <c r="X321" s="14"/>
      <c r="Y321" s="14"/>
      <c r="Z321" s="14"/>
      <c r="AA321" s="14"/>
      <c r="AB321" s="14">
        <f t="shared" si="397"/>
        <v>0</v>
      </c>
      <c r="AC321" s="14"/>
      <c r="AE321" s="11"/>
      <c r="AG321" s="52">
        <f t="shared" si="405"/>
        <v>1.7550000000000001</v>
      </c>
      <c r="AH321" s="52">
        <f t="shared" si="406"/>
        <v>0</v>
      </c>
      <c r="AI321" s="193">
        <f t="shared" si="414"/>
        <v>1.7550000000000001</v>
      </c>
      <c r="AJ321" s="194">
        <f t="shared" si="415"/>
        <v>0</v>
      </c>
      <c r="AK321" s="195">
        <f t="shared" si="416"/>
        <v>0</v>
      </c>
      <c r="AL321" s="196">
        <f t="shared" si="417"/>
        <v>0</v>
      </c>
      <c r="AM321" s="52">
        <f t="shared" si="410"/>
        <v>1.8</v>
      </c>
      <c r="AN321" s="52">
        <f t="shared" si="411"/>
        <v>0</v>
      </c>
      <c r="AO321" s="52">
        <f t="shared" si="412"/>
        <v>0</v>
      </c>
      <c r="AP321" s="52">
        <f t="shared" si="413"/>
        <v>0</v>
      </c>
    </row>
    <row r="322" spans="1:42" ht="20.100000000000001" customHeight="1" x14ac:dyDescent="0.25">
      <c r="A322" s="129"/>
      <c r="B322" s="182" t="s">
        <v>367</v>
      </c>
      <c r="C322" s="183"/>
      <c r="E322" s="189" t="s">
        <v>580</v>
      </c>
      <c r="F322" s="14">
        <v>1</v>
      </c>
      <c r="G322" s="14">
        <v>0.75</v>
      </c>
      <c r="H322" s="14">
        <v>0.2</v>
      </c>
      <c r="I322" s="14">
        <v>0.45</v>
      </c>
      <c r="J322" s="11">
        <f t="shared" ref="J322" si="418">+PRODUCT(F322:I322)</f>
        <v>6.7500000000000018E-2</v>
      </c>
      <c r="K322" s="11">
        <f t="shared" ref="K322" si="419">PRODUCT(F322,G322,H322)</f>
        <v>0.15000000000000002</v>
      </c>
      <c r="L322" s="11">
        <f t="shared" ref="L322" si="420">+O322+R322-AB322+U322</f>
        <v>1.0462500000000001</v>
      </c>
      <c r="M322" s="190">
        <v>0.125</v>
      </c>
      <c r="N322" s="14">
        <f t="shared" ref="N322" si="421">+I322-M322</f>
        <v>0.32500000000000001</v>
      </c>
      <c r="O322" s="14">
        <f t="shared" ref="O322" si="422">+PRODUCT(F322,G322,N322)</f>
        <v>0.24375000000000002</v>
      </c>
      <c r="P322" s="190"/>
      <c r="Q322" s="14">
        <f t="shared" ref="Q322" si="423">+I322-P322</f>
        <v>0.45</v>
      </c>
      <c r="R322" s="14">
        <f t="shared" ref="R322" si="424">+PRODUCT(F322:G322,Q322)</f>
        <v>0.33750000000000002</v>
      </c>
      <c r="S322" s="14">
        <v>0.6</v>
      </c>
      <c r="T322" s="14"/>
      <c r="U322" s="191">
        <f t="shared" ref="U322" si="425">+SUM(S322:T322)*(N322+Q322)/2*2</f>
        <v>0.46499999999999997</v>
      </c>
      <c r="V322" s="14"/>
      <c r="W322" s="14"/>
      <c r="X322" s="14"/>
      <c r="Y322" s="14"/>
      <c r="Z322" s="14"/>
      <c r="AA322" s="14"/>
      <c r="AB322" s="14">
        <f t="shared" si="397"/>
        <v>0</v>
      </c>
      <c r="AC322" s="14"/>
      <c r="AE322" s="11"/>
      <c r="AG322" s="52">
        <f t="shared" ref="AG322" si="426">+IF(I322&lt;0.75,(K322+L322),0)</f>
        <v>1.19625</v>
      </c>
      <c r="AH322" s="52">
        <f t="shared" ref="AH322" si="427">+IF(I322&lt;0.75,0,(K322+L322))</f>
        <v>0</v>
      </c>
      <c r="AI322" s="193">
        <f t="shared" ref="AI322" si="428">IF(P322=0,(+IF(I322&lt;0.75,(K322+L322),0)),0)</f>
        <v>1.19625</v>
      </c>
      <c r="AJ322" s="194">
        <f t="shared" ref="AJ322" si="429">IF(P322=0,(+IF(I322&lt;0.75,0,(K322+L322))),0)</f>
        <v>0</v>
      </c>
      <c r="AK322" s="195">
        <f t="shared" ref="AK322" si="430">+AG322-AI322</f>
        <v>0</v>
      </c>
      <c r="AL322" s="196">
        <f t="shared" ref="AL322" si="431">+AH322-AJ322</f>
        <v>0</v>
      </c>
      <c r="AM322" s="52">
        <f t="shared" ref="AM322" si="432">+IF(AI322=0,0,G322)</f>
        <v>0.75</v>
      </c>
      <c r="AN322" s="52">
        <f t="shared" ref="AN322" si="433">+IF(AJ322=0,0,G322)</f>
        <v>0</v>
      </c>
      <c r="AO322" s="52">
        <f t="shared" ref="AO322" si="434">+IF(AK322=0,0,G322)</f>
        <v>0</v>
      </c>
      <c r="AP322" s="52">
        <f t="shared" ref="AP322" si="435">+IF(AL322=0,0,G322)</f>
        <v>0</v>
      </c>
    </row>
    <row r="323" spans="1:42" ht="20.100000000000001" customHeight="1" x14ac:dyDescent="0.25">
      <c r="A323" s="129"/>
      <c r="B323" s="182" t="s">
        <v>367</v>
      </c>
      <c r="C323" s="183"/>
      <c r="E323" s="189" t="s">
        <v>581</v>
      </c>
      <c r="F323" s="14">
        <v>1</v>
      </c>
      <c r="G323" s="14">
        <v>0.8</v>
      </c>
      <c r="H323" s="14">
        <v>0.2</v>
      </c>
      <c r="I323" s="14">
        <v>0.45</v>
      </c>
      <c r="J323" s="11">
        <f t="shared" ref="J323:J327" si="436">+PRODUCT(F323:I323)</f>
        <v>7.2000000000000022E-2</v>
      </c>
      <c r="K323" s="11">
        <f t="shared" ref="K323:K327" si="437">PRODUCT(F323,G323,H323)</f>
        <v>0.16000000000000003</v>
      </c>
      <c r="L323" s="11">
        <f t="shared" ref="L323:L327" si="438">+O323+R323-AB323+U323</f>
        <v>0.62000000000000011</v>
      </c>
      <c r="M323" s="190">
        <v>0.125</v>
      </c>
      <c r="N323" s="14">
        <f t="shared" ref="N323:N327" si="439">+I323-M323</f>
        <v>0.32500000000000001</v>
      </c>
      <c r="O323" s="14">
        <f t="shared" ref="O323:O327" si="440">+PRODUCT(F323,G323,N323)</f>
        <v>0.26</v>
      </c>
      <c r="P323" s="190"/>
      <c r="Q323" s="14">
        <f t="shared" ref="Q323:Q327" si="441">+I323-P323</f>
        <v>0.45</v>
      </c>
      <c r="R323" s="14">
        <f t="shared" ref="R323:R327" si="442">+PRODUCT(F323:G323,Q323)</f>
        <v>0.36000000000000004</v>
      </c>
      <c r="S323" s="14"/>
      <c r="T323" s="14"/>
      <c r="U323" s="191">
        <f t="shared" ref="U323:U327" si="443">+SUM(S323:T323)*(N323+Q323)/2*2</f>
        <v>0</v>
      </c>
      <c r="V323" s="14"/>
      <c r="W323" s="14"/>
      <c r="X323" s="14"/>
      <c r="Y323" s="14"/>
      <c r="Z323" s="14"/>
      <c r="AA323" s="14"/>
      <c r="AB323" s="14">
        <f t="shared" si="397"/>
        <v>0</v>
      </c>
      <c r="AC323" s="14"/>
      <c r="AE323" s="11"/>
      <c r="AG323" s="52">
        <f t="shared" ref="AG323:AG327" si="444">+IF(I323&lt;0.75,(K323+L323),0)</f>
        <v>0.78000000000000014</v>
      </c>
      <c r="AH323" s="52">
        <f t="shared" ref="AH323:AH327" si="445">+IF(I323&lt;0.75,0,(K323+L323))</f>
        <v>0</v>
      </c>
      <c r="AI323" s="193">
        <f t="shared" ref="AI323:AI327" si="446">IF(P323=0,(+IF(I323&lt;0.75,(K323+L323),0)),0)</f>
        <v>0.78000000000000014</v>
      </c>
      <c r="AJ323" s="194">
        <f t="shared" ref="AJ323:AJ327" si="447">IF(P323=0,(+IF(I323&lt;0.75,0,(K323+L323))),0)</f>
        <v>0</v>
      </c>
      <c r="AK323" s="195">
        <f t="shared" ref="AK323:AK327" si="448">+AG323-AI323</f>
        <v>0</v>
      </c>
      <c r="AL323" s="196">
        <f t="shared" ref="AL323:AL327" si="449">+AH323-AJ323</f>
        <v>0</v>
      </c>
      <c r="AM323" s="52">
        <f t="shared" ref="AM323:AM327" si="450">+IF(AI323=0,0,G323)</f>
        <v>0.8</v>
      </c>
      <c r="AN323" s="52">
        <f t="shared" ref="AN323:AN327" si="451">+IF(AJ323=0,0,G323)</f>
        <v>0</v>
      </c>
      <c r="AO323" s="52">
        <f t="shared" ref="AO323:AO327" si="452">+IF(AK323=0,0,G323)</f>
        <v>0</v>
      </c>
      <c r="AP323" s="52">
        <f t="shared" ref="AP323:AP327" si="453">+IF(AL323=0,0,G323)</f>
        <v>0</v>
      </c>
    </row>
    <row r="324" spans="1:42" ht="20.100000000000001" customHeight="1" x14ac:dyDescent="0.25">
      <c r="A324" s="129"/>
      <c r="B324" s="182" t="s">
        <v>367</v>
      </c>
      <c r="C324" s="183"/>
      <c r="E324" s="189" t="s">
        <v>582</v>
      </c>
      <c r="F324" s="14">
        <v>1</v>
      </c>
      <c r="G324" s="14">
        <v>1.1519999999999999</v>
      </c>
      <c r="H324" s="14">
        <v>0.2</v>
      </c>
      <c r="I324" s="14">
        <v>0.45</v>
      </c>
      <c r="J324" s="11">
        <f t="shared" si="436"/>
        <v>0.10367999999999999</v>
      </c>
      <c r="K324" s="11">
        <f t="shared" si="437"/>
        <v>0.23039999999999999</v>
      </c>
      <c r="L324" s="11">
        <f t="shared" si="438"/>
        <v>1.1388</v>
      </c>
      <c r="M324" s="190">
        <v>0.125</v>
      </c>
      <c r="N324" s="14">
        <f t="shared" si="439"/>
        <v>0.32500000000000001</v>
      </c>
      <c r="O324" s="14">
        <f t="shared" si="440"/>
        <v>0.37440000000000001</v>
      </c>
      <c r="P324" s="190">
        <v>0.125</v>
      </c>
      <c r="Q324" s="14">
        <f t="shared" si="441"/>
        <v>0.32500000000000001</v>
      </c>
      <c r="R324" s="14">
        <f t="shared" si="442"/>
        <v>0.37440000000000001</v>
      </c>
      <c r="S324" s="14">
        <v>0.6</v>
      </c>
      <c r="T324" s="14"/>
      <c r="U324" s="191">
        <f t="shared" si="443"/>
        <v>0.39</v>
      </c>
      <c r="V324" s="14"/>
      <c r="W324" s="14"/>
      <c r="X324" s="14"/>
      <c r="Y324" s="14"/>
      <c r="Z324" s="14"/>
      <c r="AA324" s="14"/>
      <c r="AB324" s="14">
        <f t="shared" si="397"/>
        <v>0</v>
      </c>
      <c r="AC324" s="14"/>
      <c r="AE324" s="11"/>
      <c r="AG324" s="52">
        <f t="shared" si="444"/>
        <v>1.3692</v>
      </c>
      <c r="AH324" s="52">
        <f t="shared" si="445"/>
        <v>0</v>
      </c>
      <c r="AI324" s="193">
        <f t="shared" si="446"/>
        <v>0</v>
      </c>
      <c r="AJ324" s="194">
        <f t="shared" si="447"/>
        <v>0</v>
      </c>
      <c r="AK324" s="195">
        <f t="shared" si="448"/>
        <v>1.3692</v>
      </c>
      <c r="AL324" s="196">
        <f t="shared" si="449"/>
        <v>0</v>
      </c>
      <c r="AM324" s="52">
        <f t="shared" si="450"/>
        <v>0</v>
      </c>
      <c r="AN324" s="52">
        <f t="shared" si="451"/>
        <v>0</v>
      </c>
      <c r="AO324" s="52">
        <f t="shared" si="452"/>
        <v>1.1519999999999999</v>
      </c>
      <c r="AP324" s="52">
        <f t="shared" si="453"/>
        <v>0</v>
      </c>
    </row>
    <row r="325" spans="1:42" ht="20.100000000000001" customHeight="1" x14ac:dyDescent="0.25">
      <c r="A325" s="129"/>
      <c r="B325" s="182" t="s">
        <v>367</v>
      </c>
      <c r="C325" s="183"/>
      <c r="E325" s="189" t="s">
        <v>583</v>
      </c>
      <c r="F325" s="14">
        <v>1</v>
      </c>
      <c r="G325" s="14">
        <v>0.35</v>
      </c>
      <c r="H325" s="14">
        <v>0.2</v>
      </c>
      <c r="I325" s="14">
        <v>0.45</v>
      </c>
      <c r="J325" s="11">
        <f t="shared" si="436"/>
        <v>3.15E-2</v>
      </c>
      <c r="K325" s="11">
        <f t="shared" si="437"/>
        <v>6.9999999999999993E-2</v>
      </c>
      <c r="L325" s="11">
        <f t="shared" si="438"/>
        <v>0.13749999999999996</v>
      </c>
      <c r="M325" s="190">
        <v>0.125</v>
      </c>
      <c r="N325" s="14">
        <f t="shared" si="439"/>
        <v>0.32500000000000001</v>
      </c>
      <c r="O325" s="14">
        <f t="shared" si="440"/>
        <v>0.11374999999999999</v>
      </c>
      <c r="P325" s="190">
        <v>0.125</v>
      </c>
      <c r="Q325" s="14">
        <f t="shared" si="441"/>
        <v>0.32500000000000001</v>
      </c>
      <c r="R325" s="14">
        <f t="shared" si="442"/>
        <v>0.11374999999999999</v>
      </c>
      <c r="S325" s="14"/>
      <c r="T325" s="14"/>
      <c r="U325" s="191">
        <f t="shared" si="443"/>
        <v>0</v>
      </c>
      <c r="V325" s="14" t="s">
        <v>586</v>
      </c>
      <c r="W325" s="14"/>
      <c r="X325" s="14"/>
      <c r="Y325" s="14"/>
      <c r="Z325" s="14"/>
      <c r="AA325" s="14"/>
      <c r="AB325" s="14">
        <f t="shared" si="397"/>
        <v>9.0000000000000011E-2</v>
      </c>
      <c r="AC325" s="14"/>
      <c r="AE325" s="11"/>
      <c r="AG325" s="52">
        <f t="shared" si="444"/>
        <v>0.20749999999999996</v>
      </c>
      <c r="AH325" s="52">
        <f t="shared" si="445"/>
        <v>0</v>
      </c>
      <c r="AI325" s="193">
        <f t="shared" si="446"/>
        <v>0</v>
      </c>
      <c r="AJ325" s="194">
        <f t="shared" si="447"/>
        <v>0</v>
      </c>
      <c r="AK325" s="195">
        <f t="shared" si="448"/>
        <v>0.20749999999999996</v>
      </c>
      <c r="AL325" s="196">
        <f t="shared" si="449"/>
        <v>0</v>
      </c>
      <c r="AM325" s="52">
        <f t="shared" si="450"/>
        <v>0</v>
      </c>
      <c r="AN325" s="52">
        <f t="shared" si="451"/>
        <v>0</v>
      </c>
      <c r="AO325" s="52">
        <f t="shared" si="452"/>
        <v>0.35</v>
      </c>
      <c r="AP325" s="52">
        <f t="shared" si="453"/>
        <v>0</v>
      </c>
    </row>
    <row r="326" spans="1:42" ht="20.100000000000001" customHeight="1" x14ac:dyDescent="0.25">
      <c r="A326" s="129"/>
      <c r="B326" s="182" t="s">
        <v>367</v>
      </c>
      <c r="C326" s="183"/>
      <c r="E326" s="189" t="s">
        <v>584</v>
      </c>
      <c r="F326" s="14">
        <v>1</v>
      </c>
      <c r="G326" s="14">
        <v>2.15</v>
      </c>
      <c r="H326" s="14">
        <v>0.2</v>
      </c>
      <c r="I326" s="14">
        <v>0.45</v>
      </c>
      <c r="J326" s="11">
        <f t="shared" si="436"/>
        <v>0.19350000000000001</v>
      </c>
      <c r="K326" s="11">
        <f t="shared" si="437"/>
        <v>0.43</v>
      </c>
      <c r="L326" s="11">
        <f t="shared" si="438"/>
        <v>1.66625</v>
      </c>
      <c r="M326" s="190">
        <v>0.125</v>
      </c>
      <c r="N326" s="14">
        <f t="shared" si="439"/>
        <v>0.32500000000000001</v>
      </c>
      <c r="O326" s="14">
        <f t="shared" si="440"/>
        <v>0.69874999999999998</v>
      </c>
      <c r="P326" s="190"/>
      <c r="Q326" s="14">
        <f t="shared" si="441"/>
        <v>0.45</v>
      </c>
      <c r="R326" s="14">
        <f t="shared" si="442"/>
        <v>0.96750000000000003</v>
      </c>
      <c r="S326" s="14"/>
      <c r="T326" s="14"/>
      <c r="U326" s="191">
        <f t="shared" si="443"/>
        <v>0</v>
      </c>
      <c r="V326" s="14"/>
      <c r="W326" s="14"/>
      <c r="X326" s="14"/>
      <c r="Y326" s="14"/>
      <c r="Z326" s="14"/>
      <c r="AA326" s="14"/>
      <c r="AB326" s="14">
        <f t="shared" si="397"/>
        <v>0</v>
      </c>
      <c r="AC326" s="14"/>
      <c r="AE326" s="11"/>
      <c r="AG326" s="52">
        <f t="shared" si="444"/>
        <v>2.0962499999999999</v>
      </c>
      <c r="AH326" s="52">
        <f t="shared" si="445"/>
        <v>0</v>
      </c>
      <c r="AI326" s="193">
        <f t="shared" si="446"/>
        <v>2.0962499999999999</v>
      </c>
      <c r="AJ326" s="194">
        <f t="shared" si="447"/>
        <v>0</v>
      </c>
      <c r="AK326" s="195">
        <f t="shared" si="448"/>
        <v>0</v>
      </c>
      <c r="AL326" s="196">
        <f t="shared" si="449"/>
        <v>0</v>
      </c>
      <c r="AM326" s="52">
        <f t="shared" si="450"/>
        <v>2.15</v>
      </c>
      <c r="AN326" s="52">
        <f t="shared" si="451"/>
        <v>0</v>
      </c>
      <c r="AO326" s="52">
        <f t="shared" si="452"/>
        <v>0</v>
      </c>
      <c r="AP326" s="52">
        <f t="shared" si="453"/>
        <v>0</v>
      </c>
    </row>
    <row r="327" spans="1:42" ht="20.100000000000001" customHeight="1" x14ac:dyDescent="0.25">
      <c r="A327" s="129"/>
      <c r="B327" s="182" t="s">
        <v>367</v>
      </c>
      <c r="C327" s="183"/>
      <c r="E327" s="189" t="s">
        <v>585</v>
      </c>
      <c r="F327" s="14">
        <v>1</v>
      </c>
      <c r="G327" s="14">
        <v>2</v>
      </c>
      <c r="H327" s="14">
        <v>0.2</v>
      </c>
      <c r="I327" s="14">
        <v>0.45</v>
      </c>
      <c r="J327" s="11">
        <f t="shared" si="436"/>
        <v>0.18000000000000002</v>
      </c>
      <c r="K327" s="11">
        <f t="shared" si="437"/>
        <v>0.4</v>
      </c>
      <c r="L327" s="11">
        <f t="shared" si="438"/>
        <v>1.55</v>
      </c>
      <c r="M327" s="190">
        <v>0.125</v>
      </c>
      <c r="N327" s="14">
        <f t="shared" si="439"/>
        <v>0.32500000000000001</v>
      </c>
      <c r="O327" s="14">
        <f t="shared" si="440"/>
        <v>0.65</v>
      </c>
      <c r="P327" s="190"/>
      <c r="Q327" s="14">
        <f t="shared" si="441"/>
        <v>0.45</v>
      </c>
      <c r="R327" s="14">
        <f t="shared" si="442"/>
        <v>0.9</v>
      </c>
      <c r="S327" s="14"/>
      <c r="T327" s="14"/>
      <c r="U327" s="191">
        <f t="shared" si="443"/>
        <v>0</v>
      </c>
      <c r="V327" s="14"/>
      <c r="W327" s="14"/>
      <c r="X327" s="14"/>
      <c r="Y327" s="14"/>
      <c r="Z327" s="14"/>
      <c r="AA327" s="14"/>
      <c r="AB327" s="14">
        <f t="shared" si="397"/>
        <v>0</v>
      </c>
      <c r="AC327" s="14"/>
      <c r="AE327" s="11"/>
      <c r="AG327" s="52">
        <f t="shared" si="444"/>
        <v>1.9500000000000002</v>
      </c>
      <c r="AH327" s="52">
        <f t="shared" si="445"/>
        <v>0</v>
      </c>
      <c r="AI327" s="193">
        <f t="shared" si="446"/>
        <v>1.9500000000000002</v>
      </c>
      <c r="AJ327" s="194">
        <f t="shared" si="447"/>
        <v>0</v>
      </c>
      <c r="AK327" s="195">
        <f t="shared" si="448"/>
        <v>0</v>
      </c>
      <c r="AL327" s="196">
        <f t="shared" si="449"/>
        <v>0</v>
      </c>
      <c r="AM327" s="52">
        <f t="shared" si="450"/>
        <v>2</v>
      </c>
      <c r="AN327" s="52">
        <f t="shared" si="451"/>
        <v>0</v>
      </c>
      <c r="AO327" s="52">
        <f t="shared" si="452"/>
        <v>0</v>
      </c>
      <c r="AP327" s="52">
        <f t="shared" si="453"/>
        <v>0</v>
      </c>
    </row>
    <row r="328" spans="1:42" ht="20.100000000000001" customHeight="1" x14ac:dyDescent="0.25">
      <c r="A328" s="129"/>
      <c r="B328" s="182" t="s">
        <v>367</v>
      </c>
      <c r="C328" s="183"/>
      <c r="E328" s="189" t="s">
        <v>586</v>
      </c>
      <c r="F328" s="14">
        <v>1</v>
      </c>
      <c r="G328" s="14">
        <v>1.8</v>
      </c>
      <c r="H328" s="14">
        <v>0.2</v>
      </c>
      <c r="I328" s="14">
        <v>0.45</v>
      </c>
      <c r="J328" s="11">
        <f t="shared" ref="J328:J331" si="454">+PRODUCT(F328:I328)</f>
        <v>0.16200000000000003</v>
      </c>
      <c r="K328" s="11">
        <f t="shared" ref="K328:K331" si="455">PRODUCT(F328,G328,H328)</f>
        <v>0.36000000000000004</v>
      </c>
      <c r="L328" s="11">
        <f t="shared" ref="L328:L331" si="456">+O328+R328-AB328+U328</f>
        <v>1.1700000000000002</v>
      </c>
      <c r="M328" s="190">
        <v>0.125</v>
      </c>
      <c r="N328" s="14">
        <f t="shared" ref="N328:N331" si="457">+I328-M328</f>
        <v>0.32500000000000001</v>
      </c>
      <c r="O328" s="14">
        <f t="shared" ref="O328:O331" si="458">+PRODUCT(F328,G328,N328)</f>
        <v>0.58500000000000008</v>
      </c>
      <c r="P328" s="190">
        <v>0.125</v>
      </c>
      <c r="Q328" s="14">
        <f t="shared" ref="Q328:Q331" si="459">+I328-P328</f>
        <v>0.32500000000000001</v>
      </c>
      <c r="R328" s="14">
        <f t="shared" ref="R328:R331" si="460">+PRODUCT(F328:G328,Q328)</f>
        <v>0.58500000000000008</v>
      </c>
      <c r="S328" s="14"/>
      <c r="T328" s="14"/>
      <c r="U328" s="191">
        <f t="shared" ref="U328:U331" si="461">+SUM(S328:T328)*(N328+Q328)/2*2</f>
        <v>0</v>
      </c>
      <c r="V328" s="14"/>
      <c r="W328" s="14"/>
      <c r="X328" s="14"/>
      <c r="Y328" s="14"/>
      <c r="Z328" s="14"/>
      <c r="AA328" s="14"/>
      <c r="AB328" s="14">
        <f t="shared" si="397"/>
        <v>0</v>
      </c>
      <c r="AC328" s="14"/>
      <c r="AE328" s="11"/>
      <c r="AG328" s="52">
        <f t="shared" ref="AG328:AG331" si="462">+IF(I328&lt;0.75,(K328+L328),0)</f>
        <v>1.5300000000000002</v>
      </c>
      <c r="AH328" s="52">
        <f t="shared" ref="AH328:AH331" si="463">+IF(I328&lt;0.75,0,(K328+L328))</f>
        <v>0</v>
      </c>
      <c r="AI328" s="193">
        <f t="shared" ref="AI328:AI331" si="464">IF(P328=0,(+IF(I328&lt;0.75,(K328+L328),0)),0)</f>
        <v>0</v>
      </c>
      <c r="AJ328" s="194">
        <f t="shared" ref="AJ328:AJ331" si="465">IF(P328=0,(+IF(I328&lt;0.75,0,(K328+L328))),0)</f>
        <v>0</v>
      </c>
      <c r="AK328" s="195">
        <f t="shared" ref="AK328:AK331" si="466">+AG328-AI328</f>
        <v>1.5300000000000002</v>
      </c>
      <c r="AL328" s="196">
        <f t="shared" ref="AL328:AL331" si="467">+AH328-AJ328</f>
        <v>0</v>
      </c>
      <c r="AM328" s="52">
        <f t="shared" ref="AM328:AM331" si="468">+IF(AI328=0,0,G328)</f>
        <v>0</v>
      </c>
      <c r="AN328" s="52">
        <f t="shared" ref="AN328:AN331" si="469">+IF(AJ328=0,0,G328)</f>
        <v>0</v>
      </c>
      <c r="AO328" s="52">
        <f t="shared" ref="AO328:AO331" si="470">+IF(AK328=0,0,G328)</f>
        <v>1.8</v>
      </c>
      <c r="AP328" s="52">
        <f t="shared" ref="AP328:AP331" si="471">+IF(AL328=0,0,G328)</f>
        <v>0</v>
      </c>
    </row>
    <row r="329" spans="1:42" ht="20.100000000000001" customHeight="1" x14ac:dyDescent="0.25">
      <c r="A329" s="129"/>
      <c r="B329" s="182" t="s">
        <v>367</v>
      </c>
      <c r="C329" s="183"/>
      <c r="E329" s="189" t="s">
        <v>587</v>
      </c>
      <c r="F329" s="14">
        <v>1</v>
      </c>
      <c r="G329" s="14">
        <v>6.14</v>
      </c>
      <c r="H329" s="14">
        <v>0.2</v>
      </c>
      <c r="I329" s="14">
        <v>0.45</v>
      </c>
      <c r="J329" s="11">
        <f t="shared" si="454"/>
        <v>0.55259999999999998</v>
      </c>
      <c r="K329" s="11">
        <f t="shared" si="455"/>
        <v>1.228</v>
      </c>
      <c r="L329" s="11">
        <f t="shared" si="456"/>
        <v>4.4885000000000002</v>
      </c>
      <c r="M329" s="190">
        <v>0.125</v>
      </c>
      <c r="N329" s="14">
        <f t="shared" si="457"/>
        <v>0.32500000000000001</v>
      </c>
      <c r="O329" s="14">
        <f t="shared" si="458"/>
        <v>1.9955000000000001</v>
      </c>
      <c r="P329" s="190"/>
      <c r="Q329" s="14">
        <f t="shared" si="459"/>
        <v>0.45</v>
      </c>
      <c r="R329" s="14">
        <f t="shared" si="460"/>
        <v>2.7629999999999999</v>
      </c>
      <c r="S329" s="14"/>
      <c r="T329" s="14"/>
      <c r="U329" s="191">
        <f t="shared" si="461"/>
        <v>0</v>
      </c>
      <c r="V329" s="14" t="s">
        <v>583</v>
      </c>
      <c r="W329" s="14" t="s">
        <v>581</v>
      </c>
      <c r="X329" s="14" t="s">
        <v>584</v>
      </c>
      <c r="Y329" s="14"/>
      <c r="Z329" s="14"/>
      <c r="AA329" s="14"/>
      <c r="AB329" s="14">
        <f t="shared" si="397"/>
        <v>0.27</v>
      </c>
      <c r="AC329" s="14"/>
      <c r="AE329" s="11"/>
      <c r="AG329" s="52">
        <f t="shared" si="462"/>
        <v>5.7164999999999999</v>
      </c>
      <c r="AH329" s="52">
        <f t="shared" si="463"/>
        <v>0</v>
      </c>
      <c r="AI329" s="193">
        <f t="shared" si="464"/>
        <v>5.7164999999999999</v>
      </c>
      <c r="AJ329" s="194">
        <f t="shared" si="465"/>
        <v>0</v>
      </c>
      <c r="AK329" s="195">
        <f t="shared" si="466"/>
        <v>0</v>
      </c>
      <c r="AL329" s="196">
        <f t="shared" si="467"/>
        <v>0</v>
      </c>
      <c r="AM329" s="52">
        <f t="shared" si="468"/>
        <v>6.14</v>
      </c>
      <c r="AN329" s="52">
        <f t="shared" si="469"/>
        <v>0</v>
      </c>
      <c r="AO329" s="52">
        <f t="shared" si="470"/>
        <v>0</v>
      </c>
      <c r="AP329" s="52">
        <f t="shared" si="471"/>
        <v>0</v>
      </c>
    </row>
    <row r="330" spans="1:42" ht="20.100000000000001" customHeight="1" x14ac:dyDescent="0.25">
      <c r="A330" s="129"/>
      <c r="B330" s="182" t="s">
        <v>367</v>
      </c>
      <c r="C330" s="183"/>
      <c r="E330" s="189" t="s">
        <v>588</v>
      </c>
      <c r="F330" s="14">
        <v>1</v>
      </c>
      <c r="G330" s="14">
        <v>3.24</v>
      </c>
      <c r="H330" s="14">
        <v>0.2</v>
      </c>
      <c r="I330" s="14">
        <v>0.45</v>
      </c>
      <c r="J330" s="11">
        <f t="shared" si="454"/>
        <v>0.29160000000000008</v>
      </c>
      <c r="K330" s="11">
        <f t="shared" si="455"/>
        <v>0.64800000000000013</v>
      </c>
      <c r="L330" s="11">
        <f t="shared" si="456"/>
        <v>2.85975</v>
      </c>
      <c r="M330" s="190">
        <v>0.125</v>
      </c>
      <c r="N330" s="14">
        <f t="shared" si="457"/>
        <v>0.32500000000000001</v>
      </c>
      <c r="O330" s="14">
        <f t="shared" si="458"/>
        <v>1.0530000000000002</v>
      </c>
      <c r="P330" s="190"/>
      <c r="Q330" s="14">
        <f t="shared" si="459"/>
        <v>0.45</v>
      </c>
      <c r="R330" s="14">
        <f t="shared" si="460"/>
        <v>1.4580000000000002</v>
      </c>
      <c r="S330" s="14">
        <v>0.45</v>
      </c>
      <c r="T330" s="14"/>
      <c r="U330" s="191">
        <f t="shared" si="461"/>
        <v>0.34875</v>
      </c>
      <c r="V330" s="14"/>
      <c r="W330" s="14"/>
      <c r="X330" s="14"/>
      <c r="Y330" s="14"/>
      <c r="Z330" s="14"/>
      <c r="AA330" s="14"/>
      <c r="AB330" s="14">
        <f t="shared" si="397"/>
        <v>0</v>
      </c>
      <c r="AC330" s="14"/>
      <c r="AE330" s="11"/>
      <c r="AG330" s="52">
        <f t="shared" si="462"/>
        <v>3.5077500000000001</v>
      </c>
      <c r="AH330" s="52">
        <f t="shared" si="463"/>
        <v>0</v>
      </c>
      <c r="AI330" s="193">
        <f t="shared" si="464"/>
        <v>3.5077500000000001</v>
      </c>
      <c r="AJ330" s="194">
        <f t="shared" si="465"/>
        <v>0</v>
      </c>
      <c r="AK330" s="195">
        <f t="shared" si="466"/>
        <v>0</v>
      </c>
      <c r="AL330" s="196">
        <f t="shared" si="467"/>
        <v>0</v>
      </c>
      <c r="AM330" s="52">
        <f t="shared" si="468"/>
        <v>3.24</v>
      </c>
      <c r="AN330" s="52">
        <f t="shared" si="469"/>
        <v>0</v>
      </c>
      <c r="AO330" s="52">
        <f t="shared" si="470"/>
        <v>0</v>
      </c>
      <c r="AP330" s="52">
        <f t="shared" si="471"/>
        <v>0</v>
      </c>
    </row>
    <row r="331" spans="1:42" ht="20.100000000000001" customHeight="1" x14ac:dyDescent="0.25">
      <c r="A331" s="129"/>
      <c r="B331" s="182" t="s">
        <v>367</v>
      </c>
      <c r="C331" s="183"/>
      <c r="E331" s="189" t="s">
        <v>589</v>
      </c>
      <c r="F331" s="14">
        <v>1</v>
      </c>
      <c r="G331" s="14">
        <v>3.74</v>
      </c>
      <c r="H331" s="14">
        <v>0.2</v>
      </c>
      <c r="I331" s="14">
        <v>0.45</v>
      </c>
      <c r="J331" s="11">
        <f t="shared" si="454"/>
        <v>0.33660000000000007</v>
      </c>
      <c r="K331" s="11">
        <f t="shared" si="455"/>
        <v>0.74800000000000011</v>
      </c>
      <c r="L331" s="11">
        <f t="shared" si="456"/>
        <v>2.431</v>
      </c>
      <c r="M331" s="190">
        <v>0.125</v>
      </c>
      <c r="N331" s="14">
        <f t="shared" si="457"/>
        <v>0.32500000000000001</v>
      </c>
      <c r="O331" s="14">
        <f t="shared" si="458"/>
        <v>1.2155</v>
      </c>
      <c r="P331" s="190">
        <v>0.125</v>
      </c>
      <c r="Q331" s="14">
        <f t="shared" si="459"/>
        <v>0.32500000000000001</v>
      </c>
      <c r="R331" s="14">
        <f t="shared" si="460"/>
        <v>1.2155</v>
      </c>
      <c r="S331" s="14"/>
      <c r="T331" s="14"/>
      <c r="U331" s="191">
        <f t="shared" si="461"/>
        <v>0</v>
      </c>
      <c r="V331" s="14"/>
      <c r="W331" s="14"/>
      <c r="X331" s="14"/>
      <c r="Y331" s="14"/>
      <c r="Z331" s="14"/>
      <c r="AA331" s="14"/>
      <c r="AB331" s="14">
        <f t="shared" si="397"/>
        <v>0</v>
      </c>
      <c r="AC331" s="14"/>
      <c r="AE331" s="11"/>
      <c r="AG331" s="52">
        <f t="shared" si="462"/>
        <v>3.1790000000000003</v>
      </c>
      <c r="AH331" s="52">
        <f t="shared" si="463"/>
        <v>0</v>
      </c>
      <c r="AI331" s="193">
        <f t="shared" si="464"/>
        <v>0</v>
      </c>
      <c r="AJ331" s="194">
        <f t="shared" si="465"/>
        <v>0</v>
      </c>
      <c r="AK331" s="195">
        <f t="shared" si="466"/>
        <v>3.1790000000000003</v>
      </c>
      <c r="AL331" s="196">
        <f t="shared" si="467"/>
        <v>0</v>
      </c>
      <c r="AM331" s="52">
        <f t="shared" si="468"/>
        <v>0</v>
      </c>
      <c r="AN331" s="52">
        <f t="shared" si="469"/>
        <v>0</v>
      </c>
      <c r="AO331" s="52">
        <f t="shared" si="470"/>
        <v>3.74</v>
      </c>
      <c r="AP331" s="52">
        <f t="shared" si="471"/>
        <v>0</v>
      </c>
    </row>
    <row r="332" spans="1:42" s="207" customFormat="1" ht="20.100000000000001" customHeight="1" x14ac:dyDescent="0.25">
      <c r="A332" s="197"/>
      <c r="B332" s="182" t="s">
        <v>367</v>
      </c>
      <c r="C332" s="182"/>
      <c r="D332" s="198"/>
      <c r="E332" s="189"/>
      <c r="F332" s="199">
        <f>SUM(F311:F331)</f>
        <v>21</v>
      </c>
      <c r="G332" s="199">
        <f>SUM(G311:G331)</f>
        <v>50.452000000000005</v>
      </c>
      <c r="H332" s="200">
        <f>IFERROR(AVERAGE(H311:H321),0)</f>
        <v>0.19999999999999998</v>
      </c>
      <c r="I332" s="200">
        <f>IFERROR(AVERAGE(I311:I321),0)</f>
        <v>0.45000000000000012</v>
      </c>
      <c r="J332" s="199">
        <f>SUM(J311:J331)</f>
        <v>4.54068</v>
      </c>
      <c r="K332" s="199">
        <f>SUM(K311:K331)</f>
        <v>10.090400000000001</v>
      </c>
      <c r="L332" s="199">
        <f>SUM(L311:L331)</f>
        <v>39.862550000000006</v>
      </c>
      <c r="M332" s="200">
        <f>IFERROR(AVERAGE(M311:M321),0)</f>
        <v>0.125</v>
      </c>
      <c r="N332" s="200">
        <f>IFERROR(AVERAGE(N311:N321),0)</f>
        <v>0.32500000000000007</v>
      </c>
      <c r="O332" s="199">
        <f>SUM(O311:O331)</f>
        <v>16.396900000000002</v>
      </c>
      <c r="P332" s="200">
        <f>IFERROR(AVERAGE(P311:P321),0)</f>
        <v>0.125</v>
      </c>
      <c r="Q332" s="200">
        <f>IFERROR(AVERAGE(Q311:Q321),0)</f>
        <v>0.42727272727272736</v>
      </c>
      <c r="R332" s="199">
        <f>SUM(R311:R331)</f>
        <v>21.17315</v>
      </c>
      <c r="S332" s="199">
        <f>SUM(S311:S331)</f>
        <v>4.1000000000000005</v>
      </c>
      <c r="T332" s="199">
        <f>SUM(T311:T331)</f>
        <v>0</v>
      </c>
      <c r="U332" s="199">
        <f>SUM(U311:U331)</f>
        <v>3.1024999999999996</v>
      </c>
      <c r="V332" s="201"/>
      <c r="W332" s="201"/>
      <c r="X332" s="201"/>
      <c r="Y332" s="201"/>
      <c r="Z332" s="201"/>
      <c r="AA332" s="201"/>
      <c r="AB332" s="199">
        <f>SUM(AB311:AB331)</f>
        <v>0.81</v>
      </c>
      <c r="AC332" s="199"/>
      <c r="AD332" s="202"/>
      <c r="AE332" s="199"/>
      <c r="AF332" s="203"/>
      <c r="AG332" s="199">
        <f t="shared" ref="AG332:AP332" si="472">SUM(AG311:AG321)</f>
        <v>28.420500000000008</v>
      </c>
      <c r="AH332" s="204">
        <f t="shared" si="472"/>
        <v>0</v>
      </c>
      <c r="AI332" s="205">
        <f t="shared" si="472"/>
        <v>24.000499999999999</v>
      </c>
      <c r="AJ332" s="206">
        <f t="shared" si="472"/>
        <v>0</v>
      </c>
      <c r="AK332" s="205">
        <f t="shared" si="472"/>
        <v>4.42</v>
      </c>
      <c r="AL332" s="206">
        <f t="shared" si="472"/>
        <v>0</v>
      </c>
      <c r="AM332" s="206">
        <f t="shared" si="472"/>
        <v>23.13</v>
      </c>
      <c r="AN332" s="206">
        <f t="shared" si="472"/>
        <v>0</v>
      </c>
      <c r="AO332" s="206">
        <f t="shared" si="472"/>
        <v>5.2</v>
      </c>
      <c r="AP332" s="206">
        <f t="shared" si="472"/>
        <v>0</v>
      </c>
    </row>
  </sheetData>
  <mergeCells count="16">
    <mergeCell ref="AM17:AN17"/>
    <mergeCell ref="AO17:AP17"/>
    <mergeCell ref="AG16:AL16"/>
    <mergeCell ref="AM16:AP16"/>
    <mergeCell ref="AA4:AE4"/>
    <mergeCell ref="AF4:AJ4"/>
    <mergeCell ref="V17:AA17"/>
    <mergeCell ref="AG17:AH17"/>
    <mergeCell ref="AI17:AJ17"/>
    <mergeCell ref="AK17:AL17"/>
    <mergeCell ref="V4:Z4"/>
    <mergeCell ref="D4:D6"/>
    <mergeCell ref="E4:E6"/>
    <mergeCell ref="F4:F6"/>
    <mergeCell ref="G4:L4"/>
    <mergeCell ref="Q4:U4"/>
  </mergeCells>
  <conditionalFormatting sqref="I1:I3 M1:M3 P1:P3">
    <cfRule type="cellIs" dxfId="18" priority="23" operator="equal">
      <formula>0.6</formula>
    </cfRule>
  </conditionalFormatting>
  <conditionalFormatting sqref="I13:I15 P13:P16 K16:M17">
    <cfRule type="cellIs" dxfId="17" priority="27" operator="equal">
      <formula>0.6</formula>
    </cfRule>
  </conditionalFormatting>
  <conditionalFormatting sqref="I18:I19">
    <cfRule type="cellIs" dxfId="16" priority="20" operator="equal">
      <formula>0.6</formula>
    </cfRule>
  </conditionalFormatting>
  <conditionalFormatting sqref="I111:I115">
    <cfRule type="cellIs" dxfId="15" priority="14" operator="equal">
      <formula>0.6</formula>
    </cfRule>
  </conditionalFormatting>
  <conditionalFormatting sqref="I210:I214">
    <cfRule type="cellIs" dxfId="14" priority="5" operator="equal">
      <formula>0.6</formula>
    </cfRule>
  </conditionalFormatting>
  <conditionalFormatting sqref="I306:I310">
    <cfRule type="cellIs" dxfId="13" priority="8" operator="equal">
      <formula>0.6</formula>
    </cfRule>
  </conditionalFormatting>
  <conditionalFormatting sqref="I332:I1048576">
    <cfRule type="cellIs" dxfId="12" priority="16" operator="equal">
      <formula>0.6</formula>
    </cfRule>
  </conditionalFormatting>
  <conditionalFormatting sqref="M13:M15">
    <cfRule type="cellIs" dxfId="11" priority="21" operator="equal">
      <formula>0.6</formula>
    </cfRule>
  </conditionalFormatting>
  <conditionalFormatting sqref="M18:M1048576 P18:P1048576 H111:H112 H210:H211 H306 H332">
    <cfRule type="cellIs" dxfId="10" priority="15" operator="equal">
      <formula>0.6</formula>
    </cfRule>
  </conditionalFormatting>
  <conditionalFormatting sqref="N111:N112">
    <cfRule type="cellIs" dxfId="9" priority="17" operator="equal">
      <formula>0.6</formula>
    </cfRule>
  </conditionalFormatting>
  <conditionalFormatting sqref="N210:N211">
    <cfRule type="cellIs" dxfId="8" priority="3" operator="equal">
      <formula>0.6</formula>
    </cfRule>
  </conditionalFormatting>
  <conditionalFormatting sqref="N306">
    <cfRule type="cellIs" dxfId="7" priority="9" operator="equal">
      <formula>0.6</formula>
    </cfRule>
  </conditionalFormatting>
  <conditionalFormatting sqref="N332">
    <cfRule type="cellIs" dxfId="6" priority="6" operator="equal">
      <formula>0.6</formula>
    </cfRule>
  </conditionalFormatting>
  <conditionalFormatting sqref="N17:O17">
    <cfRule type="cellIs" dxfId="5" priority="25" operator="equal">
      <formula>0.6</formula>
    </cfRule>
  </conditionalFormatting>
  <conditionalFormatting sqref="Q111:Q112">
    <cfRule type="cellIs" dxfId="4" priority="18" operator="equal">
      <formula>0.6</formula>
    </cfRule>
  </conditionalFormatting>
  <conditionalFormatting sqref="Q210:Q211">
    <cfRule type="cellIs" dxfId="3" priority="1" operator="equal">
      <formula>0.6</formula>
    </cfRule>
  </conditionalFormatting>
  <conditionalFormatting sqref="Q306">
    <cfRule type="cellIs" dxfId="2" priority="10" operator="equal">
      <formula>0.6</formula>
    </cfRule>
  </conditionalFormatting>
  <conditionalFormatting sqref="Q332">
    <cfRule type="cellIs" dxfId="1" priority="7" operator="equal">
      <formula>0.6</formula>
    </cfRule>
  </conditionalFormatting>
  <conditionalFormatting sqref="AE17:AF17">
    <cfRule type="cellIs" dxfId="0" priority="26" operator="equal">
      <formula>0.6</formula>
    </cfRule>
  </conditionalFormatting>
  <pageMargins left="0.7" right="0.7" top="0.75" bottom="0.75" header="0.3" footer="0.3"/>
  <pageSetup orientation="portrait" r:id="rId1"/>
  <ignoredErrors>
    <ignoredError sqref="R20 R311:R332 H332:I332 M331:O332" formulaRange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57781D-7DE8-49E6-A30C-E1A186CC68F5}">
  <dimension ref="A3:I29"/>
  <sheetViews>
    <sheetView zoomScale="90" zoomScaleNormal="90" workbookViewId="0">
      <selection activeCell="I19" sqref="I19"/>
    </sheetView>
  </sheetViews>
  <sheetFormatPr defaultRowHeight="15" x14ac:dyDescent="0.25"/>
  <cols>
    <col min="2" max="2" width="17.42578125" customWidth="1"/>
    <col min="3" max="3" width="16" customWidth="1"/>
    <col min="4" max="4" width="18.42578125" customWidth="1"/>
    <col min="8" max="8" width="12.5703125" customWidth="1"/>
  </cols>
  <sheetData>
    <row r="3" spans="1:9" x14ac:dyDescent="0.25">
      <c r="A3" s="324" t="s">
        <v>577</v>
      </c>
      <c r="B3" s="52"/>
      <c r="C3" s="52"/>
      <c r="D3" s="52"/>
      <c r="E3" s="52"/>
      <c r="F3" s="52"/>
      <c r="G3" s="52"/>
      <c r="H3" s="52"/>
      <c r="I3" s="52"/>
    </row>
    <row r="4" spans="1:9" x14ac:dyDescent="0.25">
      <c r="A4" s="52"/>
      <c r="B4" s="52"/>
      <c r="C4" s="52"/>
      <c r="D4" s="52"/>
      <c r="E4" s="52"/>
      <c r="F4" s="52"/>
      <c r="G4" s="52"/>
      <c r="H4" s="52"/>
      <c r="I4" s="52"/>
    </row>
    <row r="5" spans="1:9" x14ac:dyDescent="0.25">
      <c r="A5" s="348" t="s">
        <v>424</v>
      </c>
      <c r="B5" s="350" t="s">
        <v>1</v>
      </c>
      <c r="C5" s="350" t="s">
        <v>578</v>
      </c>
      <c r="D5" s="350"/>
    </row>
    <row r="6" spans="1:9" x14ac:dyDescent="0.25">
      <c r="A6" s="349"/>
      <c r="B6" s="351"/>
      <c r="C6" s="325" t="s">
        <v>441</v>
      </c>
      <c r="D6" s="325" t="s">
        <v>7</v>
      </c>
    </row>
    <row r="7" spans="1:9" ht="20.100000000000001" customHeight="1" x14ac:dyDescent="0.25">
      <c r="A7" s="326">
        <v>1</v>
      </c>
      <c r="B7" s="11" t="s">
        <v>464</v>
      </c>
      <c r="C7" s="11">
        <f>G29</f>
        <v>2.45827382547645</v>
      </c>
      <c r="D7" s="11">
        <f>H29</f>
        <v>18.334411230224163</v>
      </c>
    </row>
    <row r="8" spans="1:9" ht="20.100000000000001" customHeight="1" x14ac:dyDescent="0.25">
      <c r="A8" s="326">
        <f>A7+1</f>
        <v>2</v>
      </c>
      <c r="B8" s="11" t="s">
        <v>579</v>
      </c>
      <c r="C8" s="11">
        <f>C7</f>
        <v>2.45827382547645</v>
      </c>
      <c r="D8" s="11">
        <f>D7</f>
        <v>18.334411230224163</v>
      </c>
    </row>
    <row r="9" spans="1:9" ht="20.100000000000001" customHeight="1" x14ac:dyDescent="0.25">
      <c r="A9" s="327"/>
      <c r="B9" s="327"/>
      <c r="C9" s="328">
        <f>SUM(C7:C8)</f>
        <v>4.9165476509529</v>
      </c>
      <c r="D9" s="328">
        <f>SUM(D7:D8)</f>
        <v>36.668822460448325</v>
      </c>
    </row>
    <row r="10" spans="1:9" ht="20.100000000000001" customHeight="1" x14ac:dyDescent="0.25">
      <c r="A10" s="52"/>
      <c r="B10" s="52"/>
      <c r="C10" s="52"/>
      <c r="D10" s="52"/>
      <c r="E10" s="52"/>
      <c r="F10" s="52"/>
      <c r="G10" s="52"/>
      <c r="H10" s="52"/>
      <c r="I10" s="52"/>
    </row>
    <row r="11" spans="1:9" ht="25.5" x14ac:dyDescent="0.25">
      <c r="A11" s="52"/>
      <c r="B11" s="52"/>
      <c r="C11" s="52"/>
      <c r="D11" s="331" t="s">
        <v>568</v>
      </c>
      <c r="E11" s="52">
        <v>0.15</v>
      </c>
      <c r="F11" s="52" t="s">
        <v>51</v>
      </c>
      <c r="G11" s="52"/>
      <c r="H11" s="52"/>
      <c r="I11" s="52"/>
    </row>
    <row r="12" spans="1:9" x14ac:dyDescent="0.25">
      <c r="A12" s="52"/>
      <c r="B12" s="324" t="s">
        <v>12</v>
      </c>
      <c r="C12" s="52"/>
      <c r="D12" s="52"/>
      <c r="E12" s="52"/>
      <c r="F12" s="52"/>
      <c r="G12" s="52"/>
      <c r="H12" s="52"/>
      <c r="I12" s="52"/>
    </row>
    <row r="13" spans="1:9" x14ac:dyDescent="0.25">
      <c r="A13" s="348" t="s">
        <v>569</v>
      </c>
      <c r="B13" s="350"/>
      <c r="C13" s="350"/>
      <c r="D13" s="350"/>
      <c r="E13" s="350"/>
      <c r="F13" s="350"/>
      <c r="G13" s="350"/>
      <c r="H13" s="350"/>
      <c r="I13" s="52"/>
    </row>
    <row r="14" spans="1:9" ht="38.25" x14ac:dyDescent="0.25">
      <c r="A14" s="19" t="s">
        <v>83</v>
      </c>
      <c r="B14" s="7" t="s">
        <v>1</v>
      </c>
      <c r="C14" s="7" t="s">
        <v>2</v>
      </c>
      <c r="D14" s="7" t="s">
        <v>3</v>
      </c>
      <c r="E14" s="7" t="s">
        <v>4</v>
      </c>
      <c r="F14" s="7" t="s">
        <v>5</v>
      </c>
      <c r="G14" s="8" t="s">
        <v>6</v>
      </c>
      <c r="H14" s="8" t="s">
        <v>7</v>
      </c>
      <c r="I14" s="52"/>
    </row>
    <row r="15" spans="1:9" ht="20.100000000000001" customHeight="1" x14ac:dyDescent="0.25">
      <c r="A15" s="19"/>
      <c r="B15" s="8" t="s">
        <v>570</v>
      </c>
      <c r="C15" s="7"/>
      <c r="D15" s="7"/>
      <c r="E15" s="7"/>
      <c r="F15" s="7"/>
      <c r="G15" s="8"/>
      <c r="H15" s="8"/>
      <c r="I15" s="52"/>
    </row>
    <row r="16" spans="1:9" ht="20.100000000000001" customHeight="1" x14ac:dyDescent="0.25">
      <c r="A16" s="13"/>
      <c r="B16" s="15" t="s">
        <v>571</v>
      </c>
      <c r="C16" s="329"/>
      <c r="D16" s="329"/>
      <c r="E16" s="329"/>
      <c r="F16" s="329"/>
      <c r="G16" s="329"/>
      <c r="H16" s="329"/>
      <c r="I16" s="52"/>
    </row>
    <row r="17" spans="1:9" ht="20.100000000000001" customHeight="1" x14ac:dyDescent="0.25">
      <c r="A17" s="13">
        <f>+A16+1</f>
        <v>1</v>
      </c>
      <c r="B17" s="11" t="s">
        <v>572</v>
      </c>
      <c r="C17" s="11">
        <v>1</v>
      </c>
      <c r="D17" s="11">
        <f>(SQRT(F18*F18+D18*D18))*C18</f>
        <v>2.6832815729997477</v>
      </c>
      <c r="E17" s="11">
        <v>1.25</v>
      </c>
      <c r="F17" s="11">
        <f>$E$11</f>
        <v>0.15</v>
      </c>
      <c r="G17" s="11">
        <f>C17*D17*E17*F17</f>
        <v>0.50311529493745266</v>
      </c>
      <c r="H17" s="11">
        <f>C17*(D17*E17)+(D17*F17)</f>
        <v>3.756594202199647</v>
      </c>
      <c r="I17" s="52"/>
    </row>
    <row r="18" spans="1:9" ht="20.100000000000001" customHeight="1" x14ac:dyDescent="0.25">
      <c r="A18" s="13">
        <f>+A17+1</f>
        <v>2</v>
      </c>
      <c r="B18" s="11" t="s">
        <v>573</v>
      </c>
      <c r="C18" s="11">
        <v>8</v>
      </c>
      <c r="D18" s="11">
        <v>0.3</v>
      </c>
      <c r="E18" s="11">
        <v>1.25</v>
      </c>
      <c r="F18" s="11">
        <v>0.15</v>
      </c>
      <c r="G18" s="11">
        <f>0.5*D18*F18*E18*C18</f>
        <v>0.22499999999999998</v>
      </c>
      <c r="H18" s="11">
        <f>(C18*0.5*D18*F18)+(C18+1)*E18*F18</f>
        <v>1.8674999999999999</v>
      </c>
      <c r="I18" s="52"/>
    </row>
    <row r="19" spans="1:9" ht="20.100000000000001" customHeight="1" x14ac:dyDescent="0.25">
      <c r="A19" s="13">
        <f>+A18+1</f>
        <v>3</v>
      </c>
      <c r="B19" s="11" t="s">
        <v>574</v>
      </c>
      <c r="C19" s="11">
        <v>1</v>
      </c>
      <c r="D19" s="11">
        <v>1.2</v>
      </c>
      <c r="E19" s="11">
        <v>1.35</v>
      </c>
      <c r="F19" s="11">
        <f>+F17</f>
        <v>0.15</v>
      </c>
      <c r="G19" s="11">
        <f>C19*D19*E19*F19</f>
        <v>0.24299999999999999</v>
      </c>
      <c r="H19" s="11">
        <f>C19*(D19*E19)</f>
        <v>1.62</v>
      </c>
      <c r="I19" s="52"/>
    </row>
    <row r="20" spans="1:9" ht="20.100000000000001" customHeight="1" x14ac:dyDescent="0.25">
      <c r="A20" s="13"/>
      <c r="B20" s="15" t="s">
        <v>575</v>
      </c>
      <c r="C20" s="11"/>
      <c r="D20" s="11"/>
      <c r="E20" s="11"/>
      <c r="F20" s="11"/>
      <c r="G20" s="11"/>
      <c r="H20" s="11"/>
      <c r="I20" s="52"/>
    </row>
    <row r="21" spans="1:9" ht="20.100000000000001" customHeight="1" x14ac:dyDescent="0.25">
      <c r="A21" s="13">
        <f>+A19+1</f>
        <v>4</v>
      </c>
      <c r="B21" s="11" t="s">
        <v>572</v>
      </c>
      <c r="C21" s="11">
        <v>1</v>
      </c>
      <c r="D21" s="11">
        <f>(SQRT(F22*F22+D22*D22))*C22</f>
        <v>1.0062305898749053</v>
      </c>
      <c r="E21" s="11">
        <v>1.25</v>
      </c>
      <c r="F21" s="11">
        <f>$E$11</f>
        <v>0.15</v>
      </c>
      <c r="G21" s="11">
        <f>C21*D21*E21*F21</f>
        <v>0.18866823560154472</v>
      </c>
      <c r="H21" s="11">
        <f>C21*(D21*E21)+(D21*F21)</f>
        <v>1.4087228258248674</v>
      </c>
      <c r="I21" s="52"/>
    </row>
    <row r="22" spans="1:9" ht="20.100000000000001" customHeight="1" x14ac:dyDescent="0.25">
      <c r="A22" s="13">
        <f>+A21+1</f>
        <v>5</v>
      </c>
      <c r="B22" s="11" t="s">
        <v>573</v>
      </c>
      <c r="C22" s="11">
        <v>3</v>
      </c>
      <c r="D22" s="11">
        <v>0.3</v>
      </c>
      <c r="E22" s="11">
        <v>1.25</v>
      </c>
      <c r="F22" s="11">
        <v>0.15</v>
      </c>
      <c r="G22" s="11">
        <f>0.5*D22*F22*E22*C22</f>
        <v>8.4374999999999992E-2</v>
      </c>
      <c r="H22" s="11">
        <f>(C22*0.5*D22*F22)+(C22+1)*E22*F22</f>
        <v>0.8175</v>
      </c>
      <c r="I22" s="52"/>
    </row>
    <row r="23" spans="1:9" ht="20.100000000000001" customHeight="1" x14ac:dyDescent="0.25">
      <c r="A23" s="13">
        <f>+A19+1</f>
        <v>4</v>
      </c>
      <c r="B23" s="11" t="s">
        <v>574</v>
      </c>
      <c r="C23" s="11">
        <v>1</v>
      </c>
      <c r="D23" s="11">
        <v>1.2</v>
      </c>
      <c r="E23" s="11">
        <v>1.35</v>
      </c>
      <c r="F23" s="11">
        <f>$E$11</f>
        <v>0.15</v>
      </c>
      <c r="G23" s="11">
        <f>C23*D23*E23*F23</f>
        <v>0.24299999999999999</v>
      </c>
      <c r="H23" s="11">
        <f>C23*(D23*E23)</f>
        <v>1.62</v>
      </c>
      <c r="I23" s="52"/>
    </row>
    <row r="24" spans="1:9" ht="20.100000000000001" customHeight="1" x14ac:dyDescent="0.25">
      <c r="A24" s="13"/>
      <c r="B24" s="15" t="s">
        <v>575</v>
      </c>
      <c r="C24" s="11"/>
      <c r="D24" s="11"/>
      <c r="E24" s="11"/>
      <c r="F24" s="11"/>
      <c r="G24" s="11"/>
      <c r="H24" s="11"/>
      <c r="I24" s="52"/>
    </row>
    <row r="25" spans="1:9" ht="20.100000000000001" customHeight="1" x14ac:dyDescent="0.25">
      <c r="A25" s="13">
        <f>+A23+1</f>
        <v>5</v>
      </c>
      <c r="B25" s="11" t="s">
        <v>572</v>
      </c>
      <c r="C25" s="11">
        <v>1</v>
      </c>
      <c r="D25" s="11">
        <f>(SQRT(F26*F26+D26*D26))*C26</f>
        <v>2.6832815729997477</v>
      </c>
      <c r="E25" s="11">
        <v>1.25</v>
      </c>
      <c r="F25" s="11">
        <f>$E$11</f>
        <v>0.15</v>
      </c>
      <c r="G25" s="11">
        <f>C25*D25*E25*F25</f>
        <v>0.50311529493745266</v>
      </c>
      <c r="H25" s="11">
        <f>C25*(D25*E25)+(D25*F25)</f>
        <v>3.756594202199647</v>
      </c>
      <c r="I25" s="52"/>
    </row>
    <row r="26" spans="1:9" ht="20.100000000000001" customHeight="1" x14ac:dyDescent="0.25">
      <c r="A26" s="13">
        <f>+A25+1</f>
        <v>6</v>
      </c>
      <c r="B26" s="11" t="s">
        <v>573</v>
      </c>
      <c r="C26" s="11">
        <v>8</v>
      </c>
      <c r="D26" s="11">
        <v>0.3</v>
      </c>
      <c r="E26" s="11">
        <v>1.25</v>
      </c>
      <c r="F26" s="11">
        <v>0.15</v>
      </c>
      <c r="G26" s="11">
        <f>0.5*D26*F26*E26*C26</f>
        <v>0.22499999999999998</v>
      </c>
      <c r="H26" s="11">
        <f>(C26*0.5*D26*F26)+(C26+1)*E26*F26</f>
        <v>1.8674999999999999</v>
      </c>
      <c r="I26" s="52"/>
    </row>
    <row r="27" spans="1:9" ht="20.100000000000001" customHeight="1" x14ac:dyDescent="0.25">
      <c r="A27" s="13">
        <f>+A23+1</f>
        <v>5</v>
      </c>
      <c r="B27" s="11" t="s">
        <v>574</v>
      </c>
      <c r="C27" s="11">
        <v>1</v>
      </c>
      <c r="D27" s="11">
        <v>1.2</v>
      </c>
      <c r="E27" s="11">
        <v>1.35</v>
      </c>
      <c r="F27" s="11">
        <f>$E$11</f>
        <v>0.15</v>
      </c>
      <c r="G27" s="11">
        <f>C27*D27*E27*F27</f>
        <v>0.24299999999999999</v>
      </c>
      <c r="H27" s="11">
        <f>C27*(D27*E27)</f>
        <v>1.62</v>
      </c>
      <c r="I27" s="52"/>
    </row>
    <row r="28" spans="1:9" ht="20.100000000000001" customHeight="1" x14ac:dyDescent="0.25">
      <c r="A28" s="13"/>
      <c r="B28" s="11"/>
      <c r="C28" s="11"/>
      <c r="D28" s="11"/>
      <c r="E28" s="11"/>
      <c r="F28" s="11"/>
      <c r="G28" s="11"/>
      <c r="H28" s="11"/>
      <c r="I28" s="52"/>
    </row>
    <row r="29" spans="1:9" x14ac:dyDescent="0.25">
      <c r="A29" s="326"/>
      <c r="B29" s="11"/>
      <c r="C29" s="11"/>
      <c r="D29" s="11"/>
      <c r="E29" s="11"/>
      <c r="F29" s="330" t="s">
        <v>576</v>
      </c>
      <c r="G29" s="15">
        <f>SUM(G17:G28)</f>
        <v>2.45827382547645</v>
      </c>
      <c r="H29" s="15">
        <f>SUM(H17:H28)</f>
        <v>18.334411230224163</v>
      </c>
      <c r="I29" s="52"/>
    </row>
  </sheetData>
  <mergeCells count="4">
    <mergeCell ref="A5:A6"/>
    <mergeCell ref="B5:B6"/>
    <mergeCell ref="C5:D5"/>
    <mergeCell ref="A13:H13"/>
  </mergeCells>
  <pageMargins left="0.7" right="0.7" top="0.75" bottom="0.75" header="0.3" footer="0.3"/>
  <ignoredErrors>
    <ignoredError sqref="G18:H26" formula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76311F-97C5-4D20-8EE5-D3787611B743}">
  <dimension ref="A1:K39"/>
  <sheetViews>
    <sheetView topLeftCell="A4" zoomScale="90" zoomScaleNormal="90" workbookViewId="0">
      <selection activeCell="H18" sqref="H18"/>
    </sheetView>
  </sheetViews>
  <sheetFormatPr defaultRowHeight="20.100000000000001" customHeight="1" x14ac:dyDescent="0.25"/>
  <cols>
    <col min="1" max="2" width="9.140625" style="95"/>
    <col min="3" max="3" width="15.140625" style="95" customWidth="1"/>
    <col min="4" max="7" width="9.140625" style="95"/>
    <col min="8" max="8" width="11.140625" style="95" customWidth="1"/>
    <col min="9" max="9" width="12.42578125" style="95" customWidth="1"/>
    <col min="10" max="10" width="9.140625" style="95"/>
    <col min="11" max="11" width="15.7109375" style="95" customWidth="1"/>
    <col min="12" max="16384" width="9.140625" style="95"/>
  </cols>
  <sheetData>
    <row r="1" spans="1:11" ht="20.100000000000001" customHeight="1" x14ac:dyDescent="0.25">
      <c r="A1" s="333" t="s">
        <v>607</v>
      </c>
    </row>
    <row r="4" spans="1:11" ht="20.100000000000001" customHeight="1" x14ac:dyDescent="0.25">
      <c r="B4" s="332" t="s">
        <v>390</v>
      </c>
      <c r="C4" s="95">
        <v>0.45</v>
      </c>
    </row>
    <row r="5" spans="1:11" ht="20.100000000000001" customHeight="1" x14ac:dyDescent="0.25">
      <c r="B5" s="332" t="s">
        <v>601</v>
      </c>
      <c r="C5" s="95">
        <v>0.1</v>
      </c>
    </row>
    <row r="6" spans="1:11" ht="20.100000000000001" customHeight="1" x14ac:dyDescent="0.25">
      <c r="B6" s="332" t="s">
        <v>602</v>
      </c>
      <c r="C6" s="95">
        <v>2.6</v>
      </c>
    </row>
    <row r="7" spans="1:11" ht="20.100000000000001" customHeight="1" x14ac:dyDescent="0.25">
      <c r="B7" s="95" t="s">
        <v>609</v>
      </c>
      <c r="C7" s="334">
        <v>1.2</v>
      </c>
    </row>
    <row r="9" spans="1:11" ht="20.100000000000001" customHeight="1" x14ac:dyDescent="0.25">
      <c r="B9" s="333" t="s">
        <v>608</v>
      </c>
    </row>
    <row r="10" spans="1:11" ht="20.100000000000001" customHeight="1" x14ac:dyDescent="0.25">
      <c r="B10" s="94" t="s">
        <v>424</v>
      </c>
      <c r="C10" s="94" t="s">
        <v>1</v>
      </c>
      <c r="D10" s="94" t="s">
        <v>2</v>
      </c>
      <c r="E10" s="94" t="s">
        <v>597</v>
      </c>
      <c r="F10" s="94" t="s">
        <v>470</v>
      </c>
      <c r="G10" s="94" t="s">
        <v>471</v>
      </c>
      <c r="H10" s="94" t="s">
        <v>598</v>
      </c>
      <c r="I10" s="94" t="s">
        <v>599</v>
      </c>
      <c r="J10" s="94" t="s">
        <v>606</v>
      </c>
      <c r="K10" s="94" t="s">
        <v>626</v>
      </c>
    </row>
    <row r="11" spans="1:11" ht="20.100000000000001" customHeight="1" x14ac:dyDescent="0.25">
      <c r="B11" s="95">
        <v>1</v>
      </c>
      <c r="C11" s="335" t="s">
        <v>604</v>
      </c>
      <c r="D11" s="167">
        <v>1</v>
      </c>
      <c r="E11" s="167">
        <v>30.622</v>
      </c>
      <c r="F11" s="167">
        <f>2.1</f>
        <v>2.1</v>
      </c>
      <c r="G11" s="167">
        <f>$C$4</f>
        <v>0.45</v>
      </c>
      <c r="H11" s="167">
        <f t="shared" ref="H11:H15" si="0">D11*E11*F11*G11</f>
        <v>28.937790000000003</v>
      </c>
      <c r="I11" s="167">
        <f t="shared" ref="I11:I16" si="1">D11*E11*G11*2</f>
        <v>27.559799999999999</v>
      </c>
      <c r="J11" s="167">
        <f>D11*E11*(F11+0.1*2)*$C$5</f>
        <v>7.0430600000000014</v>
      </c>
      <c r="K11" s="163">
        <f t="shared" ref="K11:K16" si="2">D11*E11*(F11+0.3+0.3)</f>
        <v>82.679399999999987</v>
      </c>
    </row>
    <row r="12" spans="1:11" ht="20.100000000000001" customHeight="1" x14ac:dyDescent="0.25">
      <c r="B12" s="95">
        <v>2</v>
      </c>
      <c r="C12" s="335" t="s">
        <v>600</v>
      </c>
      <c r="D12" s="167">
        <v>1</v>
      </c>
      <c r="E12" s="167">
        <v>27.402999999999999</v>
      </c>
      <c r="F12" s="167">
        <f t="shared" ref="F12:G14" si="3">F11</f>
        <v>2.1</v>
      </c>
      <c r="G12" s="167">
        <f t="shared" si="3"/>
        <v>0.45</v>
      </c>
      <c r="H12" s="167">
        <f t="shared" si="0"/>
        <v>25.895835000000002</v>
      </c>
      <c r="I12" s="167">
        <f t="shared" si="1"/>
        <v>24.662700000000001</v>
      </c>
      <c r="J12" s="167">
        <f t="shared" ref="J12:J16" si="4">D12*E12*(F12+0.1*2)*$C$5</f>
        <v>6.302690000000001</v>
      </c>
      <c r="K12" s="163">
        <f t="shared" si="2"/>
        <v>73.988099999999989</v>
      </c>
    </row>
    <row r="13" spans="1:11" ht="20.100000000000001" customHeight="1" x14ac:dyDescent="0.25">
      <c r="B13" s="95">
        <v>3</v>
      </c>
      <c r="C13" s="335" t="s">
        <v>628</v>
      </c>
      <c r="D13" s="167">
        <v>1</v>
      </c>
      <c r="E13" s="167">
        <v>29.398</v>
      </c>
      <c r="F13" s="167">
        <f t="shared" si="3"/>
        <v>2.1</v>
      </c>
      <c r="G13" s="167">
        <f t="shared" si="3"/>
        <v>0.45</v>
      </c>
      <c r="H13" s="167">
        <f t="shared" si="0"/>
        <v>27.781110000000002</v>
      </c>
      <c r="I13" s="167">
        <f t="shared" si="1"/>
        <v>26.458200000000001</v>
      </c>
      <c r="J13" s="167">
        <f t="shared" si="4"/>
        <v>6.761540000000001</v>
      </c>
      <c r="K13" s="163">
        <f t="shared" si="2"/>
        <v>79.374599999999987</v>
      </c>
    </row>
    <row r="14" spans="1:11" ht="20.100000000000001" customHeight="1" x14ac:dyDescent="0.25">
      <c r="B14" s="95">
        <v>4</v>
      </c>
      <c r="C14" s="335" t="s">
        <v>627</v>
      </c>
      <c r="D14" s="167">
        <v>1</v>
      </c>
      <c r="E14" s="167">
        <v>3.8220000000000001</v>
      </c>
      <c r="F14" s="167">
        <f t="shared" si="3"/>
        <v>2.1</v>
      </c>
      <c r="G14" s="167">
        <f t="shared" si="3"/>
        <v>0.45</v>
      </c>
      <c r="H14" s="167">
        <f t="shared" si="0"/>
        <v>3.6117900000000005</v>
      </c>
      <c r="I14" s="167">
        <f t="shared" si="1"/>
        <v>3.4398</v>
      </c>
      <c r="J14" s="167">
        <f t="shared" si="4"/>
        <v>0.87906000000000017</v>
      </c>
      <c r="K14" s="163">
        <f t="shared" si="2"/>
        <v>10.3194</v>
      </c>
    </row>
    <row r="15" spans="1:11" ht="20.100000000000001" customHeight="1" x14ac:dyDescent="0.25">
      <c r="B15" s="95">
        <v>5</v>
      </c>
      <c r="C15" s="335" t="s">
        <v>605</v>
      </c>
      <c r="D15" s="167">
        <f>1*0</f>
        <v>0</v>
      </c>
      <c r="E15" s="167">
        <v>20.523</v>
      </c>
      <c r="F15" s="167">
        <f>F14</f>
        <v>2.1</v>
      </c>
      <c r="G15" s="167">
        <f>G13</f>
        <v>0.45</v>
      </c>
      <c r="H15" s="167">
        <f t="shared" si="0"/>
        <v>0</v>
      </c>
      <c r="I15" s="167">
        <f t="shared" si="1"/>
        <v>0</v>
      </c>
      <c r="J15" s="167">
        <f t="shared" si="4"/>
        <v>0</v>
      </c>
      <c r="K15" s="163">
        <f t="shared" si="2"/>
        <v>0</v>
      </c>
    </row>
    <row r="16" spans="1:11" ht="20.100000000000001" customHeight="1" x14ac:dyDescent="0.25">
      <c r="B16" s="95">
        <v>6</v>
      </c>
      <c r="C16" s="335" t="s">
        <v>605</v>
      </c>
      <c r="D16" s="167">
        <f>1*0</f>
        <v>0</v>
      </c>
      <c r="E16" s="167">
        <v>5.5640000000000001</v>
      </c>
      <c r="F16" s="167">
        <f>F15</f>
        <v>2.1</v>
      </c>
      <c r="G16" s="167">
        <f>G14</f>
        <v>0.45</v>
      </c>
      <c r="H16" s="167">
        <f>D16*E16*F16*G16</f>
        <v>0</v>
      </c>
      <c r="I16" s="167">
        <f t="shared" si="1"/>
        <v>0</v>
      </c>
      <c r="J16" s="167">
        <f t="shared" si="4"/>
        <v>0</v>
      </c>
      <c r="K16" s="163">
        <f t="shared" si="2"/>
        <v>0</v>
      </c>
    </row>
    <row r="17" spans="2:11" ht="20.100000000000001" customHeight="1" x14ac:dyDescent="0.25">
      <c r="C17" s="94" t="s">
        <v>30</v>
      </c>
      <c r="D17" s="167"/>
      <c r="E17" s="167"/>
      <c r="F17" s="167"/>
      <c r="G17" s="167"/>
      <c r="H17" s="165">
        <f>SUM(H11:H16)</f>
        <v>86.226525000000009</v>
      </c>
      <c r="I17" s="165">
        <f>SUM(I11:I16)</f>
        <v>82.120500000000007</v>
      </c>
      <c r="J17" s="165">
        <f>SUM(J11:J16)</f>
        <v>20.986350000000002</v>
      </c>
      <c r="K17" s="165">
        <f>SUM(K11:K16)</f>
        <v>246.36149999999995</v>
      </c>
    </row>
    <row r="20" spans="2:11" ht="20.100000000000001" customHeight="1" x14ac:dyDescent="0.25">
      <c r="B20" s="333" t="s">
        <v>603</v>
      </c>
    </row>
    <row r="21" spans="2:11" ht="20.100000000000001" customHeight="1" x14ac:dyDescent="0.25">
      <c r="B21" s="94" t="s">
        <v>424</v>
      </c>
      <c r="C21" s="94" t="s">
        <v>1</v>
      </c>
      <c r="D21" s="94" t="s">
        <v>2</v>
      </c>
      <c r="E21" s="94" t="s">
        <v>597</v>
      </c>
      <c r="F21" s="94" t="s">
        <v>470</v>
      </c>
      <c r="G21" s="94" t="s">
        <v>471</v>
      </c>
      <c r="H21" s="94" t="s">
        <v>598</v>
      </c>
      <c r="I21" s="94" t="s">
        <v>599</v>
      </c>
    </row>
    <row r="22" spans="2:11" ht="20.100000000000001" customHeight="1" x14ac:dyDescent="0.25">
      <c r="B22" s="95">
        <v>1</v>
      </c>
      <c r="C22" s="335" t="s">
        <v>604</v>
      </c>
      <c r="D22" s="167">
        <v>1</v>
      </c>
      <c r="E22" s="167">
        <f>E11</f>
        <v>30.622</v>
      </c>
      <c r="F22" s="167">
        <v>0.25</v>
      </c>
      <c r="G22" s="167">
        <f>$C$7-$C$5-$C$4+$C$6</f>
        <v>3.25</v>
      </c>
      <c r="H22" s="167">
        <f t="shared" ref="H22:H27" si="5">D22*E22*F22*G22</f>
        <v>24.880375000000001</v>
      </c>
      <c r="I22" s="167">
        <f t="shared" ref="I22:I27" si="6">D22*E22*G22*2</f>
        <v>199.04300000000001</v>
      </c>
    </row>
    <row r="23" spans="2:11" ht="20.100000000000001" customHeight="1" x14ac:dyDescent="0.25">
      <c r="B23" s="95">
        <v>2</v>
      </c>
      <c r="C23" s="335" t="s">
        <v>600</v>
      </c>
      <c r="D23" s="167">
        <v>1</v>
      </c>
      <c r="E23" s="167">
        <f t="shared" ref="E23:E27" si="7">E12</f>
        <v>27.402999999999999</v>
      </c>
      <c r="F23" s="167">
        <v>0.25</v>
      </c>
      <c r="G23" s="167">
        <f>G22</f>
        <v>3.25</v>
      </c>
      <c r="H23" s="167">
        <f t="shared" si="5"/>
        <v>22.264937499999998</v>
      </c>
      <c r="I23" s="167">
        <f t="shared" si="6"/>
        <v>178.11949999999999</v>
      </c>
    </row>
    <row r="24" spans="2:11" ht="20.100000000000001" customHeight="1" x14ac:dyDescent="0.25">
      <c r="B24" s="95">
        <v>3</v>
      </c>
      <c r="C24" s="335" t="s">
        <v>628</v>
      </c>
      <c r="D24" s="167">
        <f>D13</f>
        <v>1</v>
      </c>
      <c r="E24" s="167">
        <f t="shared" si="7"/>
        <v>29.398</v>
      </c>
      <c r="F24" s="167">
        <v>0.3</v>
      </c>
      <c r="G24" s="167">
        <f>G23</f>
        <v>3.25</v>
      </c>
      <c r="H24" s="167">
        <f t="shared" si="5"/>
        <v>28.663049999999998</v>
      </c>
      <c r="I24" s="167">
        <f t="shared" si="6"/>
        <v>191.08699999999999</v>
      </c>
    </row>
    <row r="25" spans="2:11" ht="20.100000000000001" customHeight="1" x14ac:dyDescent="0.25">
      <c r="B25" s="95">
        <v>4</v>
      </c>
      <c r="C25" s="335" t="s">
        <v>627</v>
      </c>
      <c r="D25" s="167">
        <f>D14</f>
        <v>1</v>
      </c>
      <c r="E25" s="167">
        <f t="shared" si="7"/>
        <v>3.8220000000000001</v>
      </c>
      <c r="F25" s="167">
        <v>0.3</v>
      </c>
      <c r="G25" s="167">
        <f>G24</f>
        <v>3.25</v>
      </c>
      <c r="H25" s="167">
        <f t="shared" si="5"/>
        <v>3.7264500000000003</v>
      </c>
      <c r="I25" s="167">
        <f t="shared" si="6"/>
        <v>24.843</v>
      </c>
    </row>
    <row r="26" spans="2:11" ht="20.100000000000001" customHeight="1" x14ac:dyDescent="0.25">
      <c r="B26" s="95">
        <v>5</v>
      </c>
      <c r="C26" s="335" t="s">
        <v>605</v>
      </c>
      <c r="D26" s="167">
        <f>D15</f>
        <v>0</v>
      </c>
      <c r="E26" s="167">
        <f t="shared" si="7"/>
        <v>20.523</v>
      </c>
      <c r="F26" s="167">
        <v>0.3</v>
      </c>
      <c r="G26" s="167">
        <f>G24</f>
        <v>3.25</v>
      </c>
      <c r="H26" s="167">
        <f t="shared" si="5"/>
        <v>0</v>
      </c>
      <c r="I26" s="167">
        <f t="shared" si="6"/>
        <v>0</v>
      </c>
    </row>
    <row r="27" spans="2:11" ht="20.100000000000001" customHeight="1" x14ac:dyDescent="0.25">
      <c r="B27" s="95">
        <v>6</v>
      </c>
      <c r="C27" s="335" t="s">
        <v>605</v>
      </c>
      <c r="D27" s="167">
        <f>D16</f>
        <v>0</v>
      </c>
      <c r="E27" s="167">
        <f t="shared" si="7"/>
        <v>5.5640000000000001</v>
      </c>
      <c r="F27" s="167">
        <v>0.3</v>
      </c>
      <c r="G27" s="167">
        <f>G25</f>
        <v>3.25</v>
      </c>
      <c r="H27" s="167">
        <f t="shared" si="5"/>
        <v>0</v>
      </c>
      <c r="I27" s="167">
        <f t="shared" si="6"/>
        <v>0</v>
      </c>
    </row>
    <row r="28" spans="2:11" ht="20.100000000000001" customHeight="1" x14ac:dyDescent="0.25">
      <c r="C28" s="94" t="s">
        <v>30</v>
      </c>
      <c r="E28" s="167"/>
      <c r="F28" s="167"/>
      <c r="G28" s="167"/>
      <c r="H28" s="165">
        <f>SUM(H22:H27)</f>
        <v>79.534812500000001</v>
      </c>
      <c r="I28" s="165">
        <f>SUM(I22:I27)</f>
        <v>593.09249999999997</v>
      </c>
    </row>
    <row r="29" spans="2:11" ht="20.100000000000001" customHeight="1" x14ac:dyDescent="0.25">
      <c r="E29" s="167"/>
      <c r="F29" s="167"/>
      <c r="G29" s="167"/>
      <c r="H29" s="167"/>
      <c r="I29" s="167"/>
    </row>
    <row r="30" spans="2:11" ht="20.100000000000001" customHeight="1" x14ac:dyDescent="0.25">
      <c r="E30" s="167"/>
      <c r="F30" s="167"/>
      <c r="G30" s="167"/>
      <c r="H30" s="167"/>
      <c r="I30" s="167"/>
    </row>
    <row r="31" spans="2:11" ht="20.100000000000001" customHeight="1" x14ac:dyDescent="0.25">
      <c r="E31" s="167"/>
      <c r="F31" s="167"/>
      <c r="G31" s="167"/>
      <c r="H31" s="167"/>
      <c r="I31" s="167"/>
    </row>
    <row r="32" spans="2:11" ht="20.100000000000001" customHeight="1" x14ac:dyDescent="0.25">
      <c r="E32" s="167"/>
      <c r="F32" s="167"/>
      <c r="G32" s="167"/>
      <c r="H32" s="167"/>
      <c r="I32" s="167"/>
    </row>
    <row r="33" spans="5:9" ht="20.100000000000001" customHeight="1" x14ac:dyDescent="0.25">
      <c r="E33" s="167"/>
      <c r="F33" s="167"/>
      <c r="G33" s="167"/>
      <c r="H33" s="167"/>
      <c r="I33" s="167"/>
    </row>
    <row r="34" spans="5:9" ht="20.100000000000001" customHeight="1" x14ac:dyDescent="0.25">
      <c r="E34" s="167"/>
      <c r="F34" s="167"/>
      <c r="G34" s="167"/>
      <c r="H34" s="167"/>
      <c r="I34" s="167"/>
    </row>
    <row r="35" spans="5:9" ht="20.100000000000001" customHeight="1" x14ac:dyDescent="0.25">
      <c r="E35" s="167"/>
      <c r="F35" s="167"/>
      <c r="G35" s="167"/>
      <c r="H35" s="167"/>
      <c r="I35" s="167"/>
    </row>
    <row r="36" spans="5:9" ht="20.100000000000001" customHeight="1" x14ac:dyDescent="0.25">
      <c r="E36" s="167"/>
      <c r="F36" s="167"/>
      <c r="G36" s="167"/>
      <c r="H36" s="167"/>
      <c r="I36" s="167"/>
    </row>
    <row r="37" spans="5:9" ht="20.100000000000001" customHeight="1" x14ac:dyDescent="0.25">
      <c r="E37" s="167"/>
      <c r="F37" s="167"/>
      <c r="G37" s="167"/>
      <c r="H37" s="167"/>
      <c r="I37" s="167"/>
    </row>
    <row r="38" spans="5:9" ht="20.100000000000001" customHeight="1" x14ac:dyDescent="0.25">
      <c r="E38" s="167"/>
      <c r="F38" s="167"/>
      <c r="G38" s="167"/>
      <c r="H38" s="167"/>
      <c r="I38" s="167"/>
    </row>
    <row r="39" spans="5:9" ht="20.100000000000001" customHeight="1" x14ac:dyDescent="0.25">
      <c r="E39" s="167"/>
      <c r="F39" s="167"/>
      <c r="G39" s="167"/>
      <c r="H39" s="167"/>
      <c r="I39" s="167"/>
    </row>
  </sheetData>
  <pageMargins left="0.7" right="0.7" top="0.75" bottom="0.75" header="0.3" footer="0.3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A00EB7-461F-4B4F-985E-B9A34900F5B1}">
  <sheetPr>
    <tabColor theme="9" tint="-0.249977111117893"/>
    <pageSetUpPr autoPageBreaks="0"/>
  </sheetPr>
  <dimension ref="A1:APU248"/>
  <sheetViews>
    <sheetView tabSelected="1" topLeftCell="A79" zoomScale="90" zoomScaleNormal="90" workbookViewId="0">
      <selection activeCell="I90" sqref="I90"/>
    </sheetView>
  </sheetViews>
  <sheetFormatPr defaultRowHeight="30" customHeight="1" x14ac:dyDescent="0.25"/>
  <cols>
    <col min="1" max="1" width="9.28515625" style="321" customWidth="1"/>
    <col min="2" max="2" width="32.42578125" style="215" customWidth="1"/>
    <col min="3" max="3" width="11.140625" style="215" customWidth="1"/>
    <col min="4" max="4" width="18.140625" style="215" customWidth="1"/>
    <col min="5" max="5" width="16.5703125" style="215" customWidth="1"/>
    <col min="6" max="6" width="12.5703125" style="215" customWidth="1"/>
    <col min="7" max="7" width="16.28515625" style="215" customWidth="1"/>
    <col min="8" max="8" width="17.140625" style="215" customWidth="1"/>
    <col min="9" max="9" width="14.85546875" style="215" customWidth="1"/>
    <col min="10" max="10" width="11.7109375" style="215" customWidth="1"/>
    <col min="11" max="11" width="9" style="215" customWidth="1"/>
    <col min="12" max="12" width="12.5703125" style="215" customWidth="1"/>
    <col min="13" max="13" width="9" style="215" customWidth="1"/>
    <col min="14" max="14" width="13" style="215" customWidth="1"/>
    <col min="15" max="15" width="20.42578125" style="215" customWidth="1"/>
    <col min="16" max="18" width="10.42578125" style="215" customWidth="1"/>
    <col min="19" max="19" width="11.28515625" style="215" customWidth="1"/>
    <col min="20" max="25" width="10.42578125" style="215" customWidth="1"/>
    <col min="26" max="36" width="10.7109375" style="215" customWidth="1"/>
    <col min="37" max="37" width="11.7109375" style="215" customWidth="1"/>
    <col min="38" max="38" width="11.42578125" style="273" customWidth="1"/>
    <col min="39" max="39" width="10.42578125" style="215" customWidth="1"/>
    <col min="40" max="40" width="9.140625" style="215" customWidth="1"/>
    <col min="41" max="41" width="10.28515625" style="215" customWidth="1"/>
    <col min="42" max="42" width="14" style="215" customWidth="1"/>
    <col min="43" max="43" width="11.28515625" style="215" customWidth="1"/>
    <col min="44" max="44" width="10.5703125" style="215" customWidth="1"/>
    <col min="45" max="45" width="9.140625" style="215" customWidth="1"/>
    <col min="46" max="46" width="10.140625" style="215" customWidth="1"/>
    <col min="47" max="47" width="16.28515625" style="215" customWidth="1"/>
    <col min="48" max="50" width="9.28515625" style="215" customWidth="1"/>
    <col min="51" max="51" width="11.7109375" style="215" customWidth="1"/>
    <col min="52" max="52" width="10.28515625" style="215" customWidth="1"/>
    <col min="53" max="53" width="11.42578125" style="215" customWidth="1"/>
    <col min="54" max="54" width="10.42578125" style="215" customWidth="1"/>
    <col min="55" max="56" width="9.140625" style="215" customWidth="1"/>
    <col min="57" max="57" width="10.42578125" style="215" customWidth="1"/>
    <col min="58" max="58" width="11.140625" style="215" customWidth="1"/>
    <col min="59" max="60" width="9.140625" style="215" customWidth="1"/>
    <col min="61" max="61" width="9.28515625" style="215" customWidth="1"/>
    <col min="62" max="62" width="11.7109375" style="215" customWidth="1"/>
    <col min="63" max="63" width="11.42578125" style="215" customWidth="1"/>
    <col min="64" max="64" width="10.42578125" style="215" customWidth="1"/>
    <col min="65" max="67" width="9.140625" style="215" customWidth="1"/>
    <col min="68" max="68" width="11.140625" style="215" customWidth="1"/>
    <col min="69" max="70" width="9.140625" style="215" customWidth="1"/>
    <col min="71" max="71" width="9.28515625" style="215" customWidth="1"/>
    <col min="72" max="72" width="11.7109375" style="215" customWidth="1"/>
    <col min="73" max="73" width="11.42578125" style="215" customWidth="1"/>
    <col min="74" max="74" width="10.42578125" style="215" customWidth="1"/>
    <col min="75" max="77" width="9.140625" style="215" customWidth="1"/>
    <col min="78" max="78" width="10.42578125" style="215" customWidth="1"/>
    <col min="79" max="80" width="9.140625" style="215" customWidth="1"/>
    <col min="81" max="81" width="9.28515625" style="215" customWidth="1"/>
    <col min="82" max="82" width="11.7109375" style="215" customWidth="1"/>
    <col min="83" max="83" width="11.42578125" style="215" customWidth="1"/>
    <col min="84" max="84" width="10.42578125" style="215" customWidth="1"/>
    <col min="85" max="87" width="9.140625" style="215" customWidth="1"/>
    <col min="88" max="88" width="10.42578125" style="215" customWidth="1"/>
    <col min="89" max="90" width="9.140625" style="215" customWidth="1"/>
    <col min="91" max="91" width="9.28515625" style="215" customWidth="1"/>
    <col min="92" max="92" width="11.7109375" style="215" customWidth="1"/>
    <col min="93" max="93" width="11.42578125" style="215" customWidth="1"/>
    <col min="94" max="94" width="10.42578125" style="215" customWidth="1"/>
    <col min="95" max="97" width="9.140625" style="215" customWidth="1"/>
    <col min="98" max="98" width="11.7109375" style="215" customWidth="1"/>
    <col min="99" max="100" width="9.140625" style="215" customWidth="1"/>
    <col min="101" max="101" width="9.28515625" style="215" customWidth="1"/>
    <col min="102" max="102" width="11.7109375" style="215" customWidth="1"/>
    <col min="103" max="103" width="11.42578125" style="215" customWidth="1"/>
    <col min="104" max="104" width="10.42578125" style="215" customWidth="1"/>
    <col min="105" max="107" width="9.140625" style="215" customWidth="1"/>
    <col min="108" max="108" width="11.28515625" style="215" customWidth="1"/>
    <col min="109" max="110" width="9.140625" style="215" customWidth="1"/>
    <col min="111" max="111" width="9.28515625" style="215" customWidth="1"/>
    <col min="112" max="112" width="11.7109375" style="215" customWidth="1"/>
    <col min="113" max="113" width="11.42578125" style="215" customWidth="1"/>
    <col min="114" max="114" width="10.42578125" style="215" customWidth="1"/>
    <col min="115" max="117" width="9.140625" style="215" customWidth="1"/>
    <col min="118" max="118" width="10.85546875" style="215" customWidth="1"/>
    <col min="119" max="120" width="9.140625" style="215" customWidth="1"/>
    <col min="121" max="121" width="9.28515625" style="215" customWidth="1"/>
    <col min="122" max="122" width="11.7109375" style="215" customWidth="1"/>
    <col min="123" max="123" width="11.42578125" style="215" customWidth="1"/>
    <col min="124" max="124" width="10.42578125" style="215" customWidth="1"/>
    <col min="125" max="127" width="9.140625" style="215" customWidth="1"/>
    <col min="128" max="128" width="11.85546875" style="215" customWidth="1"/>
    <col min="129" max="130" width="9.140625" style="215" customWidth="1"/>
    <col min="131" max="131" width="9.28515625" style="215" customWidth="1"/>
    <col min="132" max="132" width="11.7109375" style="215" customWidth="1"/>
    <col min="133" max="133" width="11.42578125" style="215" customWidth="1"/>
    <col min="134" max="134" width="10.42578125" style="215" customWidth="1"/>
    <col min="135" max="140" width="9.140625" style="215" customWidth="1"/>
    <col min="141" max="141" width="9.28515625" style="215" customWidth="1"/>
    <col min="142" max="142" width="11.7109375" style="215" customWidth="1"/>
    <col min="143" max="143" width="11.42578125" style="215" customWidth="1"/>
    <col min="144" max="144" width="10.42578125" style="215" customWidth="1"/>
    <col min="145" max="150" width="9.140625" style="215" customWidth="1"/>
    <col min="151" max="151" width="9.28515625" style="215" customWidth="1"/>
    <col min="152" max="152" width="11.7109375" style="215" customWidth="1"/>
    <col min="153" max="153" width="11.42578125" style="215" customWidth="1"/>
    <col min="154" max="154" width="10.42578125" style="215" customWidth="1"/>
    <col min="155" max="160" width="9.140625" style="215" customWidth="1"/>
    <col min="161" max="161" width="9.28515625" style="215" customWidth="1"/>
    <col min="162" max="162" width="11.7109375" style="215" customWidth="1"/>
    <col min="163" max="163" width="11.42578125" style="215" customWidth="1"/>
    <col min="164" max="164" width="10.42578125" style="215" customWidth="1"/>
    <col min="165" max="170" width="9.140625" style="215" customWidth="1"/>
    <col min="171" max="171" width="9.28515625" style="215" customWidth="1"/>
    <col min="172" max="172" width="11.7109375" style="215" customWidth="1"/>
    <col min="173" max="173" width="11.42578125" style="215" customWidth="1"/>
    <col min="174" max="174" width="10.42578125" style="215" customWidth="1"/>
    <col min="175" max="180" width="9.140625" style="215" customWidth="1"/>
    <col min="181" max="181" width="9.28515625" style="215" customWidth="1"/>
    <col min="182" max="182" width="11.7109375" style="215" customWidth="1"/>
    <col min="183" max="183" width="11.42578125" style="215" customWidth="1"/>
    <col min="184" max="184" width="10.42578125" style="215" customWidth="1"/>
    <col min="185" max="190" width="9.140625" style="215" customWidth="1"/>
    <col min="191" max="191" width="9.28515625" style="215" customWidth="1"/>
    <col min="192" max="192" width="11.7109375" style="215" customWidth="1"/>
    <col min="193" max="193" width="11.42578125" style="215" customWidth="1"/>
    <col min="194" max="194" width="10.42578125" style="215" customWidth="1"/>
    <col min="195" max="200" width="9.140625" style="215" customWidth="1"/>
    <col min="201" max="201" width="9.28515625" style="215" customWidth="1"/>
    <col min="202" max="202" width="11.7109375" style="215" customWidth="1"/>
    <col min="203" max="203" width="11.42578125" style="215" customWidth="1"/>
    <col min="204" max="204" width="10.42578125" style="215" customWidth="1"/>
    <col min="205" max="206" width="9.140625" style="215" customWidth="1"/>
    <col min="207" max="207" width="10.28515625" style="215" customWidth="1"/>
    <col min="208" max="208" width="12.85546875" style="215" customWidth="1"/>
    <col min="209" max="209" width="9.140625" style="215" customWidth="1"/>
    <col min="210" max="210" width="15.5703125" style="215" customWidth="1"/>
    <col min="211" max="211" width="9.28515625" style="215" customWidth="1"/>
    <col min="212" max="212" width="11.7109375" style="215" customWidth="1"/>
    <col min="213" max="213" width="11.42578125" style="215" customWidth="1"/>
    <col min="214" max="214" width="10.42578125" style="215" customWidth="1"/>
    <col min="215" max="215" width="10.28515625" style="215" customWidth="1"/>
    <col min="216" max="216" width="9.140625" style="215" customWidth="1"/>
    <col min="217" max="217" width="10.28515625" style="215" customWidth="1"/>
    <col min="218" max="219" width="10" style="215" customWidth="1"/>
    <col min="220" max="220" width="10.28515625" style="215" customWidth="1"/>
    <col min="221" max="221" width="10" style="215" customWidth="1"/>
    <col min="222" max="222" width="11.7109375" style="215" customWidth="1"/>
    <col min="223" max="223" width="11.42578125" style="215" bestFit="1" customWidth="1"/>
    <col min="224" max="224" width="10.42578125" style="215" bestFit="1" customWidth="1"/>
    <col min="225" max="225" width="10.28515625" style="215" bestFit="1" customWidth="1"/>
    <col min="226" max="230" width="9.140625" style="215" customWidth="1"/>
    <col min="231" max="16384" width="9.140625" style="215"/>
  </cols>
  <sheetData>
    <row r="1" spans="1:223" ht="30" hidden="1" customHeight="1" x14ac:dyDescent="0.25">
      <c r="A1" s="213" t="s">
        <v>379</v>
      </c>
      <c r="B1" s="214" t="s">
        <v>380</v>
      </c>
      <c r="F1" s="216"/>
      <c r="K1" s="217"/>
      <c r="L1" s="217"/>
      <c r="P1" s="217"/>
      <c r="Q1" s="217"/>
      <c r="AE1" s="217"/>
      <c r="AF1" s="217"/>
      <c r="AK1" s="217"/>
      <c r="AL1" s="218"/>
      <c r="AY1" s="217"/>
      <c r="BA1" s="217"/>
      <c r="BJ1" s="217"/>
      <c r="BK1" s="217"/>
      <c r="BT1" s="217"/>
      <c r="BU1" s="217"/>
      <c r="CD1" s="217"/>
      <c r="CE1" s="217"/>
      <c r="CN1" s="217"/>
      <c r="CO1" s="217"/>
      <c r="CX1" s="217"/>
      <c r="CY1" s="217"/>
      <c r="DH1" s="217"/>
      <c r="DI1" s="217"/>
      <c r="DR1" s="217"/>
      <c r="DS1" s="217"/>
      <c r="EB1" s="217"/>
      <c r="EC1" s="217"/>
      <c r="EL1" s="217"/>
      <c r="EM1" s="217"/>
      <c r="EV1" s="217"/>
      <c r="EW1" s="217"/>
      <c r="FF1" s="217"/>
      <c r="FG1" s="217"/>
      <c r="FP1" s="217"/>
      <c r="FQ1" s="217"/>
      <c r="FZ1" s="217"/>
      <c r="GA1" s="217"/>
      <c r="GJ1" s="217"/>
      <c r="GK1" s="217"/>
      <c r="GT1" s="217"/>
      <c r="GU1" s="217"/>
      <c r="HD1" s="217"/>
      <c r="HE1" s="217"/>
      <c r="HN1" s="217"/>
      <c r="HO1" s="217"/>
    </row>
    <row r="2" spans="1:223" ht="30" hidden="1" customHeight="1" x14ac:dyDescent="0.25">
      <c r="A2" s="219" t="s">
        <v>381</v>
      </c>
      <c r="B2" s="220" t="s">
        <v>382</v>
      </c>
      <c r="F2" s="218"/>
      <c r="L2" s="217"/>
      <c r="P2" s="217"/>
      <c r="Q2" s="217"/>
      <c r="AE2" s="217"/>
      <c r="AF2" s="217"/>
      <c r="AK2" s="217"/>
      <c r="AL2" s="218"/>
      <c r="AY2" s="217"/>
      <c r="BA2" s="217"/>
      <c r="BJ2" s="217"/>
      <c r="BK2" s="217"/>
      <c r="BT2" s="217"/>
      <c r="BU2" s="217"/>
      <c r="CD2" s="217"/>
      <c r="CE2" s="217"/>
      <c r="CN2" s="217"/>
      <c r="CO2" s="217"/>
      <c r="CX2" s="217"/>
      <c r="CY2" s="217"/>
      <c r="DH2" s="217"/>
      <c r="DI2" s="217"/>
      <c r="DR2" s="217"/>
      <c r="DS2" s="217"/>
      <c r="EB2" s="217"/>
      <c r="EC2" s="217"/>
      <c r="EL2" s="217"/>
      <c r="EM2" s="217"/>
      <c r="EV2" s="217"/>
      <c r="EW2" s="217"/>
      <c r="FF2" s="217"/>
      <c r="FG2" s="217"/>
      <c r="FP2" s="217"/>
      <c r="FQ2" s="217"/>
      <c r="FZ2" s="217"/>
      <c r="GA2" s="217"/>
      <c r="GJ2" s="217"/>
      <c r="GK2" s="217"/>
      <c r="GT2" s="217"/>
      <c r="GU2" s="217"/>
      <c r="HD2" s="217"/>
      <c r="HE2" s="217"/>
      <c r="HN2" s="217"/>
      <c r="HO2" s="217"/>
    </row>
    <row r="3" spans="1:223" ht="30" hidden="1" customHeight="1" x14ac:dyDescent="0.25">
      <c r="A3" s="221" t="s">
        <v>383</v>
      </c>
      <c r="B3" s="222"/>
      <c r="C3" s="223"/>
      <c r="D3" s="218"/>
      <c r="F3" s="218"/>
      <c r="L3" s="217" t="s">
        <v>384</v>
      </c>
      <c r="M3" s="215">
        <f>3.8+0.15</f>
        <v>3.9499999999999997</v>
      </c>
      <c r="N3" s="215" t="s">
        <v>51</v>
      </c>
      <c r="P3" s="217"/>
      <c r="Q3" s="217"/>
      <c r="AE3" s="217"/>
      <c r="AF3" s="217"/>
      <c r="AK3" s="217"/>
      <c r="AL3" s="218"/>
      <c r="AY3" s="217"/>
      <c r="BA3" s="217"/>
      <c r="BJ3" s="217"/>
      <c r="BK3" s="217"/>
      <c r="BT3" s="217"/>
      <c r="BU3" s="217"/>
      <c r="CD3" s="217"/>
      <c r="CE3" s="217"/>
      <c r="CN3" s="217"/>
      <c r="CO3" s="217"/>
      <c r="CX3" s="217"/>
      <c r="CY3" s="217"/>
      <c r="DH3" s="217"/>
      <c r="DI3" s="217"/>
      <c r="DR3" s="217"/>
      <c r="DS3" s="217"/>
      <c r="EB3" s="217"/>
      <c r="EC3" s="217"/>
      <c r="EL3" s="217"/>
      <c r="EM3" s="217"/>
      <c r="EV3" s="217"/>
      <c r="EW3" s="217"/>
      <c r="FF3" s="217"/>
      <c r="FG3" s="217"/>
      <c r="FP3" s="217"/>
      <c r="FQ3" s="217"/>
      <c r="FZ3" s="217"/>
      <c r="GA3" s="217"/>
      <c r="GJ3" s="217"/>
      <c r="GK3" s="217"/>
      <c r="GT3" s="217"/>
      <c r="GU3" s="217"/>
      <c r="HD3" s="217"/>
      <c r="HE3" s="217"/>
      <c r="HN3" s="217"/>
      <c r="HO3" s="217"/>
    </row>
    <row r="4" spans="1:223" ht="30" hidden="1" customHeight="1" x14ac:dyDescent="0.25">
      <c r="A4" s="224"/>
      <c r="B4" s="218"/>
      <c r="C4" s="223"/>
      <c r="D4" s="218"/>
      <c r="F4" s="218"/>
      <c r="L4" s="217" t="s">
        <v>385</v>
      </c>
      <c r="M4" s="215">
        <f>3.8+0.15+0.35</f>
        <v>4.3</v>
      </c>
      <c r="N4" s="215" t="s">
        <v>51</v>
      </c>
      <c r="P4" s="217"/>
      <c r="Q4" s="217"/>
      <c r="AE4" s="217"/>
      <c r="AF4" s="217"/>
      <c r="AK4" s="217"/>
      <c r="AL4" s="218"/>
      <c r="AY4" s="217"/>
      <c r="BA4" s="217"/>
      <c r="BJ4" s="217"/>
      <c r="BK4" s="217"/>
      <c r="BT4" s="217"/>
      <c r="BU4" s="217"/>
      <c r="CD4" s="217"/>
      <c r="CE4" s="217"/>
      <c r="CN4" s="217"/>
      <c r="CO4" s="217"/>
      <c r="CX4" s="217"/>
      <c r="CY4" s="217"/>
      <c r="DH4" s="217"/>
      <c r="DI4" s="217"/>
      <c r="DR4" s="217"/>
      <c r="DS4" s="217"/>
      <c r="EB4" s="217"/>
      <c r="EC4" s="217"/>
      <c r="EL4" s="217"/>
      <c r="EM4" s="217"/>
      <c r="EV4" s="217"/>
      <c r="EW4" s="217"/>
      <c r="FF4" s="217"/>
      <c r="FG4" s="217"/>
      <c r="FP4" s="217"/>
      <c r="FQ4" s="217"/>
      <c r="FZ4" s="217"/>
      <c r="GA4" s="217"/>
      <c r="GJ4" s="217"/>
      <c r="GK4" s="217"/>
      <c r="GT4" s="217"/>
      <c r="GU4" s="217"/>
      <c r="HD4" s="217"/>
      <c r="HE4" s="217"/>
      <c r="HN4" s="217"/>
      <c r="HO4" s="217"/>
    </row>
    <row r="5" spans="1:223" ht="30" hidden="1" customHeight="1" x14ac:dyDescent="0.25">
      <c r="A5" s="225"/>
      <c r="B5" s="218"/>
      <c r="C5" s="223"/>
      <c r="D5" s="217"/>
      <c r="F5" s="218"/>
      <c r="G5" s="217"/>
      <c r="L5" s="217"/>
      <c r="M5" s="226"/>
      <c r="N5" s="226"/>
      <c r="P5" s="217"/>
      <c r="Q5" s="217"/>
      <c r="AF5" s="217"/>
      <c r="AK5" s="217"/>
      <c r="AL5" s="218"/>
      <c r="AY5" s="217"/>
      <c r="BA5" s="217"/>
      <c r="BJ5" s="217"/>
      <c r="BK5" s="217"/>
      <c r="BT5" s="217"/>
      <c r="BU5" s="217"/>
      <c r="CD5" s="217"/>
      <c r="CE5" s="217"/>
      <c r="CN5" s="217"/>
      <c r="CO5" s="217"/>
      <c r="CX5" s="217"/>
      <c r="CY5" s="217"/>
      <c r="DH5" s="217"/>
      <c r="DI5" s="217"/>
      <c r="DR5" s="217"/>
      <c r="DS5" s="217"/>
      <c r="EB5" s="217"/>
      <c r="EC5" s="217"/>
      <c r="EL5" s="217"/>
      <c r="EM5" s="217"/>
      <c r="EV5" s="217"/>
      <c r="EW5" s="217"/>
      <c r="FF5" s="217"/>
      <c r="FG5" s="217"/>
      <c r="FP5" s="217"/>
      <c r="FQ5" s="217"/>
      <c r="FZ5" s="217"/>
      <c r="GA5" s="217"/>
      <c r="GJ5" s="217"/>
      <c r="GK5" s="217"/>
      <c r="GT5" s="217"/>
      <c r="GU5" s="217"/>
      <c r="HD5" s="217"/>
      <c r="HE5" s="217"/>
      <c r="HN5" s="217"/>
      <c r="HO5" s="217"/>
    </row>
    <row r="6" spans="1:223" ht="30" hidden="1" customHeight="1" x14ac:dyDescent="0.25">
      <c r="A6" s="227">
        <v>1</v>
      </c>
      <c r="B6" s="228" t="s">
        <v>386</v>
      </c>
      <c r="C6" s="229">
        <v>3.0590000000000002</v>
      </c>
      <c r="D6" s="230" t="s">
        <v>51</v>
      </c>
      <c r="E6" s="218"/>
      <c r="F6" s="217"/>
      <c r="L6" s="217"/>
      <c r="M6" s="226"/>
      <c r="N6" s="226"/>
      <c r="P6" s="217"/>
      <c r="Q6" s="217"/>
      <c r="AF6" s="217"/>
      <c r="AK6" s="217"/>
      <c r="AL6" s="218"/>
      <c r="AY6" s="217"/>
      <c r="BA6" s="217"/>
      <c r="BJ6" s="217"/>
      <c r="BK6" s="217"/>
      <c r="BT6" s="217"/>
      <c r="BU6" s="217"/>
      <c r="CD6" s="217"/>
      <c r="CE6" s="217"/>
      <c r="CN6" s="217"/>
      <c r="CO6" s="217"/>
      <c r="CX6" s="217"/>
      <c r="CY6" s="217"/>
      <c r="DH6" s="217"/>
      <c r="DI6" s="217"/>
      <c r="DR6" s="217"/>
      <c r="DS6" s="217"/>
      <c r="EB6" s="217"/>
      <c r="EC6" s="217"/>
      <c r="EL6" s="217"/>
      <c r="EM6" s="217"/>
      <c r="EV6" s="217"/>
      <c r="EW6" s="217"/>
      <c r="FF6" s="217"/>
      <c r="FG6" s="217"/>
      <c r="FP6" s="217"/>
      <c r="FQ6" s="217"/>
      <c r="FZ6" s="217"/>
      <c r="GA6" s="217"/>
      <c r="GJ6" s="217"/>
      <c r="GK6" s="217"/>
      <c r="GT6" s="217"/>
      <c r="GU6" s="217"/>
      <c r="HD6" s="217"/>
      <c r="HE6" s="217"/>
      <c r="HN6" s="217"/>
      <c r="HO6" s="217"/>
    </row>
    <row r="7" spans="1:223" ht="30" hidden="1" customHeight="1" x14ac:dyDescent="0.25">
      <c r="A7" s="231">
        <f>A6+1</f>
        <v>2</v>
      </c>
      <c r="B7" s="232" t="s">
        <v>387</v>
      </c>
      <c r="C7" s="233">
        <v>3.55</v>
      </c>
      <c r="D7" s="234" t="s">
        <v>51</v>
      </c>
      <c r="E7" s="218"/>
      <c r="F7" s="217"/>
      <c r="L7" s="217"/>
      <c r="M7" s="226"/>
      <c r="N7" s="226"/>
      <c r="P7" s="217"/>
      <c r="Q7" s="217"/>
      <c r="AF7" s="217"/>
      <c r="AK7" s="217"/>
      <c r="AL7" s="218"/>
      <c r="AY7" s="217"/>
      <c r="BA7" s="217"/>
      <c r="BJ7" s="217"/>
      <c r="BK7" s="217"/>
      <c r="BT7" s="217"/>
      <c r="BU7" s="217"/>
      <c r="CD7" s="217"/>
      <c r="CE7" s="217"/>
      <c r="CN7" s="217"/>
      <c r="CO7" s="217"/>
      <c r="CX7" s="217"/>
      <c r="CY7" s="217"/>
      <c r="DH7" s="217"/>
      <c r="DI7" s="217"/>
      <c r="DR7" s="217"/>
      <c r="DS7" s="217"/>
      <c r="EB7" s="217"/>
      <c r="EC7" s="217"/>
      <c r="EL7" s="217"/>
      <c r="EM7" s="217"/>
      <c r="EV7" s="217"/>
      <c r="EW7" s="217"/>
      <c r="FF7" s="217"/>
      <c r="FG7" s="217"/>
      <c r="FP7" s="217"/>
      <c r="FQ7" s="217"/>
      <c r="FZ7" s="217"/>
      <c r="GA7" s="217"/>
      <c r="GJ7" s="217"/>
      <c r="GK7" s="217"/>
      <c r="GT7" s="217"/>
      <c r="GU7" s="217"/>
      <c r="HD7" s="217"/>
      <c r="HE7" s="217"/>
      <c r="HN7" s="217"/>
      <c r="HO7" s="217"/>
    </row>
    <row r="8" spans="1:223" ht="30" hidden="1" customHeight="1" x14ac:dyDescent="0.25">
      <c r="A8" s="231">
        <f t="shared" ref="A8:A18" si="0">A7+1</f>
        <v>3</v>
      </c>
      <c r="B8" s="232" t="s">
        <v>388</v>
      </c>
      <c r="C8" s="233">
        <v>3.49</v>
      </c>
      <c r="D8" s="234" t="s">
        <v>51</v>
      </c>
      <c r="E8" s="218"/>
      <c r="F8" s="217"/>
      <c r="L8" s="217"/>
      <c r="M8" s="226"/>
      <c r="N8" s="226"/>
      <c r="P8" s="52" t="s">
        <v>389</v>
      </c>
      <c r="Q8" s="217"/>
      <c r="AF8" s="217"/>
      <c r="AK8" s="217"/>
      <c r="AL8" s="218"/>
      <c r="AY8" s="217"/>
      <c r="BA8" s="217"/>
      <c r="BJ8" s="217"/>
      <c r="BK8" s="217"/>
      <c r="BT8" s="217"/>
      <c r="BU8" s="217"/>
      <c r="CD8" s="217"/>
      <c r="CE8" s="217"/>
      <c r="CN8" s="217"/>
      <c r="CO8" s="217"/>
      <c r="CX8" s="217"/>
      <c r="CY8" s="217"/>
      <c r="DH8" s="217"/>
      <c r="DI8" s="217"/>
      <c r="DR8" s="217"/>
      <c r="DS8" s="217"/>
      <c r="EB8" s="217"/>
      <c r="EC8" s="217"/>
      <c r="EL8" s="217"/>
      <c r="EM8" s="217"/>
      <c r="EV8" s="217"/>
      <c r="EW8" s="217"/>
      <c r="FF8" s="217"/>
      <c r="FG8" s="217"/>
      <c r="FP8" s="217"/>
      <c r="FQ8" s="217"/>
      <c r="FZ8" s="217"/>
      <c r="GA8" s="217"/>
      <c r="GJ8" s="217"/>
      <c r="GK8" s="217"/>
      <c r="GT8" s="217"/>
      <c r="GU8" s="217"/>
      <c r="HD8" s="217"/>
      <c r="HE8" s="217"/>
      <c r="HN8" s="217"/>
      <c r="HO8" s="217"/>
    </row>
    <row r="9" spans="1:223" ht="30" hidden="1" customHeight="1" x14ac:dyDescent="0.25">
      <c r="A9" s="231">
        <f t="shared" si="0"/>
        <v>4</v>
      </c>
      <c r="B9" s="232" t="s">
        <v>390</v>
      </c>
      <c r="C9" s="233">
        <v>0.75</v>
      </c>
      <c r="D9" s="234" t="s">
        <v>51</v>
      </c>
      <c r="E9" s="218"/>
      <c r="F9" s="217"/>
      <c r="G9" s="217"/>
      <c r="I9" s="226"/>
      <c r="K9" s="217"/>
      <c r="L9" s="217"/>
      <c r="M9" s="226"/>
      <c r="N9" s="226"/>
      <c r="O9" s="235" t="s">
        <v>391</v>
      </c>
      <c r="P9" s="236">
        <v>-4</v>
      </c>
      <c r="Q9" s="52" t="s">
        <v>51</v>
      </c>
      <c r="R9" s="237">
        <f>P9</f>
        <v>-4</v>
      </c>
      <c r="AF9" s="217"/>
      <c r="AK9" s="217"/>
      <c r="AL9" s="218"/>
      <c r="AY9" s="217"/>
      <c r="BA9" s="217"/>
      <c r="BJ9" s="217"/>
      <c r="BK9" s="217"/>
      <c r="BT9" s="217"/>
      <c r="BU9" s="217"/>
      <c r="CD9" s="217"/>
      <c r="CE9" s="217"/>
      <c r="CN9" s="217"/>
      <c r="CO9" s="217"/>
      <c r="CX9" s="217"/>
      <c r="CY9" s="217"/>
      <c r="DH9" s="217"/>
      <c r="DI9" s="217"/>
      <c r="DR9" s="217"/>
      <c r="DS9" s="217"/>
      <c r="EB9" s="217"/>
      <c r="EC9" s="217"/>
      <c r="EL9" s="217"/>
      <c r="EM9" s="217"/>
      <c r="EV9" s="217"/>
      <c r="EW9" s="217"/>
      <c r="FF9" s="217"/>
      <c r="FG9" s="217"/>
      <c r="FP9" s="217"/>
      <c r="FQ9" s="217"/>
      <c r="FZ9" s="217"/>
      <c r="GA9" s="217"/>
      <c r="GJ9" s="217"/>
      <c r="GK9" s="217"/>
      <c r="GT9" s="217"/>
      <c r="GU9" s="217"/>
      <c r="HD9" s="217"/>
      <c r="HE9" s="217"/>
      <c r="HN9" s="217"/>
      <c r="HO9" s="217"/>
    </row>
    <row r="10" spans="1:223" ht="30" hidden="1" customHeight="1" x14ac:dyDescent="0.25">
      <c r="A10" s="231">
        <f t="shared" si="0"/>
        <v>5</v>
      </c>
      <c r="B10" s="232" t="s">
        <v>392</v>
      </c>
      <c r="C10" s="233"/>
      <c r="D10" s="234" t="s">
        <v>51</v>
      </c>
      <c r="E10" s="218" t="s">
        <v>393</v>
      </c>
      <c r="F10" s="217"/>
      <c r="G10" s="217" t="s">
        <v>394</v>
      </c>
      <c r="H10" s="215" t="s">
        <v>395</v>
      </c>
      <c r="I10" s="226" t="s">
        <v>396</v>
      </c>
      <c r="K10" s="217"/>
      <c r="L10" s="217"/>
      <c r="M10" s="226"/>
      <c r="N10" s="226"/>
      <c r="O10" s="235" t="s">
        <v>397</v>
      </c>
      <c r="P10" s="236">
        <v>-8</v>
      </c>
      <c r="Q10" s="52" t="s">
        <v>51</v>
      </c>
      <c r="R10" s="237">
        <f>P10</f>
        <v>-8</v>
      </c>
      <c r="AF10" s="217"/>
      <c r="AK10" s="217"/>
      <c r="AL10" s="218"/>
      <c r="AY10" s="217"/>
      <c r="BA10" s="217"/>
      <c r="BJ10" s="217"/>
      <c r="BK10" s="217"/>
      <c r="BT10" s="217"/>
      <c r="BU10" s="217"/>
      <c r="CD10" s="217"/>
      <c r="CE10" s="217"/>
      <c r="CN10" s="217"/>
      <c r="CO10" s="217"/>
      <c r="CX10" s="217"/>
      <c r="CY10" s="217"/>
      <c r="DH10" s="217"/>
      <c r="DI10" s="217"/>
      <c r="DR10" s="217"/>
      <c r="DS10" s="217"/>
      <c r="EB10" s="217"/>
      <c r="EC10" s="217"/>
      <c r="EL10" s="217"/>
      <c r="EM10" s="217"/>
      <c r="EV10" s="217"/>
      <c r="EW10" s="217"/>
      <c r="FF10" s="217"/>
      <c r="FG10" s="217"/>
      <c r="FP10" s="217"/>
      <c r="FQ10" s="217"/>
      <c r="FZ10" s="217"/>
      <c r="GA10" s="217"/>
      <c r="GJ10" s="217"/>
      <c r="GK10" s="217"/>
      <c r="GT10" s="217"/>
      <c r="GU10" s="217"/>
      <c r="HD10" s="217"/>
      <c r="HE10" s="217"/>
      <c r="HN10" s="217"/>
      <c r="HO10" s="217"/>
    </row>
    <row r="11" spans="1:223" ht="30" hidden="1" customHeight="1" x14ac:dyDescent="0.25">
      <c r="A11" s="231">
        <f t="shared" si="0"/>
        <v>6</v>
      </c>
      <c r="B11" s="232" t="s">
        <v>398</v>
      </c>
      <c r="C11" s="238">
        <v>0.6</v>
      </c>
      <c r="D11" s="234" t="s">
        <v>51</v>
      </c>
      <c r="E11" s="217">
        <f>AVERAGE(0.75,0.6)</f>
        <v>0.67500000000000004</v>
      </c>
      <c r="F11" s="217" t="s">
        <v>51</v>
      </c>
      <c r="G11" s="217">
        <v>0.6</v>
      </c>
      <c r="H11" s="215" t="s">
        <v>399</v>
      </c>
      <c r="I11" s="239">
        <v>0.6</v>
      </c>
      <c r="J11" s="215" t="s">
        <v>51</v>
      </c>
      <c r="K11" s="217"/>
      <c r="L11" s="226" t="s">
        <v>400</v>
      </c>
      <c r="M11" s="226">
        <v>35.729999999999997</v>
      </c>
      <c r="N11" s="215" t="s">
        <v>51</v>
      </c>
      <c r="O11" s="235" t="s">
        <v>401</v>
      </c>
      <c r="P11" s="52"/>
      <c r="Q11" s="52"/>
      <c r="R11" s="237"/>
      <c r="AF11" s="217"/>
      <c r="AK11" s="217"/>
      <c r="AL11" s="218"/>
      <c r="AY11" s="217"/>
      <c r="BA11" s="217"/>
      <c r="BJ11" s="217"/>
      <c r="BK11" s="217"/>
      <c r="BT11" s="217"/>
      <c r="BU11" s="217"/>
      <c r="CD11" s="217"/>
      <c r="CE11" s="217"/>
      <c r="CN11" s="217"/>
      <c r="CO11" s="217"/>
      <c r="CX11" s="217"/>
      <c r="CY11" s="217"/>
      <c r="DH11" s="217"/>
      <c r="DI11" s="217"/>
      <c r="DR11" s="217"/>
      <c r="DS11" s="217"/>
      <c r="EB11" s="217"/>
      <c r="EC11" s="217"/>
      <c r="EL11" s="217"/>
      <c r="EM11" s="217"/>
      <c r="EV11" s="217"/>
      <c r="EW11" s="217"/>
      <c r="FF11" s="217"/>
      <c r="FG11" s="217"/>
      <c r="FP11" s="217"/>
      <c r="FQ11" s="217"/>
      <c r="FZ11" s="217"/>
      <c r="GA11" s="217"/>
      <c r="GJ11" s="217"/>
      <c r="GK11" s="217"/>
      <c r="GT11" s="217"/>
      <c r="GU11" s="217"/>
      <c r="HD11" s="217"/>
      <c r="HE11" s="217"/>
      <c r="HN11" s="217"/>
      <c r="HO11" s="217"/>
    </row>
    <row r="12" spans="1:223" ht="30" hidden="1" customHeight="1" x14ac:dyDescent="0.25">
      <c r="A12" s="231">
        <f t="shared" si="0"/>
        <v>7</v>
      </c>
      <c r="B12" s="232" t="s">
        <v>402</v>
      </c>
      <c r="C12" s="238">
        <f>3.75+0.65</f>
        <v>4.4000000000000004</v>
      </c>
      <c r="D12" s="234" t="s">
        <v>51</v>
      </c>
      <c r="E12" s="218"/>
      <c r="F12" s="217"/>
      <c r="G12" s="217"/>
      <c r="H12" s="215" t="s">
        <v>403</v>
      </c>
      <c r="I12" s="239">
        <v>0.6</v>
      </c>
      <c r="J12" s="215" t="s">
        <v>51</v>
      </c>
      <c r="K12" s="217"/>
      <c r="L12" s="226" t="s">
        <v>404</v>
      </c>
      <c r="M12" s="226">
        <f>M11-0.35</f>
        <v>35.379999999999995</v>
      </c>
      <c r="N12" s="215" t="s">
        <v>51</v>
      </c>
      <c r="O12" s="235" t="s">
        <v>405</v>
      </c>
      <c r="P12" s="52">
        <v>-8</v>
      </c>
      <c r="Q12" s="52" t="s">
        <v>51</v>
      </c>
      <c r="AF12" s="217"/>
      <c r="AK12" s="217"/>
      <c r="AL12" s="218"/>
      <c r="AY12" s="217"/>
      <c r="BA12" s="217"/>
      <c r="BJ12" s="217"/>
      <c r="BK12" s="217"/>
      <c r="BT12" s="217"/>
      <c r="BU12" s="217"/>
      <c r="CD12" s="217"/>
      <c r="CE12" s="217"/>
      <c r="CN12" s="217"/>
      <c r="CO12" s="217"/>
      <c r="CX12" s="217"/>
      <c r="CY12" s="217"/>
      <c r="DH12" s="217"/>
      <c r="DI12" s="217"/>
      <c r="DR12" s="217"/>
      <c r="DS12" s="217"/>
      <c r="EB12" s="217"/>
      <c r="EC12" s="217"/>
      <c r="EL12" s="217"/>
      <c r="EM12" s="217"/>
      <c r="EV12" s="217"/>
      <c r="EW12" s="217"/>
      <c r="FF12" s="217"/>
      <c r="FG12" s="217"/>
      <c r="FP12" s="217"/>
      <c r="FQ12" s="217"/>
      <c r="FZ12" s="217"/>
      <c r="GA12" s="217"/>
      <c r="GJ12" s="217"/>
      <c r="GK12" s="217"/>
      <c r="GT12" s="217"/>
      <c r="GU12" s="217"/>
      <c r="HD12" s="217"/>
      <c r="HE12" s="217"/>
      <c r="HN12" s="217"/>
      <c r="HO12" s="217"/>
    </row>
    <row r="13" spans="1:223" ht="61.5" hidden="1" customHeight="1" x14ac:dyDescent="0.25">
      <c r="A13" s="231">
        <f t="shared" si="0"/>
        <v>8</v>
      </c>
      <c r="B13" s="232" t="s">
        <v>406</v>
      </c>
      <c r="C13" s="238">
        <v>3.3</v>
      </c>
      <c r="D13" s="234" t="s">
        <v>51</v>
      </c>
      <c r="E13" s="218"/>
      <c r="F13" s="217"/>
      <c r="G13" s="217"/>
      <c r="H13" s="226" t="s">
        <v>407</v>
      </c>
      <c r="I13" s="215">
        <v>1.6</v>
      </c>
      <c r="J13" s="215" t="s">
        <v>51</v>
      </c>
      <c r="L13" s="226" t="s">
        <v>408</v>
      </c>
      <c r="M13" s="226">
        <v>31.43</v>
      </c>
      <c r="N13" s="215" t="s">
        <v>51</v>
      </c>
      <c r="O13" s="235" t="s">
        <v>409</v>
      </c>
      <c r="P13" s="52">
        <v>3.7</v>
      </c>
      <c r="Q13" s="52" t="s">
        <v>51</v>
      </c>
      <c r="AF13" s="217"/>
      <c r="AK13" s="217"/>
      <c r="AL13" s="218"/>
      <c r="AY13" s="217"/>
      <c r="BA13" s="217"/>
      <c r="BJ13" s="217"/>
      <c r="BK13" s="217"/>
      <c r="BT13" s="217"/>
      <c r="BU13" s="217"/>
      <c r="CD13" s="217"/>
      <c r="CE13" s="217"/>
      <c r="CN13" s="217"/>
      <c r="CO13" s="217"/>
      <c r="CX13" s="217"/>
      <c r="CY13" s="217"/>
      <c r="DH13" s="217"/>
      <c r="DI13" s="217"/>
      <c r="DR13" s="217"/>
      <c r="DS13" s="217"/>
      <c r="EB13" s="217"/>
      <c r="EC13" s="217"/>
      <c r="EL13" s="217"/>
      <c r="EM13" s="217"/>
      <c r="EV13" s="217"/>
      <c r="EW13" s="217"/>
      <c r="FF13" s="217"/>
      <c r="FG13" s="217"/>
      <c r="FP13" s="217"/>
      <c r="FQ13" s="217"/>
      <c r="FZ13" s="217"/>
      <c r="GA13" s="217"/>
      <c r="GJ13" s="217"/>
      <c r="GK13" s="217"/>
      <c r="GT13" s="217"/>
      <c r="GU13" s="217"/>
      <c r="HD13" s="217"/>
      <c r="HE13" s="217"/>
      <c r="HN13" s="217"/>
      <c r="HO13" s="217"/>
    </row>
    <row r="14" spans="1:223" ht="38.25" hidden="1" x14ac:dyDescent="0.25">
      <c r="A14" s="231">
        <f t="shared" si="0"/>
        <v>9</v>
      </c>
      <c r="B14" s="232" t="s">
        <v>410</v>
      </c>
      <c r="C14" s="240">
        <v>3.05</v>
      </c>
      <c r="D14" s="234" t="s">
        <v>51</v>
      </c>
      <c r="E14" s="218"/>
      <c r="F14" s="241"/>
      <c r="G14" s="217"/>
      <c r="H14" s="226" t="s">
        <v>411</v>
      </c>
      <c r="I14" s="242">
        <v>1.2</v>
      </c>
      <c r="J14" s="215" t="s">
        <v>51</v>
      </c>
      <c r="L14" s="226" t="s">
        <v>412</v>
      </c>
      <c r="M14" s="226">
        <v>3.298</v>
      </c>
      <c r="N14" s="215" t="s">
        <v>51</v>
      </c>
      <c r="O14" s="235" t="s">
        <v>413</v>
      </c>
      <c r="P14" s="52">
        <v>-8</v>
      </c>
      <c r="Q14" s="52" t="s">
        <v>51</v>
      </c>
      <c r="AF14" s="217"/>
      <c r="AK14" s="217"/>
      <c r="AL14" s="218"/>
      <c r="AY14" s="217"/>
      <c r="BA14" s="217"/>
      <c r="BJ14" s="217"/>
      <c r="BK14" s="217"/>
      <c r="BT14" s="217"/>
      <c r="BU14" s="217"/>
      <c r="CD14" s="217"/>
      <c r="CE14" s="217"/>
      <c r="CN14" s="217"/>
      <c r="CO14" s="217"/>
      <c r="CX14" s="217"/>
      <c r="CY14" s="217"/>
      <c r="DH14" s="217"/>
      <c r="DI14" s="217"/>
      <c r="DR14" s="217"/>
      <c r="DS14" s="217"/>
      <c r="EB14" s="217"/>
      <c r="EC14" s="217"/>
      <c r="EL14" s="217"/>
      <c r="EM14" s="217"/>
      <c r="EV14" s="217"/>
      <c r="EW14" s="217"/>
      <c r="FF14" s="217"/>
      <c r="FG14" s="217"/>
      <c r="FP14" s="217"/>
      <c r="FQ14" s="217"/>
      <c r="FZ14" s="217"/>
      <c r="GA14" s="217"/>
      <c r="GJ14" s="217"/>
      <c r="GK14" s="217"/>
      <c r="GT14" s="217"/>
      <c r="GU14" s="217"/>
      <c r="HD14" s="217"/>
      <c r="HE14" s="217"/>
      <c r="HN14" s="217"/>
      <c r="HO14" s="217"/>
    </row>
    <row r="15" spans="1:223" ht="30" hidden="1" customHeight="1" x14ac:dyDescent="0.25">
      <c r="A15" s="231">
        <f t="shared" si="0"/>
        <v>10</v>
      </c>
      <c r="B15" s="232" t="s">
        <v>414</v>
      </c>
      <c r="C15" s="238">
        <v>1.2</v>
      </c>
      <c r="D15" s="234" t="s">
        <v>51</v>
      </c>
      <c r="E15" s="218"/>
      <c r="F15" s="217"/>
      <c r="G15" s="217"/>
      <c r="H15" s="215" t="s">
        <v>415</v>
      </c>
      <c r="I15" s="242">
        <v>1.2</v>
      </c>
      <c r="J15" s="215" t="s">
        <v>51</v>
      </c>
      <c r="M15" s="226">
        <f>M12-M13+M14</f>
        <v>7.2479999999999958</v>
      </c>
      <c r="N15" s="215" t="s">
        <v>51</v>
      </c>
      <c r="O15" s="235" t="s">
        <v>413</v>
      </c>
      <c r="P15" s="52">
        <v>-8</v>
      </c>
      <c r="Q15" s="52" t="s">
        <v>51</v>
      </c>
      <c r="AF15" s="217"/>
      <c r="AK15" s="217"/>
      <c r="AL15" s="218"/>
      <c r="AY15" s="217"/>
      <c r="BA15" s="217"/>
      <c r="BJ15" s="217"/>
      <c r="BK15" s="217"/>
      <c r="BT15" s="217"/>
      <c r="BU15" s="217"/>
      <c r="CD15" s="217"/>
      <c r="CE15" s="217"/>
      <c r="CN15" s="217"/>
      <c r="CO15" s="217"/>
      <c r="CX15" s="217"/>
      <c r="CY15" s="217"/>
      <c r="DH15" s="217"/>
      <c r="DI15" s="217"/>
      <c r="DR15" s="217"/>
      <c r="DS15" s="217"/>
      <c r="EB15" s="217"/>
      <c r="EC15" s="217"/>
      <c r="EL15" s="217"/>
      <c r="EM15" s="217"/>
      <c r="EV15" s="217"/>
      <c r="EW15" s="217"/>
      <c r="FF15" s="217"/>
      <c r="FG15" s="217"/>
      <c r="FP15" s="217"/>
      <c r="FQ15" s="217"/>
      <c r="FZ15" s="217"/>
      <c r="GA15" s="217"/>
      <c r="GJ15" s="217"/>
      <c r="GK15" s="217"/>
      <c r="GT15" s="217"/>
      <c r="GU15" s="217"/>
      <c r="HD15" s="217"/>
      <c r="HE15" s="217"/>
      <c r="HN15" s="217"/>
      <c r="HO15" s="217"/>
    </row>
    <row r="16" spans="1:223" ht="30" hidden="1" customHeight="1" x14ac:dyDescent="0.25">
      <c r="A16" s="231">
        <f t="shared" si="0"/>
        <v>11</v>
      </c>
      <c r="B16" s="232" t="s">
        <v>416</v>
      </c>
      <c r="C16" s="238">
        <v>3.65</v>
      </c>
      <c r="D16" s="234" t="s">
        <v>51</v>
      </c>
      <c r="E16" s="218"/>
      <c r="F16" s="217"/>
      <c r="G16" s="217"/>
      <c r="L16" s="215" t="s">
        <v>417</v>
      </c>
      <c r="M16" s="226">
        <f>750/1000</f>
        <v>0.75</v>
      </c>
      <c r="N16" s="215" t="s">
        <v>51</v>
      </c>
      <c r="O16" s="235" t="s">
        <v>418</v>
      </c>
      <c r="P16" s="52">
        <v>-8</v>
      </c>
      <c r="Q16" s="52" t="s">
        <v>51</v>
      </c>
      <c r="AF16" s="217"/>
      <c r="AK16" s="217"/>
      <c r="AL16" s="218"/>
      <c r="AY16" s="217"/>
      <c r="BA16" s="217"/>
      <c r="BJ16" s="217"/>
      <c r="BK16" s="217"/>
      <c r="BT16" s="217"/>
      <c r="BU16" s="217"/>
      <c r="CD16" s="217"/>
      <c r="CE16" s="217"/>
      <c r="CN16" s="217"/>
      <c r="CO16" s="217"/>
      <c r="CX16" s="217"/>
      <c r="CY16" s="217"/>
      <c r="DH16" s="217"/>
      <c r="DI16" s="217"/>
      <c r="DR16" s="217"/>
      <c r="DS16" s="217"/>
      <c r="EB16" s="217"/>
      <c r="EC16" s="217"/>
      <c r="EL16" s="217"/>
      <c r="EM16" s="217"/>
      <c r="EV16" s="217"/>
      <c r="EW16" s="217"/>
      <c r="FF16" s="217"/>
      <c r="FG16" s="217"/>
      <c r="FP16" s="217"/>
      <c r="FQ16" s="217"/>
      <c r="FZ16" s="217"/>
      <c r="GA16" s="217"/>
      <c r="GJ16" s="217"/>
      <c r="GK16" s="217"/>
      <c r="GT16" s="217"/>
      <c r="GU16" s="217"/>
      <c r="HD16" s="217"/>
      <c r="HE16" s="217"/>
      <c r="HN16" s="217"/>
      <c r="HO16" s="217"/>
    </row>
    <row r="17" spans="1:1113" ht="30" hidden="1" customHeight="1" x14ac:dyDescent="0.25">
      <c r="A17" s="231">
        <f t="shared" si="0"/>
        <v>12</v>
      </c>
      <c r="B17" s="232" t="s">
        <v>419</v>
      </c>
      <c r="C17" s="232">
        <v>3.75</v>
      </c>
      <c r="D17" s="234" t="s">
        <v>51</v>
      </c>
      <c r="E17" s="218"/>
      <c r="F17" s="217"/>
      <c r="G17" s="217"/>
      <c r="I17" s="226"/>
      <c r="K17" s="217"/>
      <c r="L17" s="217" t="s">
        <v>420</v>
      </c>
      <c r="M17" s="226">
        <f>150/1000</f>
        <v>0.15</v>
      </c>
      <c r="N17" s="215" t="s">
        <v>51</v>
      </c>
      <c r="O17" s="235" t="s">
        <v>421</v>
      </c>
      <c r="P17" s="52">
        <v>-6.9</v>
      </c>
      <c r="Q17" s="52" t="s">
        <v>51</v>
      </c>
      <c r="R17" s="215">
        <v>-12</v>
      </c>
      <c r="S17" s="215" t="s">
        <v>51</v>
      </c>
      <c r="T17" s="215">
        <f>96.45-1</f>
        <v>95.45</v>
      </c>
      <c r="U17" s="215" t="s">
        <v>51</v>
      </c>
      <c r="AF17" s="217"/>
      <c r="AK17" s="217"/>
      <c r="AL17" s="218"/>
      <c r="AY17" s="217"/>
      <c r="BA17" s="217"/>
      <c r="BJ17" s="217"/>
      <c r="BK17" s="217"/>
      <c r="BT17" s="217"/>
      <c r="BU17" s="217"/>
      <c r="CD17" s="217"/>
      <c r="CE17" s="217"/>
      <c r="CN17" s="217"/>
      <c r="CO17" s="217"/>
      <c r="CX17" s="217"/>
      <c r="CY17" s="217"/>
      <c r="DH17" s="217"/>
      <c r="DI17" s="217"/>
      <c r="DR17" s="217"/>
      <c r="DS17" s="217"/>
      <c r="EB17" s="217"/>
      <c r="EC17" s="217"/>
      <c r="EL17" s="217"/>
      <c r="EM17" s="217"/>
      <c r="EV17" s="217"/>
      <c r="EW17" s="217"/>
      <c r="FF17" s="217"/>
      <c r="FG17" s="217"/>
      <c r="FP17" s="217"/>
      <c r="FQ17" s="217"/>
      <c r="FZ17" s="217"/>
      <c r="GA17" s="217"/>
      <c r="GJ17" s="217"/>
      <c r="GK17" s="217"/>
      <c r="GT17" s="217"/>
      <c r="GU17" s="217"/>
      <c r="HD17" s="217"/>
      <c r="HE17" s="217"/>
      <c r="HN17" s="217"/>
      <c r="HO17" s="217"/>
    </row>
    <row r="18" spans="1:1113" ht="30" hidden="1" customHeight="1" x14ac:dyDescent="0.25">
      <c r="A18" s="231">
        <f t="shared" si="0"/>
        <v>13</v>
      </c>
      <c r="B18" s="243" t="s">
        <v>386</v>
      </c>
      <c r="C18" s="244">
        <v>3.0590000000000002</v>
      </c>
      <c r="D18" s="245" t="s">
        <v>51</v>
      </c>
      <c r="E18" s="218"/>
      <c r="F18" s="217"/>
      <c r="G18" s="217"/>
      <c r="I18" s="226"/>
      <c r="K18" s="217"/>
      <c r="L18" s="217"/>
      <c r="M18" s="226"/>
      <c r="N18" s="226"/>
      <c r="O18" s="235"/>
      <c r="P18" s="217">
        <v>-8</v>
      </c>
      <c r="Q18" s="246" t="s">
        <v>51</v>
      </c>
      <c r="AF18" s="217"/>
      <c r="AK18" s="217"/>
      <c r="AL18" s="218"/>
      <c r="AY18" s="217"/>
      <c r="BA18" s="217"/>
      <c r="BJ18" s="217"/>
      <c r="BK18" s="217"/>
      <c r="BT18" s="217"/>
      <c r="BU18" s="217"/>
      <c r="CD18" s="217"/>
      <c r="CE18" s="217"/>
      <c r="CN18" s="217"/>
      <c r="CO18" s="217"/>
      <c r="CX18" s="217"/>
      <c r="CY18" s="217"/>
      <c r="DH18" s="217"/>
      <c r="DI18" s="217"/>
      <c r="DR18" s="217"/>
      <c r="DS18" s="217"/>
      <c r="EB18" s="217"/>
      <c r="EC18" s="217"/>
      <c r="EL18" s="217"/>
      <c r="EM18" s="217"/>
      <c r="EV18" s="217"/>
      <c r="EW18" s="217"/>
      <c r="FF18" s="217"/>
      <c r="FG18" s="217"/>
      <c r="FP18" s="217"/>
      <c r="FQ18" s="217"/>
      <c r="FZ18" s="217"/>
      <c r="GA18" s="217"/>
      <c r="GJ18" s="217"/>
      <c r="GK18" s="217"/>
      <c r="GT18" s="217"/>
      <c r="GU18" s="217"/>
      <c r="HD18" s="217"/>
      <c r="HE18" s="217"/>
      <c r="HN18" s="217"/>
      <c r="HO18" s="217"/>
    </row>
    <row r="19" spans="1:1113" ht="30" hidden="1" customHeight="1" x14ac:dyDescent="0.25">
      <c r="A19" s="247"/>
      <c r="B19" s="217"/>
      <c r="C19" s="241"/>
      <c r="D19" s="241"/>
      <c r="E19" s="218"/>
      <c r="F19" s="217"/>
      <c r="G19" s="217"/>
      <c r="I19" s="226"/>
      <c r="K19" s="217"/>
      <c r="L19" s="217"/>
      <c r="M19" s="226"/>
      <c r="N19" s="226"/>
      <c r="O19" s="235" t="s">
        <v>422</v>
      </c>
      <c r="P19" s="217">
        <v>4</v>
      </c>
      <c r="Q19" s="217"/>
      <c r="AF19" s="217"/>
      <c r="AK19" s="217"/>
      <c r="AL19" s="218"/>
      <c r="AY19" s="217"/>
      <c r="BA19" s="217"/>
      <c r="BJ19" s="217"/>
      <c r="BK19" s="217"/>
      <c r="BT19" s="217"/>
      <c r="BU19" s="217"/>
      <c r="CD19" s="217"/>
      <c r="CE19" s="217"/>
      <c r="CN19" s="217"/>
      <c r="CO19" s="217"/>
      <c r="CX19" s="217"/>
      <c r="CY19" s="217"/>
      <c r="DH19" s="217"/>
      <c r="DI19" s="217"/>
      <c r="DR19" s="217"/>
      <c r="DS19" s="217"/>
      <c r="EB19" s="217"/>
      <c r="EC19" s="217"/>
      <c r="EL19" s="217"/>
      <c r="EM19" s="217"/>
      <c r="EV19" s="217"/>
      <c r="EW19" s="217"/>
      <c r="FF19" s="217"/>
      <c r="FG19" s="217"/>
      <c r="FP19" s="217"/>
      <c r="FQ19" s="217"/>
      <c r="FZ19" s="217"/>
      <c r="GA19" s="217"/>
      <c r="GJ19" s="217"/>
      <c r="GK19" s="217"/>
      <c r="GT19" s="217"/>
      <c r="GU19" s="217"/>
      <c r="HD19" s="217"/>
      <c r="HE19" s="217"/>
      <c r="HN19" s="217"/>
      <c r="HO19" s="217"/>
    </row>
    <row r="20" spans="1:1113" s="217" customFormat="1" ht="30" hidden="1" customHeight="1" x14ac:dyDescent="0.25">
      <c r="A20" s="218" t="s">
        <v>423</v>
      </c>
      <c r="O20" s="235"/>
    </row>
    <row r="21" spans="1:1113" s="218" customFormat="1" ht="30" hidden="1" customHeight="1" x14ac:dyDescent="0.25">
      <c r="A21" s="248" t="s">
        <v>424</v>
      </c>
      <c r="B21" s="249" t="s">
        <v>1</v>
      </c>
      <c r="C21" s="249" t="s">
        <v>12</v>
      </c>
      <c r="D21" s="249"/>
      <c r="E21" s="249"/>
      <c r="F21" s="249"/>
      <c r="G21" s="249"/>
      <c r="H21" s="249"/>
      <c r="I21" s="249"/>
      <c r="J21" s="249"/>
      <c r="K21" s="249"/>
      <c r="L21" s="249"/>
      <c r="M21" s="249" t="s">
        <v>15</v>
      </c>
      <c r="N21" s="249"/>
      <c r="O21" s="249"/>
      <c r="P21" s="249"/>
      <c r="Q21" s="249"/>
      <c r="R21" s="249"/>
      <c r="S21" s="249" t="s">
        <v>425</v>
      </c>
      <c r="T21" s="249"/>
      <c r="U21" s="249"/>
      <c r="V21" s="249"/>
      <c r="W21" s="249"/>
      <c r="X21" s="249"/>
      <c r="Y21" s="250"/>
      <c r="Z21" s="250"/>
      <c r="AA21" s="250"/>
      <c r="AB21" s="250"/>
      <c r="AC21" s="250"/>
      <c r="AD21" s="251"/>
      <c r="AE21" s="249" t="s">
        <v>426</v>
      </c>
      <c r="AF21" s="249"/>
      <c r="AG21" s="249"/>
      <c r="AH21" s="249"/>
      <c r="AI21" s="249"/>
      <c r="AJ21" s="251"/>
    </row>
    <row r="22" spans="1:1113" s="218" customFormat="1" ht="30" hidden="1" customHeight="1" x14ac:dyDescent="0.25">
      <c r="A22" s="252"/>
      <c r="B22" s="253"/>
      <c r="C22" s="253" t="s">
        <v>427</v>
      </c>
      <c r="D22" s="253" t="s">
        <v>90</v>
      </c>
      <c r="E22" s="253"/>
      <c r="F22" s="253"/>
      <c r="G22" s="253"/>
      <c r="H22" s="253" t="s">
        <v>90</v>
      </c>
      <c r="I22" s="253"/>
      <c r="J22" s="253"/>
      <c r="K22" s="253"/>
      <c r="L22" s="253"/>
      <c r="M22" s="253" t="s">
        <v>427</v>
      </c>
      <c r="N22" s="253" t="s">
        <v>90</v>
      </c>
      <c r="O22" s="253"/>
      <c r="P22" s="253"/>
      <c r="Q22" s="253"/>
      <c r="R22" s="253"/>
      <c r="S22" s="253" t="s">
        <v>427</v>
      </c>
      <c r="T22" s="253" t="s">
        <v>90</v>
      </c>
      <c r="U22" s="253"/>
      <c r="V22" s="253"/>
      <c r="W22" s="253"/>
      <c r="X22" s="253"/>
      <c r="Y22" s="254"/>
      <c r="Z22" s="254"/>
      <c r="AA22" s="254" t="s">
        <v>428</v>
      </c>
      <c r="AB22" s="254"/>
      <c r="AC22" s="254"/>
      <c r="AD22" s="255"/>
      <c r="AE22" s="256" t="s">
        <v>427</v>
      </c>
      <c r="AF22" s="257" t="s">
        <v>90</v>
      </c>
      <c r="AG22" s="257"/>
      <c r="AH22" s="257"/>
      <c r="AI22" s="257"/>
      <c r="AJ22" s="258"/>
    </row>
    <row r="23" spans="1:1113" s="218" customFormat="1" ht="30" hidden="1" customHeight="1" x14ac:dyDescent="0.25">
      <c r="A23" s="259"/>
      <c r="B23" s="256"/>
      <c r="C23" s="256"/>
      <c r="D23" s="260" t="s">
        <v>429</v>
      </c>
      <c r="E23" s="260" t="s">
        <v>430</v>
      </c>
      <c r="F23" s="260" t="s">
        <v>431</v>
      </c>
      <c r="G23" s="260" t="s">
        <v>432</v>
      </c>
      <c r="H23" s="260" t="s">
        <v>429</v>
      </c>
      <c r="I23" s="260" t="s">
        <v>430</v>
      </c>
      <c r="J23" s="260" t="s">
        <v>431</v>
      </c>
      <c r="K23" s="260" t="s">
        <v>432</v>
      </c>
      <c r="L23" s="256" t="s">
        <v>30</v>
      </c>
      <c r="M23" s="256"/>
      <c r="N23" s="260" t="s">
        <v>429</v>
      </c>
      <c r="O23" s="260" t="s">
        <v>430</v>
      </c>
      <c r="P23" s="260" t="s">
        <v>431</v>
      </c>
      <c r="Q23" s="260" t="s">
        <v>432</v>
      </c>
      <c r="R23" s="256" t="s">
        <v>30</v>
      </c>
      <c r="S23" s="256"/>
      <c r="T23" s="260" t="s">
        <v>429</v>
      </c>
      <c r="U23" s="260" t="s">
        <v>430</v>
      </c>
      <c r="V23" s="260" t="s">
        <v>431</v>
      </c>
      <c r="W23" s="260" t="s">
        <v>432</v>
      </c>
      <c r="X23" s="256" t="s">
        <v>30</v>
      </c>
      <c r="Y23" s="261"/>
      <c r="Z23" s="262"/>
      <c r="AA23" s="262"/>
      <c r="AB23" s="262"/>
      <c r="AC23" s="262"/>
      <c r="AD23" s="258" t="s">
        <v>30</v>
      </c>
      <c r="AE23" s="218" t="e">
        <f>#REF!</f>
        <v>#REF!</v>
      </c>
      <c r="AF23" s="218" t="e">
        <f>#REF!</f>
        <v>#REF!</v>
      </c>
      <c r="AJ23" s="263"/>
    </row>
    <row r="24" spans="1:1113" s="217" customFormat="1" ht="30" hidden="1" customHeight="1" x14ac:dyDescent="0.25">
      <c r="A24" s="264">
        <v>1</v>
      </c>
      <c r="B24" s="232" t="s">
        <v>433</v>
      </c>
      <c r="C24" s="232" t="e">
        <f>H56</f>
        <v>#REF!</v>
      </c>
      <c r="D24" s="232">
        <f t="shared" ref="D24:G24" si="1">I56</f>
        <v>0</v>
      </c>
      <c r="E24" s="232">
        <f t="shared" si="1"/>
        <v>0</v>
      </c>
      <c r="F24" s="232">
        <f t="shared" si="1"/>
        <v>0</v>
      </c>
      <c r="G24" s="232">
        <f t="shared" si="1"/>
        <v>0</v>
      </c>
      <c r="H24" s="232">
        <f>I64</f>
        <v>0</v>
      </c>
      <c r="I24" s="232">
        <f>J64</f>
        <v>0</v>
      </c>
      <c r="J24" s="232">
        <f>K64</f>
        <v>0</v>
      </c>
      <c r="K24" s="232">
        <f>L64</f>
        <v>0</v>
      </c>
      <c r="L24" s="232">
        <f>SUM(H24:K24)</f>
        <v>0</v>
      </c>
      <c r="M24" s="232" t="e">
        <f>H38</f>
        <v>#REF!</v>
      </c>
      <c r="N24" s="232" t="e">
        <f t="shared" ref="N24:Q24" si="2">I38</f>
        <v>#REF!</v>
      </c>
      <c r="O24" s="232" t="e">
        <f t="shared" si="2"/>
        <v>#REF!</v>
      </c>
      <c r="P24" s="232">
        <f t="shared" si="2"/>
        <v>0</v>
      </c>
      <c r="Q24" s="232">
        <f t="shared" si="2"/>
        <v>0</v>
      </c>
      <c r="R24" s="232" t="e">
        <f>SUM(N24:Q24)</f>
        <v>#REF!</v>
      </c>
      <c r="S24" s="232" t="e">
        <f>H44</f>
        <v>#REF!</v>
      </c>
      <c r="T24" s="232" t="e">
        <f t="shared" ref="T24:W24" si="3">I44</f>
        <v>#REF!</v>
      </c>
      <c r="U24" s="232" t="e">
        <f t="shared" si="3"/>
        <v>#REF!</v>
      </c>
      <c r="V24" s="232" t="e">
        <f t="shared" si="3"/>
        <v>#REF!</v>
      </c>
      <c r="W24" s="232">
        <f t="shared" si="3"/>
        <v>0</v>
      </c>
      <c r="X24" s="232" t="e">
        <f>SUM(T24:W24)</f>
        <v>#REF!</v>
      </c>
      <c r="Y24" s="265"/>
      <c r="Z24" s="265"/>
      <c r="AA24" s="265"/>
      <c r="AB24" s="265"/>
      <c r="AC24" s="265"/>
      <c r="AD24" s="266">
        <f>SUM(Z24:AC24)</f>
        <v>0</v>
      </c>
      <c r="AJ24" s="266"/>
    </row>
    <row r="25" spans="1:1113" s="217" customFormat="1" ht="30" hidden="1" customHeight="1" x14ac:dyDescent="0.25">
      <c r="A25" s="264">
        <f>A24+1</f>
        <v>2</v>
      </c>
      <c r="B25" s="232" t="s">
        <v>434</v>
      </c>
      <c r="C25" s="232">
        <f>S56</f>
        <v>0</v>
      </c>
      <c r="D25" s="232">
        <f t="shared" ref="D25:G25" si="4">T56</f>
        <v>0</v>
      </c>
      <c r="E25" s="232">
        <f t="shared" si="4"/>
        <v>0</v>
      </c>
      <c r="F25" s="232">
        <f t="shared" si="4"/>
        <v>0</v>
      </c>
      <c r="G25" s="232">
        <f t="shared" si="4"/>
        <v>0</v>
      </c>
      <c r="H25" s="232">
        <f t="shared" ref="H25:K25" si="5">T64</f>
        <v>0</v>
      </c>
      <c r="I25" s="232">
        <f t="shared" si="5"/>
        <v>0</v>
      </c>
      <c r="J25" s="232">
        <f t="shared" si="5"/>
        <v>0</v>
      </c>
      <c r="K25" s="232">
        <f t="shared" si="5"/>
        <v>0</v>
      </c>
      <c r="L25" s="232">
        <f>SUM(H25:K25)</f>
        <v>0</v>
      </c>
      <c r="M25" s="232">
        <f>S38</f>
        <v>38.159999999999997</v>
      </c>
      <c r="N25" s="232">
        <f t="shared" ref="N25:Q25" si="6">T38</f>
        <v>159.60000000000002</v>
      </c>
      <c r="O25" s="232">
        <f t="shared" si="6"/>
        <v>119.7</v>
      </c>
      <c r="P25" s="232">
        <f t="shared" si="6"/>
        <v>0</v>
      </c>
      <c r="Q25" s="232">
        <f t="shared" si="6"/>
        <v>0</v>
      </c>
      <c r="R25" s="256">
        <f>SUM(N25:Q25)</f>
        <v>279.3</v>
      </c>
      <c r="S25" s="232">
        <f>S44</f>
        <v>37.080000000000005</v>
      </c>
      <c r="T25" s="232">
        <f t="shared" ref="T25:W25" si="7">T44</f>
        <v>219.45000000000002</v>
      </c>
      <c r="U25" s="232">
        <f t="shared" si="7"/>
        <v>33.25</v>
      </c>
      <c r="V25" s="232">
        <f t="shared" si="7"/>
        <v>8.6450000000000014</v>
      </c>
      <c r="W25" s="232">
        <f t="shared" si="7"/>
        <v>0</v>
      </c>
      <c r="X25" s="256">
        <f>SUM(T25:W25)</f>
        <v>261.34500000000003</v>
      </c>
      <c r="Y25" s="265"/>
      <c r="Z25" s="265"/>
      <c r="AA25" s="265">
        <f>AM38+AM44</f>
        <v>89.304000000000002</v>
      </c>
      <c r="AB25" s="265"/>
      <c r="AC25" s="265"/>
      <c r="AD25" s="266">
        <f>SUM(Z25:AC25)</f>
        <v>89.304000000000002</v>
      </c>
      <c r="AJ25" s="266"/>
    </row>
    <row r="26" spans="1:1113" s="217" customFormat="1" ht="30" hidden="1" customHeight="1" x14ac:dyDescent="0.25">
      <c r="A26" s="267">
        <f>A25+1</f>
        <v>3</v>
      </c>
      <c r="B26" s="243" t="s">
        <v>435</v>
      </c>
      <c r="C26" s="243">
        <f>AD56</f>
        <v>0</v>
      </c>
      <c r="D26" s="243">
        <f t="shared" ref="D26:G26" si="8">AE56</f>
        <v>0</v>
      </c>
      <c r="E26" s="243">
        <f t="shared" si="8"/>
        <v>0</v>
      </c>
      <c r="F26" s="243">
        <f t="shared" si="8"/>
        <v>0</v>
      </c>
      <c r="G26" s="243">
        <f t="shared" si="8"/>
        <v>0</v>
      </c>
      <c r="H26" s="243">
        <f t="shared" ref="H26:K26" si="9">AE64</f>
        <v>0</v>
      </c>
      <c r="I26" s="243">
        <f t="shared" si="9"/>
        <v>0</v>
      </c>
      <c r="J26" s="243">
        <f t="shared" si="9"/>
        <v>0</v>
      </c>
      <c r="K26" s="243">
        <f t="shared" si="9"/>
        <v>0</v>
      </c>
      <c r="L26" s="243">
        <f>SUM(H26:K26)</f>
        <v>0</v>
      </c>
      <c r="M26" s="243">
        <f>AD38</f>
        <v>29.52</v>
      </c>
      <c r="N26" s="243">
        <f t="shared" ref="N26:Q26" si="10">AE38</f>
        <v>99.75</v>
      </c>
      <c r="O26" s="243">
        <f t="shared" si="10"/>
        <v>119.7</v>
      </c>
      <c r="P26" s="243">
        <f t="shared" si="10"/>
        <v>0</v>
      </c>
      <c r="Q26" s="243">
        <f t="shared" si="10"/>
        <v>0</v>
      </c>
      <c r="R26" s="243">
        <f>SUM(N26:Q26)</f>
        <v>219.45</v>
      </c>
      <c r="S26" s="243">
        <f>AD44</f>
        <v>30.48</v>
      </c>
      <c r="T26" s="243">
        <f t="shared" ref="T26:W26" si="11">AE44</f>
        <v>199.5</v>
      </c>
      <c r="U26" s="243">
        <f t="shared" si="11"/>
        <v>13.3</v>
      </c>
      <c r="V26" s="243">
        <f t="shared" si="11"/>
        <v>0</v>
      </c>
      <c r="W26" s="243">
        <f t="shared" si="11"/>
        <v>0</v>
      </c>
      <c r="X26" s="243">
        <f>SUM(T26:W26)</f>
        <v>212.8</v>
      </c>
      <c r="Y26" s="268"/>
      <c r="Z26" s="268"/>
      <c r="AA26" s="268"/>
      <c r="AB26" s="268"/>
      <c r="AC26" s="268"/>
      <c r="AD26" s="269">
        <f>SUM(Z26:AC26)</f>
        <v>0</v>
      </c>
      <c r="AE26" s="270"/>
      <c r="AF26" s="270"/>
      <c r="AG26" s="270"/>
      <c r="AH26" s="270"/>
      <c r="AI26" s="270"/>
      <c r="AJ26" s="269"/>
    </row>
    <row r="27" spans="1:1113" s="217" customFormat="1" ht="30" hidden="1" customHeight="1" x14ac:dyDescent="0.25"/>
    <row r="28" spans="1:1113" s="217" customFormat="1" ht="30" hidden="1" customHeight="1" x14ac:dyDescent="0.25"/>
    <row r="29" spans="1:1113" ht="30" hidden="1" customHeight="1" x14ac:dyDescent="0.25">
      <c r="A29" s="225"/>
      <c r="B29" s="217"/>
      <c r="C29" s="271"/>
      <c r="D29" s="241"/>
      <c r="E29" s="272"/>
      <c r="F29" s="218"/>
      <c r="G29" s="217"/>
      <c r="I29" s="226"/>
      <c r="K29" s="217"/>
      <c r="L29" s="217"/>
      <c r="M29" s="226"/>
      <c r="N29" s="226"/>
      <c r="AF29" s="217"/>
      <c r="AK29" s="217"/>
      <c r="AL29" s="218"/>
      <c r="AY29" s="217"/>
      <c r="BA29" s="217"/>
      <c r="BJ29" s="217"/>
      <c r="BK29" s="217"/>
      <c r="BT29" s="217"/>
      <c r="BU29" s="217"/>
      <c r="CD29" s="217"/>
      <c r="CE29" s="217"/>
      <c r="CN29" s="217"/>
      <c r="CO29" s="217"/>
      <c r="CX29" s="217"/>
      <c r="CY29" s="217"/>
      <c r="DH29" s="217"/>
      <c r="DI29" s="217"/>
      <c r="DR29" s="217"/>
      <c r="DS29" s="217"/>
      <c r="EB29" s="217"/>
      <c r="EC29" s="217"/>
      <c r="EL29" s="217"/>
      <c r="EM29" s="217"/>
      <c r="EV29" s="217"/>
      <c r="EW29" s="217"/>
      <c r="FF29" s="217"/>
      <c r="FG29" s="217"/>
      <c r="FP29" s="217"/>
      <c r="FQ29" s="217"/>
      <c r="FZ29" s="217"/>
      <c r="GA29" s="217"/>
      <c r="GJ29" s="217"/>
      <c r="GK29" s="217"/>
      <c r="GT29" s="217"/>
      <c r="GU29" s="217"/>
      <c r="HD29" s="217"/>
      <c r="HE29" s="217"/>
      <c r="HN29" s="217"/>
      <c r="HO29" s="217"/>
    </row>
    <row r="30" spans="1:1113" ht="30" hidden="1" customHeight="1" x14ac:dyDescent="0.25">
      <c r="A30" s="225"/>
      <c r="B30" s="217"/>
      <c r="C30" s="223"/>
      <c r="D30" s="241"/>
      <c r="E30" s="241"/>
      <c r="F30" s="241"/>
      <c r="G30" s="241"/>
      <c r="H30" s="226"/>
      <c r="I30" s="226"/>
      <c r="J30" s="226"/>
      <c r="K30" s="226"/>
      <c r="L30" s="226"/>
      <c r="M30" s="226"/>
      <c r="AE30" s="217"/>
      <c r="AJ30" s="217"/>
      <c r="AK30" s="217"/>
      <c r="AX30" s="217"/>
    </row>
    <row r="31" spans="1:1113" ht="30" hidden="1" customHeight="1" x14ac:dyDescent="0.25">
      <c r="A31" s="225"/>
      <c r="B31" s="218"/>
      <c r="C31" s="223"/>
      <c r="D31" s="241"/>
      <c r="E31" s="272"/>
      <c r="F31" s="218"/>
      <c r="G31" s="217"/>
      <c r="I31" s="226"/>
      <c r="K31" s="217"/>
      <c r="L31" s="217"/>
      <c r="M31" s="226"/>
      <c r="N31" s="226"/>
      <c r="P31" s="217"/>
      <c r="Q31" s="217"/>
      <c r="AF31" s="217"/>
      <c r="AK31" s="217"/>
      <c r="AL31" s="218"/>
      <c r="AY31" s="217"/>
    </row>
    <row r="32" spans="1:1113" s="277" customFormat="1" ht="30" hidden="1" customHeight="1" x14ac:dyDescent="0.25">
      <c r="A32" s="356" t="s">
        <v>68</v>
      </c>
      <c r="B32" s="358" t="s">
        <v>96</v>
      </c>
      <c r="C32" s="358" t="s">
        <v>436</v>
      </c>
      <c r="D32" s="352" t="s">
        <v>437</v>
      </c>
      <c r="E32" s="352"/>
      <c r="F32" s="352"/>
      <c r="G32" s="352"/>
      <c r="H32" s="352"/>
      <c r="I32" s="352"/>
      <c r="J32" s="352"/>
      <c r="K32" s="352"/>
      <c r="L32" s="352"/>
      <c r="M32" s="352"/>
      <c r="N32" s="352"/>
      <c r="O32" s="352" t="s">
        <v>438</v>
      </c>
      <c r="P32" s="352"/>
      <c r="Q32" s="352"/>
      <c r="R32" s="352"/>
      <c r="S32" s="352"/>
      <c r="T32" s="352"/>
      <c r="U32" s="352"/>
      <c r="V32" s="352"/>
      <c r="W32" s="352"/>
      <c r="X32" s="352"/>
      <c r="Y32" s="352"/>
      <c r="Z32" s="352" t="s">
        <v>439</v>
      </c>
      <c r="AA32" s="352"/>
      <c r="AB32" s="352"/>
      <c r="AC32" s="352"/>
      <c r="AD32" s="352"/>
      <c r="AE32" s="352"/>
      <c r="AF32" s="352"/>
      <c r="AG32" s="352"/>
      <c r="AH32" s="352"/>
      <c r="AI32" s="352"/>
      <c r="AJ32" s="352"/>
      <c r="AK32" s="228"/>
      <c r="AL32" s="274" t="s">
        <v>428</v>
      </c>
      <c r="AM32" s="275"/>
      <c r="AN32" s="215"/>
      <c r="AO32" s="215"/>
      <c r="AP32" s="215"/>
      <c r="AQ32" s="215"/>
      <c r="AR32" s="215"/>
      <c r="AS32" s="215"/>
      <c r="AT32" s="215"/>
      <c r="AU32" s="215"/>
      <c r="AV32" s="215"/>
      <c r="AW32" s="215"/>
      <c r="AX32" s="215"/>
      <c r="AY32" s="215"/>
      <c r="AZ32" s="276"/>
      <c r="BA32" s="215"/>
      <c r="BB32" s="215"/>
      <c r="BC32" s="215"/>
      <c r="BD32" s="215"/>
      <c r="BE32" s="215"/>
      <c r="BF32" s="215"/>
      <c r="BG32" s="215"/>
      <c r="BH32" s="215"/>
      <c r="BI32" s="215"/>
      <c r="BJ32" s="215"/>
      <c r="BK32" s="215"/>
      <c r="BL32" s="215"/>
      <c r="BM32" s="215"/>
      <c r="BN32" s="215"/>
      <c r="BO32" s="215"/>
      <c r="BP32" s="215"/>
      <c r="BQ32" s="215"/>
      <c r="BR32" s="215"/>
      <c r="BS32" s="215"/>
      <c r="BT32" s="215"/>
      <c r="BU32" s="215"/>
      <c r="BV32" s="215"/>
      <c r="BW32" s="215"/>
      <c r="BX32" s="215"/>
      <c r="BY32" s="215"/>
      <c r="BZ32" s="215"/>
      <c r="CA32" s="215"/>
      <c r="CB32" s="215"/>
      <c r="CC32" s="215"/>
      <c r="CD32" s="215"/>
      <c r="CE32" s="215"/>
      <c r="CF32" s="215"/>
      <c r="CG32" s="215"/>
      <c r="CH32" s="215"/>
      <c r="CI32" s="215"/>
      <c r="CJ32" s="215"/>
      <c r="CK32" s="215"/>
      <c r="CL32" s="215"/>
      <c r="CM32" s="215"/>
      <c r="CN32" s="215"/>
      <c r="CO32" s="215"/>
      <c r="CP32" s="215"/>
      <c r="CQ32" s="215"/>
      <c r="CR32" s="215"/>
      <c r="CS32" s="215"/>
      <c r="CT32" s="215"/>
      <c r="CU32" s="215"/>
      <c r="CV32" s="215"/>
      <c r="CW32" s="215"/>
      <c r="CX32" s="215"/>
      <c r="CY32" s="215"/>
      <c r="CZ32" s="215"/>
      <c r="DA32" s="215"/>
      <c r="DB32" s="215"/>
      <c r="DC32" s="215"/>
      <c r="DD32" s="215"/>
      <c r="DE32" s="215"/>
      <c r="DF32" s="215"/>
      <c r="DG32" s="215"/>
      <c r="DH32" s="215"/>
      <c r="DI32" s="215"/>
      <c r="DJ32" s="215"/>
      <c r="DK32" s="215"/>
      <c r="DL32" s="215"/>
      <c r="DM32" s="215"/>
      <c r="DN32" s="215"/>
      <c r="DO32" s="215"/>
      <c r="DP32" s="215"/>
      <c r="DQ32" s="215"/>
      <c r="DR32" s="215"/>
      <c r="DS32" s="215"/>
      <c r="DT32" s="215"/>
      <c r="DU32" s="215"/>
      <c r="DV32" s="215"/>
      <c r="DW32" s="215"/>
      <c r="DX32" s="215"/>
      <c r="DY32" s="215"/>
      <c r="DZ32" s="215"/>
      <c r="EA32" s="215"/>
      <c r="EB32" s="215"/>
      <c r="EC32" s="215"/>
      <c r="ED32" s="215"/>
      <c r="EE32" s="215"/>
      <c r="EF32" s="215"/>
      <c r="EG32" s="215"/>
      <c r="EH32" s="215"/>
      <c r="EI32" s="215"/>
      <c r="EJ32" s="215"/>
      <c r="EK32" s="215"/>
      <c r="EL32" s="215"/>
      <c r="EM32" s="215"/>
      <c r="EN32" s="215"/>
      <c r="EO32" s="215"/>
      <c r="EP32" s="215"/>
      <c r="EQ32" s="215"/>
      <c r="ER32" s="215"/>
      <c r="ES32" s="215"/>
      <c r="ET32" s="215"/>
      <c r="EU32" s="215"/>
      <c r="EV32" s="215"/>
      <c r="EW32" s="215"/>
      <c r="EX32" s="215"/>
      <c r="EY32" s="215"/>
      <c r="EZ32" s="215"/>
      <c r="FA32" s="215"/>
      <c r="FB32" s="215"/>
      <c r="FC32" s="215"/>
      <c r="FD32" s="215"/>
      <c r="FE32" s="215"/>
      <c r="FF32" s="215"/>
      <c r="FG32" s="215"/>
      <c r="FH32" s="215"/>
      <c r="FI32" s="215"/>
      <c r="FJ32" s="215"/>
      <c r="FK32" s="215"/>
      <c r="FL32" s="215"/>
      <c r="FM32" s="215"/>
      <c r="FN32" s="215"/>
      <c r="FO32" s="215"/>
      <c r="FP32" s="215"/>
      <c r="FQ32" s="215"/>
      <c r="FR32" s="215"/>
      <c r="FS32" s="215"/>
      <c r="FT32" s="215"/>
      <c r="FU32" s="215"/>
      <c r="FV32" s="215"/>
      <c r="FW32" s="215"/>
      <c r="FX32" s="215"/>
      <c r="FY32" s="215"/>
      <c r="FZ32" s="215"/>
      <c r="GA32" s="215"/>
      <c r="GB32" s="215"/>
      <c r="GC32" s="215"/>
      <c r="GD32" s="215"/>
      <c r="GE32" s="215"/>
      <c r="GF32" s="215"/>
      <c r="GG32" s="215"/>
      <c r="GH32" s="215"/>
      <c r="GI32" s="215"/>
      <c r="GJ32" s="215"/>
      <c r="GK32" s="215"/>
      <c r="GL32" s="215"/>
      <c r="GM32" s="215"/>
      <c r="GN32" s="215"/>
      <c r="GO32" s="215"/>
      <c r="GP32" s="215"/>
      <c r="GQ32" s="215"/>
      <c r="GR32" s="215"/>
      <c r="GS32" s="215"/>
      <c r="GT32" s="215"/>
      <c r="GU32" s="215"/>
      <c r="GV32" s="215"/>
      <c r="GW32" s="215"/>
      <c r="GX32" s="215"/>
      <c r="GY32" s="215"/>
      <c r="GZ32" s="215"/>
      <c r="HA32" s="215"/>
      <c r="HB32" s="215"/>
      <c r="HC32" s="215"/>
      <c r="HD32" s="215"/>
      <c r="HE32" s="215"/>
      <c r="HF32" s="215"/>
      <c r="HG32" s="215"/>
      <c r="HH32" s="215"/>
      <c r="HI32" s="215"/>
      <c r="HJ32" s="215"/>
      <c r="HK32" s="215"/>
      <c r="HL32" s="215"/>
      <c r="HM32" s="215"/>
      <c r="HN32" s="215"/>
      <c r="HO32" s="215"/>
      <c r="HP32" s="215"/>
      <c r="HQ32" s="215"/>
      <c r="HR32" s="215"/>
      <c r="HS32" s="215"/>
      <c r="HT32" s="215"/>
      <c r="HU32" s="215"/>
      <c r="HV32" s="215"/>
      <c r="HW32" s="215"/>
      <c r="HX32" s="215"/>
      <c r="HY32" s="215"/>
      <c r="HZ32" s="215"/>
      <c r="IA32" s="215"/>
      <c r="IB32" s="215"/>
      <c r="IC32" s="215"/>
      <c r="ID32" s="215"/>
      <c r="IE32" s="215"/>
      <c r="IF32" s="215"/>
      <c r="IG32" s="215"/>
      <c r="IH32" s="215"/>
      <c r="II32" s="215"/>
      <c r="IJ32" s="215"/>
      <c r="IK32" s="215"/>
      <c r="IL32" s="215"/>
      <c r="IM32" s="215"/>
      <c r="IN32" s="215"/>
      <c r="IO32" s="215"/>
      <c r="IP32" s="215"/>
      <c r="IQ32" s="215"/>
      <c r="IR32" s="215"/>
      <c r="IS32" s="215"/>
      <c r="IT32" s="215"/>
      <c r="IU32" s="215"/>
      <c r="IV32" s="215"/>
      <c r="IW32" s="215"/>
      <c r="IX32" s="215"/>
      <c r="IY32" s="215"/>
      <c r="IZ32" s="215"/>
      <c r="JA32" s="215"/>
      <c r="JB32" s="215"/>
      <c r="JC32" s="215"/>
      <c r="JD32" s="215"/>
      <c r="JE32" s="215"/>
      <c r="JF32" s="215"/>
      <c r="JG32" s="215"/>
      <c r="JH32" s="215"/>
      <c r="JI32" s="215"/>
      <c r="JJ32" s="215"/>
      <c r="JK32" s="215"/>
      <c r="JL32" s="215"/>
      <c r="JM32" s="215"/>
      <c r="JN32" s="215"/>
      <c r="JO32" s="215"/>
      <c r="JP32" s="215"/>
      <c r="JQ32" s="215"/>
      <c r="JR32" s="215"/>
      <c r="JS32" s="215"/>
      <c r="JT32" s="215"/>
      <c r="JU32" s="215"/>
      <c r="JV32" s="215"/>
      <c r="JW32" s="215"/>
      <c r="JX32" s="215"/>
      <c r="JY32" s="215"/>
      <c r="JZ32" s="215"/>
      <c r="KA32" s="215"/>
      <c r="KB32" s="215"/>
      <c r="KC32" s="215"/>
      <c r="KD32" s="215"/>
      <c r="KE32" s="215"/>
      <c r="KF32" s="215"/>
      <c r="KG32" s="215"/>
      <c r="KH32" s="215"/>
      <c r="KI32" s="215"/>
      <c r="KJ32" s="215"/>
      <c r="KK32" s="215"/>
      <c r="KL32" s="215"/>
      <c r="KM32" s="215"/>
      <c r="KN32" s="215"/>
      <c r="KO32" s="215"/>
      <c r="KP32" s="215"/>
      <c r="KQ32" s="215"/>
      <c r="KR32" s="215"/>
      <c r="KS32" s="215"/>
      <c r="KT32" s="215"/>
      <c r="KU32" s="215"/>
      <c r="KV32" s="215"/>
      <c r="KW32" s="215"/>
      <c r="KX32" s="215"/>
      <c r="KY32" s="215"/>
      <c r="KZ32" s="215"/>
      <c r="LA32" s="215"/>
      <c r="LB32" s="215"/>
      <c r="LC32" s="215"/>
      <c r="LD32" s="215"/>
      <c r="LE32" s="215"/>
      <c r="LF32" s="215"/>
      <c r="LG32" s="215"/>
      <c r="LH32" s="215"/>
      <c r="LI32" s="215"/>
      <c r="LJ32" s="215"/>
      <c r="LK32" s="215"/>
      <c r="LL32" s="232"/>
      <c r="LM32" s="232"/>
      <c r="LN32" s="232"/>
      <c r="LO32" s="232"/>
      <c r="LP32" s="232"/>
      <c r="LQ32" s="232"/>
      <c r="LR32" s="232"/>
      <c r="LS32" s="232"/>
      <c r="LT32" s="232"/>
      <c r="LU32" s="232"/>
      <c r="LV32" s="232"/>
      <c r="LW32" s="232"/>
      <c r="LX32" s="232"/>
      <c r="LY32" s="232"/>
      <c r="LZ32" s="232"/>
      <c r="MA32" s="232"/>
      <c r="MB32" s="232"/>
      <c r="MC32" s="232"/>
      <c r="MD32" s="232"/>
      <c r="ME32" s="232"/>
      <c r="MF32" s="232"/>
      <c r="MG32" s="232"/>
      <c r="MH32" s="232"/>
      <c r="MI32" s="232"/>
      <c r="MJ32" s="232"/>
      <c r="MK32" s="232"/>
      <c r="ML32" s="232"/>
      <c r="MM32" s="232"/>
      <c r="MN32" s="232"/>
      <c r="MO32" s="232"/>
      <c r="MP32" s="232"/>
      <c r="MQ32" s="232"/>
      <c r="MR32" s="232"/>
      <c r="MS32" s="232"/>
      <c r="MT32" s="232"/>
      <c r="MU32" s="232"/>
      <c r="MV32" s="232"/>
      <c r="MW32" s="232"/>
      <c r="MX32" s="232"/>
      <c r="MY32" s="232"/>
      <c r="MZ32" s="232"/>
      <c r="NA32" s="232"/>
      <c r="NB32" s="232"/>
      <c r="NC32" s="232"/>
      <c r="ND32" s="232"/>
      <c r="NE32" s="232"/>
      <c r="NF32" s="232"/>
      <c r="NG32" s="232"/>
      <c r="NH32" s="232"/>
      <c r="NI32" s="232"/>
      <c r="NJ32" s="232"/>
      <c r="NK32" s="232"/>
      <c r="NL32" s="232"/>
      <c r="NM32" s="232"/>
      <c r="NN32" s="232"/>
      <c r="NO32" s="232"/>
      <c r="NP32" s="232"/>
      <c r="NQ32" s="232"/>
      <c r="NR32" s="232"/>
      <c r="NS32" s="232"/>
      <c r="NT32" s="232"/>
      <c r="NU32" s="232"/>
      <c r="NV32" s="232"/>
      <c r="NW32" s="232"/>
      <c r="NX32" s="232"/>
      <c r="NY32" s="232"/>
      <c r="NZ32" s="232"/>
      <c r="OA32" s="232"/>
      <c r="OB32" s="232"/>
      <c r="OC32" s="232"/>
      <c r="OD32" s="232"/>
      <c r="OE32" s="232"/>
      <c r="OF32" s="232"/>
      <c r="OG32" s="232"/>
      <c r="OH32" s="232"/>
      <c r="OI32" s="232"/>
      <c r="OJ32" s="232"/>
      <c r="OK32" s="232"/>
      <c r="OL32" s="232"/>
      <c r="OM32" s="232"/>
      <c r="ON32" s="232"/>
      <c r="OO32" s="232"/>
      <c r="OP32" s="232"/>
      <c r="OQ32" s="232"/>
      <c r="OR32" s="232"/>
      <c r="OS32" s="232"/>
      <c r="OT32" s="232"/>
      <c r="OU32" s="232"/>
      <c r="OV32" s="232"/>
      <c r="OW32" s="232"/>
      <c r="OX32" s="232"/>
      <c r="OY32" s="232"/>
      <c r="OZ32" s="232"/>
      <c r="PA32" s="232"/>
      <c r="PB32" s="232"/>
      <c r="PC32" s="232"/>
      <c r="PD32" s="232"/>
      <c r="PE32" s="232"/>
      <c r="PF32" s="232"/>
      <c r="PG32" s="232"/>
      <c r="PH32" s="232"/>
      <c r="PI32" s="232"/>
      <c r="PJ32" s="232"/>
      <c r="PK32" s="232"/>
      <c r="PL32" s="232"/>
      <c r="PM32" s="232"/>
      <c r="PN32" s="232"/>
      <c r="PO32" s="232"/>
      <c r="PP32" s="232"/>
      <c r="PQ32" s="232"/>
      <c r="PR32" s="232"/>
      <c r="PS32" s="232"/>
      <c r="PT32" s="232"/>
      <c r="PU32" s="232"/>
      <c r="PV32" s="232"/>
      <c r="PW32" s="232"/>
      <c r="PX32" s="232"/>
      <c r="PY32" s="232"/>
      <c r="PZ32" s="232"/>
      <c r="QA32" s="232"/>
      <c r="QB32" s="232"/>
      <c r="QC32" s="232"/>
      <c r="QD32" s="232"/>
      <c r="QE32" s="232"/>
      <c r="QF32" s="232"/>
      <c r="QG32" s="232"/>
      <c r="QH32" s="232"/>
      <c r="QI32" s="232"/>
      <c r="QJ32" s="232"/>
      <c r="QK32" s="232"/>
      <c r="QL32" s="232"/>
      <c r="QM32" s="232"/>
      <c r="QN32" s="232"/>
      <c r="QO32" s="232"/>
      <c r="QP32" s="232"/>
      <c r="QQ32" s="232"/>
      <c r="QR32" s="232"/>
      <c r="QS32" s="232"/>
      <c r="QT32" s="232"/>
      <c r="QU32" s="232"/>
      <c r="QV32" s="232"/>
      <c r="QW32" s="232"/>
      <c r="QX32" s="232"/>
      <c r="QY32" s="232"/>
      <c r="QZ32" s="232"/>
      <c r="RA32" s="232"/>
      <c r="RB32" s="232"/>
      <c r="RC32" s="232"/>
      <c r="RD32" s="232"/>
      <c r="RE32" s="232"/>
      <c r="RF32" s="232"/>
      <c r="RG32" s="232"/>
      <c r="RH32" s="232"/>
      <c r="RI32" s="232"/>
      <c r="RJ32" s="232"/>
      <c r="RK32" s="232"/>
      <c r="RL32" s="232"/>
      <c r="RM32" s="232"/>
      <c r="RN32" s="232"/>
      <c r="RO32" s="232"/>
      <c r="RP32" s="232"/>
      <c r="RQ32" s="232"/>
      <c r="RR32" s="232"/>
      <c r="RS32" s="232"/>
      <c r="RT32" s="232"/>
      <c r="RU32" s="232"/>
      <c r="RV32" s="232"/>
      <c r="RW32" s="232"/>
      <c r="RX32" s="232"/>
      <c r="RY32" s="232"/>
      <c r="RZ32" s="232"/>
      <c r="SA32" s="232"/>
      <c r="SB32" s="232"/>
      <c r="SC32" s="232"/>
      <c r="SD32" s="232"/>
      <c r="SE32" s="232"/>
      <c r="SF32" s="232"/>
      <c r="SG32" s="232"/>
      <c r="SH32" s="232"/>
      <c r="SI32" s="232"/>
      <c r="SJ32" s="232"/>
      <c r="SK32" s="232"/>
      <c r="SL32" s="232"/>
      <c r="SM32" s="232"/>
      <c r="SN32" s="232"/>
      <c r="SO32" s="232"/>
      <c r="SP32" s="232"/>
      <c r="SQ32" s="232"/>
      <c r="SR32" s="232"/>
      <c r="SS32" s="232"/>
      <c r="ST32" s="232"/>
      <c r="SU32" s="232"/>
      <c r="SV32" s="232"/>
      <c r="SW32" s="232"/>
      <c r="SX32" s="232"/>
      <c r="SY32" s="232"/>
      <c r="SZ32" s="232"/>
      <c r="TA32" s="232"/>
      <c r="TB32" s="232"/>
      <c r="TC32" s="232"/>
      <c r="TD32" s="232"/>
      <c r="TE32" s="232"/>
      <c r="TF32" s="232"/>
      <c r="TG32" s="232"/>
      <c r="TH32" s="232"/>
      <c r="TI32" s="232"/>
      <c r="TJ32" s="232"/>
      <c r="TK32" s="232"/>
      <c r="TL32" s="232"/>
      <c r="TM32" s="232"/>
      <c r="TN32" s="232"/>
      <c r="TO32" s="232"/>
      <c r="TP32" s="232"/>
      <c r="TQ32" s="232"/>
      <c r="TR32" s="232"/>
      <c r="TS32" s="232"/>
      <c r="TT32" s="232"/>
      <c r="TU32" s="232"/>
      <c r="TV32" s="232"/>
      <c r="TW32" s="232"/>
      <c r="TX32" s="232"/>
      <c r="TY32" s="232"/>
      <c r="TZ32" s="232"/>
      <c r="UA32" s="232"/>
      <c r="UB32" s="232"/>
      <c r="UC32" s="232"/>
      <c r="UD32" s="232"/>
      <c r="UE32" s="232"/>
      <c r="UF32" s="232"/>
      <c r="UG32" s="232"/>
      <c r="UH32" s="232"/>
      <c r="UI32" s="232"/>
      <c r="UJ32" s="232"/>
      <c r="UK32" s="232"/>
      <c r="UL32" s="232"/>
      <c r="UM32" s="232"/>
      <c r="UN32" s="232"/>
      <c r="UO32" s="232"/>
      <c r="UP32" s="232"/>
      <c r="UQ32" s="232"/>
      <c r="UR32" s="232"/>
      <c r="US32" s="232"/>
      <c r="UT32" s="232"/>
      <c r="UU32" s="232"/>
      <c r="UV32" s="232"/>
      <c r="UW32" s="232"/>
      <c r="UX32" s="232"/>
      <c r="UY32" s="232"/>
      <c r="UZ32" s="232"/>
      <c r="VA32" s="232"/>
      <c r="VB32" s="232"/>
      <c r="VC32" s="232"/>
      <c r="VD32" s="232"/>
      <c r="VE32" s="232"/>
      <c r="VF32" s="232"/>
      <c r="VG32" s="232"/>
      <c r="VH32" s="232"/>
      <c r="VI32" s="232"/>
      <c r="VJ32" s="232"/>
      <c r="VK32" s="232"/>
      <c r="VL32" s="232"/>
      <c r="VM32" s="232"/>
      <c r="VN32" s="232"/>
      <c r="VO32" s="232"/>
      <c r="VP32" s="232"/>
      <c r="VQ32" s="232"/>
      <c r="VR32" s="232"/>
      <c r="VS32" s="232"/>
      <c r="VT32" s="232"/>
      <c r="VU32" s="232"/>
      <c r="VV32" s="232"/>
      <c r="VW32" s="232"/>
      <c r="VX32" s="232"/>
      <c r="VY32" s="232"/>
      <c r="VZ32" s="232"/>
      <c r="WA32" s="232"/>
      <c r="WB32" s="232"/>
      <c r="WC32" s="232"/>
      <c r="WD32" s="232"/>
      <c r="WE32" s="232"/>
      <c r="WF32" s="232"/>
      <c r="WG32" s="232"/>
      <c r="WH32" s="232"/>
      <c r="WI32" s="232"/>
      <c r="WJ32" s="232"/>
      <c r="WK32" s="232"/>
      <c r="WL32" s="232"/>
      <c r="WM32" s="232"/>
      <c r="WN32" s="232"/>
      <c r="WO32" s="232"/>
      <c r="WP32" s="232"/>
      <c r="WQ32" s="232"/>
      <c r="WR32" s="232"/>
      <c r="WS32" s="232"/>
      <c r="WT32" s="232"/>
      <c r="WU32" s="232"/>
      <c r="WV32" s="232"/>
      <c r="WW32" s="232"/>
      <c r="WX32" s="232"/>
      <c r="WY32" s="232"/>
      <c r="WZ32" s="232"/>
      <c r="XA32" s="232"/>
      <c r="XB32" s="232"/>
      <c r="XC32" s="232"/>
      <c r="XD32" s="232"/>
      <c r="XE32" s="232"/>
      <c r="XF32" s="232"/>
      <c r="XG32" s="232"/>
      <c r="XH32" s="232"/>
      <c r="XI32" s="232"/>
      <c r="XJ32" s="232"/>
      <c r="XK32" s="232"/>
      <c r="XL32" s="232"/>
      <c r="XM32" s="232"/>
      <c r="XN32" s="232"/>
      <c r="XO32" s="232"/>
      <c r="XP32" s="232"/>
      <c r="XQ32" s="232"/>
      <c r="XR32" s="232"/>
      <c r="XS32" s="232"/>
      <c r="XT32" s="232"/>
      <c r="XU32" s="232"/>
      <c r="XV32" s="232"/>
      <c r="XW32" s="232"/>
      <c r="XX32" s="232"/>
      <c r="XY32" s="232"/>
      <c r="XZ32" s="232"/>
      <c r="YA32" s="232"/>
      <c r="YB32" s="232"/>
      <c r="YC32" s="232"/>
      <c r="YD32" s="232"/>
      <c r="YE32" s="232"/>
      <c r="YF32" s="232"/>
      <c r="YG32" s="232"/>
      <c r="YH32" s="232"/>
      <c r="YI32" s="232"/>
      <c r="YJ32" s="232"/>
      <c r="YK32" s="232"/>
      <c r="YL32" s="232"/>
      <c r="YM32" s="232"/>
      <c r="YN32" s="232"/>
      <c r="YO32" s="232"/>
      <c r="YP32" s="232"/>
      <c r="YQ32" s="232"/>
      <c r="YR32" s="232"/>
      <c r="YS32" s="232"/>
      <c r="YT32" s="232"/>
      <c r="YU32" s="232"/>
      <c r="YV32" s="232"/>
      <c r="YW32" s="232"/>
      <c r="YX32" s="232"/>
      <c r="YY32" s="232"/>
      <c r="YZ32" s="232"/>
      <c r="ZA32" s="232"/>
      <c r="ZB32" s="232"/>
      <c r="ZC32" s="232"/>
      <c r="ZD32" s="232"/>
      <c r="ZE32" s="232"/>
      <c r="ZF32" s="232"/>
      <c r="ZG32" s="232"/>
      <c r="ZH32" s="232"/>
      <c r="ZI32" s="232"/>
      <c r="ZJ32" s="232"/>
      <c r="ZK32" s="232"/>
      <c r="ZL32" s="232"/>
      <c r="ZM32" s="232"/>
      <c r="ZN32" s="232"/>
      <c r="ZO32" s="232"/>
      <c r="ZP32" s="232"/>
      <c r="ZQ32" s="232"/>
      <c r="ZR32" s="232"/>
      <c r="ZS32" s="232"/>
      <c r="ZT32" s="232"/>
      <c r="ZU32" s="232"/>
      <c r="ZV32" s="232"/>
      <c r="ZW32" s="232"/>
      <c r="ZX32" s="232"/>
      <c r="ZY32" s="232"/>
      <c r="ZZ32" s="232"/>
      <c r="AAA32" s="232"/>
      <c r="AAB32" s="232"/>
      <c r="AAC32" s="232"/>
      <c r="AAD32" s="232"/>
      <c r="AAE32" s="232"/>
      <c r="AAF32" s="232"/>
      <c r="AAG32" s="232"/>
      <c r="AAH32" s="232"/>
      <c r="AAI32" s="232"/>
      <c r="AAJ32" s="232"/>
      <c r="AAK32" s="232"/>
      <c r="AAL32" s="232"/>
      <c r="AAM32" s="232"/>
      <c r="AAN32" s="232"/>
      <c r="AAO32" s="232"/>
      <c r="AAP32" s="232"/>
      <c r="AAQ32" s="232"/>
      <c r="AAR32" s="232"/>
      <c r="AAS32" s="232"/>
      <c r="AAT32" s="232"/>
      <c r="AAU32" s="232"/>
      <c r="AAV32" s="232"/>
      <c r="AAW32" s="232"/>
      <c r="AAX32" s="232"/>
      <c r="AAY32" s="232"/>
      <c r="AAZ32" s="232"/>
      <c r="ABA32" s="232"/>
      <c r="ABB32" s="232"/>
      <c r="ABC32" s="232"/>
      <c r="ABD32" s="232"/>
      <c r="ABE32" s="232"/>
      <c r="ABF32" s="232"/>
      <c r="ABG32" s="232"/>
      <c r="ABH32" s="232"/>
      <c r="ABI32" s="232"/>
      <c r="ABJ32" s="232"/>
      <c r="ABK32" s="232"/>
      <c r="ABL32" s="232"/>
      <c r="ABM32" s="232"/>
      <c r="ABN32" s="232"/>
      <c r="ABO32" s="232"/>
      <c r="ABP32" s="232"/>
      <c r="ABQ32" s="232"/>
      <c r="ABR32" s="232"/>
      <c r="ABS32" s="232"/>
      <c r="ABT32" s="232"/>
      <c r="ABU32" s="232"/>
      <c r="ABV32" s="232"/>
      <c r="ABW32" s="232"/>
      <c r="ABX32" s="232"/>
      <c r="ABY32" s="232"/>
      <c r="ABZ32" s="232"/>
      <c r="ACA32" s="232"/>
      <c r="ACB32" s="232"/>
      <c r="ACC32" s="232"/>
      <c r="ACD32" s="232"/>
      <c r="ACE32" s="232"/>
      <c r="ACF32" s="232"/>
      <c r="ACG32" s="232"/>
      <c r="ACH32" s="232"/>
      <c r="ACI32" s="232"/>
      <c r="ACJ32" s="232"/>
      <c r="ACK32" s="232"/>
      <c r="ACL32" s="232"/>
      <c r="ACM32" s="232"/>
      <c r="ACN32" s="232"/>
      <c r="ACO32" s="232"/>
      <c r="ACP32" s="232"/>
      <c r="ACQ32" s="232"/>
      <c r="ACR32" s="232"/>
      <c r="ACS32" s="232"/>
      <c r="ACT32" s="232"/>
      <c r="ACU32" s="232"/>
      <c r="ACV32" s="232"/>
      <c r="ACW32" s="232"/>
      <c r="ACX32" s="232"/>
      <c r="ACY32" s="232"/>
      <c r="ACZ32" s="232"/>
      <c r="ADA32" s="232"/>
      <c r="ADB32" s="232"/>
      <c r="ADC32" s="232"/>
      <c r="ADD32" s="232"/>
      <c r="ADE32" s="232"/>
      <c r="ADF32" s="232"/>
      <c r="ADG32" s="232"/>
      <c r="ADH32" s="232"/>
      <c r="ADI32" s="232"/>
      <c r="ADJ32" s="232"/>
      <c r="ADK32" s="232"/>
      <c r="ADL32" s="232"/>
      <c r="ADM32" s="232"/>
      <c r="ADN32" s="232"/>
      <c r="ADO32" s="232"/>
      <c r="ADP32" s="232"/>
      <c r="ADQ32" s="232"/>
      <c r="ADR32" s="232"/>
      <c r="ADS32" s="232"/>
      <c r="ADT32" s="232"/>
      <c r="ADU32" s="232"/>
      <c r="ADV32" s="232"/>
      <c r="ADW32" s="232"/>
      <c r="ADX32" s="232"/>
      <c r="ADY32" s="232"/>
      <c r="ADZ32" s="232"/>
      <c r="AEA32" s="232"/>
      <c r="AEB32" s="232"/>
      <c r="AEC32" s="232"/>
      <c r="AED32" s="232"/>
      <c r="AEE32" s="232"/>
      <c r="AEF32" s="232"/>
      <c r="AEG32" s="232"/>
      <c r="AEH32" s="232"/>
      <c r="AEI32" s="232"/>
      <c r="AEJ32" s="232"/>
      <c r="AEK32" s="232"/>
      <c r="AEL32" s="232"/>
      <c r="AEM32" s="232"/>
      <c r="AEN32" s="232"/>
      <c r="AEO32" s="232"/>
      <c r="AEP32" s="232"/>
      <c r="AEQ32" s="232"/>
      <c r="AER32" s="232"/>
      <c r="AES32" s="232"/>
      <c r="AET32" s="232"/>
      <c r="AEU32" s="232"/>
      <c r="AEV32" s="232"/>
      <c r="AEW32" s="232"/>
      <c r="AEX32" s="232"/>
      <c r="AEY32" s="232"/>
      <c r="AEZ32" s="232"/>
      <c r="AFA32" s="232"/>
      <c r="AFB32" s="232"/>
      <c r="AFC32" s="232"/>
      <c r="AFD32" s="232"/>
      <c r="AFE32" s="232"/>
      <c r="AFF32" s="232"/>
      <c r="AFG32" s="232"/>
      <c r="AFH32" s="232"/>
      <c r="AFI32" s="232"/>
      <c r="AFJ32" s="232"/>
      <c r="AFK32" s="232"/>
      <c r="AFL32" s="232"/>
      <c r="AFM32" s="232"/>
      <c r="AFN32" s="232"/>
      <c r="AFO32" s="232"/>
      <c r="AFP32" s="232"/>
      <c r="AFQ32" s="232"/>
      <c r="AFR32" s="232"/>
      <c r="AFS32" s="232"/>
      <c r="AFT32" s="232"/>
      <c r="AFU32" s="232"/>
      <c r="AFV32" s="232"/>
      <c r="AFW32" s="232"/>
      <c r="AFX32" s="232"/>
      <c r="AFY32" s="232"/>
      <c r="AFZ32" s="232"/>
      <c r="AGA32" s="232"/>
      <c r="AGB32" s="232"/>
      <c r="AGC32" s="232"/>
      <c r="AGD32" s="232"/>
      <c r="AGE32" s="232"/>
      <c r="AGF32" s="232"/>
      <c r="AGG32" s="232"/>
      <c r="AGH32" s="232"/>
      <c r="AGI32" s="232"/>
      <c r="AGJ32" s="232"/>
      <c r="AGK32" s="232"/>
      <c r="AGL32" s="232"/>
      <c r="AGM32" s="232"/>
      <c r="AGN32" s="232"/>
      <c r="AGO32" s="232"/>
      <c r="AGP32" s="232"/>
      <c r="AGQ32" s="232"/>
      <c r="AGR32" s="232"/>
      <c r="AGS32" s="232"/>
      <c r="AGT32" s="232"/>
      <c r="AGU32" s="232"/>
      <c r="AGV32" s="232"/>
      <c r="AGW32" s="232"/>
      <c r="AGX32" s="232"/>
      <c r="AGY32" s="232"/>
      <c r="AGZ32" s="232"/>
      <c r="AHA32" s="232"/>
      <c r="AHB32" s="232"/>
      <c r="AHC32" s="232"/>
      <c r="AHD32" s="232"/>
      <c r="AHE32" s="232"/>
      <c r="AHF32" s="232"/>
      <c r="AHG32" s="232"/>
      <c r="AHH32" s="232"/>
      <c r="AHI32" s="232"/>
      <c r="AHJ32" s="232"/>
      <c r="AHK32" s="232"/>
      <c r="AHL32" s="232"/>
      <c r="AHM32" s="232"/>
      <c r="AHN32" s="232"/>
      <c r="AHO32" s="232"/>
      <c r="AHP32" s="232"/>
      <c r="AHQ32" s="232"/>
      <c r="AHR32" s="232"/>
      <c r="AHS32" s="232"/>
      <c r="AHT32" s="232"/>
      <c r="AHU32" s="232"/>
      <c r="AHV32" s="232"/>
      <c r="AHW32" s="232"/>
      <c r="AHX32" s="232"/>
      <c r="AHY32" s="232"/>
      <c r="AHZ32" s="232"/>
      <c r="AIA32" s="232"/>
      <c r="AIB32" s="232"/>
      <c r="AIC32" s="232"/>
      <c r="AID32" s="232"/>
      <c r="AIE32" s="232"/>
      <c r="AIF32" s="232"/>
      <c r="AIG32" s="232"/>
      <c r="AIH32" s="232"/>
      <c r="AII32" s="232"/>
      <c r="AIJ32" s="232"/>
      <c r="AIK32" s="232"/>
      <c r="AIL32" s="232"/>
      <c r="AIM32" s="232"/>
      <c r="AIN32" s="232"/>
      <c r="AIO32" s="232"/>
      <c r="AIP32" s="232"/>
      <c r="AIQ32" s="232"/>
      <c r="AIR32" s="232"/>
      <c r="AIS32" s="232"/>
      <c r="AIT32" s="232"/>
      <c r="AIU32" s="232"/>
      <c r="AIV32" s="232"/>
      <c r="AIW32" s="232"/>
      <c r="AIX32" s="232"/>
      <c r="AIY32" s="232"/>
      <c r="AIZ32" s="232"/>
      <c r="AJA32" s="232"/>
      <c r="AJB32" s="232"/>
      <c r="AJC32" s="232"/>
      <c r="AJD32" s="232"/>
      <c r="AJE32" s="232"/>
      <c r="AJF32" s="232"/>
      <c r="AJG32" s="232"/>
      <c r="AJH32" s="232"/>
      <c r="AJI32" s="232"/>
      <c r="AJJ32" s="232"/>
      <c r="AJK32" s="232"/>
      <c r="AJL32" s="232"/>
      <c r="AJM32" s="232"/>
      <c r="AJN32" s="232"/>
      <c r="AJO32" s="232"/>
      <c r="AJP32" s="232"/>
      <c r="AJQ32" s="232"/>
      <c r="AJR32" s="232"/>
      <c r="AJS32" s="232"/>
      <c r="AJT32" s="232"/>
      <c r="AJU32" s="232"/>
      <c r="AJV32" s="232"/>
      <c r="AJW32" s="232"/>
      <c r="AJX32" s="232"/>
      <c r="AJY32" s="232"/>
      <c r="AJZ32" s="232"/>
      <c r="AKA32" s="232"/>
      <c r="AKB32" s="232"/>
      <c r="AKC32" s="232"/>
      <c r="AKD32" s="232"/>
      <c r="AKE32" s="232"/>
      <c r="AKF32" s="232"/>
      <c r="AKG32" s="232"/>
      <c r="AKH32" s="232"/>
      <c r="AKI32" s="232"/>
      <c r="AKJ32" s="232"/>
      <c r="AKK32" s="232"/>
      <c r="AKL32" s="232"/>
      <c r="AKM32" s="232"/>
      <c r="AKN32" s="232"/>
      <c r="AKO32" s="232"/>
      <c r="AKP32" s="232"/>
      <c r="AKQ32" s="232"/>
      <c r="AKR32" s="232"/>
      <c r="AKS32" s="232"/>
      <c r="AKT32" s="232"/>
      <c r="AKU32" s="232"/>
      <c r="AKV32" s="232"/>
      <c r="AKW32" s="232"/>
      <c r="AKX32" s="232"/>
      <c r="AKY32" s="232"/>
      <c r="AKZ32" s="232"/>
      <c r="ALA32" s="232"/>
      <c r="ALB32" s="232"/>
      <c r="ALC32" s="232"/>
      <c r="ALD32" s="232"/>
      <c r="ALE32" s="232"/>
      <c r="ALF32" s="232"/>
      <c r="ALG32" s="232"/>
      <c r="ALH32" s="232"/>
      <c r="ALI32" s="232"/>
      <c r="ALJ32" s="232"/>
      <c r="ALK32" s="232"/>
      <c r="ALL32" s="232"/>
      <c r="ALM32" s="232"/>
      <c r="ALN32" s="232"/>
      <c r="ALO32" s="232"/>
      <c r="ALP32" s="232"/>
      <c r="ALQ32" s="232"/>
      <c r="ALR32" s="232"/>
      <c r="ALS32" s="232"/>
      <c r="ALT32" s="232"/>
      <c r="ALU32" s="232"/>
      <c r="ALV32" s="232"/>
      <c r="ALW32" s="232"/>
      <c r="ALX32" s="232"/>
      <c r="ALY32" s="232"/>
      <c r="ALZ32" s="232"/>
      <c r="AMA32" s="232"/>
      <c r="AMB32" s="232"/>
      <c r="AMC32" s="232"/>
      <c r="AMD32" s="232"/>
      <c r="AME32" s="232"/>
      <c r="AMF32" s="232"/>
      <c r="AMG32" s="232"/>
      <c r="AMH32" s="232"/>
      <c r="AMI32" s="232"/>
      <c r="AMJ32" s="232"/>
      <c r="AMK32" s="232"/>
      <c r="AML32" s="232"/>
      <c r="AMM32" s="232"/>
      <c r="AMN32" s="232"/>
      <c r="AMO32" s="232"/>
      <c r="AMP32" s="232"/>
      <c r="AMQ32" s="232"/>
      <c r="AMR32" s="232"/>
      <c r="AMS32" s="232"/>
      <c r="AMT32" s="232"/>
      <c r="AMU32" s="232"/>
      <c r="AMV32" s="232"/>
      <c r="AMW32" s="232"/>
      <c r="AMX32" s="232"/>
      <c r="AMY32" s="232"/>
      <c r="AMZ32" s="232"/>
      <c r="ANA32" s="232"/>
      <c r="ANB32" s="232"/>
      <c r="ANC32" s="232"/>
      <c r="AND32" s="232"/>
      <c r="ANE32" s="232"/>
      <c r="ANF32" s="232"/>
      <c r="ANG32" s="232"/>
      <c r="ANH32" s="232"/>
      <c r="ANI32" s="232"/>
      <c r="ANJ32" s="232"/>
      <c r="ANK32" s="232"/>
      <c r="ANL32" s="232"/>
      <c r="ANM32" s="232"/>
      <c r="ANN32" s="232"/>
      <c r="ANO32" s="232"/>
      <c r="ANP32" s="232"/>
      <c r="ANQ32" s="232"/>
      <c r="ANR32" s="232"/>
      <c r="ANS32" s="232"/>
      <c r="ANT32" s="232"/>
      <c r="ANU32" s="232"/>
      <c r="ANV32" s="232"/>
      <c r="ANW32" s="232"/>
      <c r="ANX32" s="232"/>
      <c r="ANY32" s="232"/>
      <c r="ANZ32" s="232"/>
      <c r="AOA32" s="232"/>
      <c r="AOB32" s="232"/>
      <c r="AOC32" s="232"/>
      <c r="AOD32" s="232"/>
      <c r="AOE32" s="232"/>
      <c r="AOF32" s="232"/>
      <c r="AOG32" s="232"/>
      <c r="AOH32" s="232"/>
      <c r="AOI32" s="232"/>
      <c r="AOJ32" s="232"/>
      <c r="AOK32" s="232"/>
      <c r="AOL32" s="232"/>
      <c r="AOM32" s="232"/>
      <c r="AON32" s="232"/>
      <c r="AOO32" s="232"/>
      <c r="AOP32" s="232"/>
      <c r="AOQ32" s="232"/>
      <c r="AOR32" s="232"/>
      <c r="AOS32" s="232"/>
      <c r="AOT32" s="232"/>
      <c r="AOU32" s="232"/>
      <c r="AOV32" s="232"/>
      <c r="AOW32" s="232"/>
      <c r="AOX32" s="232"/>
      <c r="AOY32" s="232"/>
      <c r="AOZ32" s="232"/>
      <c r="APA32" s="232"/>
      <c r="APB32" s="232"/>
      <c r="APC32" s="232"/>
      <c r="APD32" s="232"/>
      <c r="APE32" s="232"/>
      <c r="APF32" s="232"/>
      <c r="APG32" s="232"/>
      <c r="APH32" s="232"/>
      <c r="API32" s="232"/>
      <c r="APJ32" s="232"/>
      <c r="APK32" s="232"/>
      <c r="APL32" s="232"/>
      <c r="APM32" s="232"/>
      <c r="APN32" s="232"/>
      <c r="APO32" s="232"/>
      <c r="APP32" s="232"/>
      <c r="APQ32" s="232"/>
      <c r="APR32" s="232"/>
      <c r="APS32" s="232"/>
      <c r="APT32" s="232"/>
      <c r="APU32" s="232"/>
    </row>
    <row r="33" spans="1:1113" s="282" customFormat="1" ht="44.25" hidden="1" customHeight="1" x14ac:dyDescent="0.2">
      <c r="A33" s="357"/>
      <c r="B33" s="353"/>
      <c r="C33" s="353"/>
      <c r="D33" s="278" t="s">
        <v>440</v>
      </c>
      <c r="E33" s="278" t="s">
        <v>3</v>
      </c>
      <c r="F33" s="278" t="s">
        <v>4</v>
      </c>
      <c r="G33" s="279" t="s">
        <v>5</v>
      </c>
      <c r="H33" s="278" t="s">
        <v>441</v>
      </c>
      <c r="I33" s="353" t="s">
        <v>442</v>
      </c>
      <c r="J33" s="353"/>
      <c r="K33" s="353"/>
      <c r="L33" s="353"/>
      <c r="M33" s="353"/>
      <c r="N33" s="278"/>
      <c r="O33" s="278" t="s">
        <v>440</v>
      </c>
      <c r="P33" s="278" t="s">
        <v>3</v>
      </c>
      <c r="Q33" s="278" t="s">
        <v>4</v>
      </c>
      <c r="R33" s="279" t="s">
        <v>5</v>
      </c>
      <c r="S33" s="280" t="s">
        <v>70</v>
      </c>
      <c r="T33" s="353" t="s">
        <v>90</v>
      </c>
      <c r="U33" s="353"/>
      <c r="V33" s="353"/>
      <c r="W33" s="353"/>
      <c r="X33" s="353"/>
      <c r="Y33" s="278"/>
      <c r="Z33" s="278" t="s">
        <v>440</v>
      </c>
      <c r="AA33" s="278" t="s">
        <v>3</v>
      </c>
      <c r="AB33" s="278" t="s">
        <v>4</v>
      </c>
      <c r="AC33" s="279" t="s">
        <v>5</v>
      </c>
      <c r="AD33" s="278" t="s">
        <v>70</v>
      </c>
      <c r="AE33" s="353" t="s">
        <v>90</v>
      </c>
      <c r="AF33" s="353"/>
      <c r="AG33" s="353"/>
      <c r="AH33" s="353"/>
      <c r="AI33" s="353"/>
      <c r="AJ33" s="278"/>
      <c r="AK33" s="232"/>
      <c r="AL33" s="256"/>
      <c r="AM33" s="266"/>
      <c r="AN33" s="215"/>
      <c r="AO33" s="215"/>
      <c r="AP33" s="215"/>
      <c r="AQ33" s="215"/>
      <c r="AR33" s="215"/>
      <c r="AS33" s="215"/>
      <c r="AT33" s="215"/>
      <c r="AU33" s="215"/>
      <c r="AV33" s="215"/>
      <c r="AW33" s="215"/>
      <c r="AX33" s="215"/>
      <c r="AY33" s="215"/>
      <c r="AZ33" s="281"/>
      <c r="BA33" s="215"/>
      <c r="BB33" s="215"/>
      <c r="BC33" s="215"/>
      <c r="BD33" s="215"/>
      <c r="BE33" s="215"/>
      <c r="BF33" s="215"/>
      <c r="BG33" s="215"/>
      <c r="BH33" s="215"/>
      <c r="BI33" s="215"/>
      <c r="BJ33" s="215"/>
      <c r="BK33" s="215"/>
      <c r="BL33" s="215"/>
      <c r="BM33" s="215"/>
      <c r="BN33" s="215"/>
      <c r="BO33" s="215"/>
      <c r="BP33" s="215"/>
      <c r="BQ33" s="215"/>
      <c r="BR33" s="215"/>
      <c r="BS33" s="215"/>
      <c r="BT33" s="215"/>
      <c r="BU33" s="215"/>
      <c r="BV33" s="215"/>
      <c r="BW33" s="215"/>
      <c r="BX33" s="215"/>
      <c r="BY33" s="215"/>
      <c r="BZ33" s="215"/>
      <c r="CA33" s="215"/>
      <c r="CB33" s="215"/>
      <c r="CC33" s="215"/>
      <c r="CD33" s="215"/>
      <c r="CE33" s="215"/>
      <c r="CF33" s="215"/>
      <c r="CG33" s="215"/>
      <c r="CH33" s="215"/>
      <c r="CI33" s="215"/>
      <c r="CJ33" s="215"/>
      <c r="CK33" s="215"/>
      <c r="CL33" s="215"/>
      <c r="CM33" s="215"/>
      <c r="CN33" s="215"/>
      <c r="CO33" s="215"/>
      <c r="CP33" s="215"/>
      <c r="CQ33" s="215"/>
      <c r="CR33" s="215"/>
      <c r="CS33" s="215"/>
      <c r="CT33" s="215"/>
      <c r="CU33" s="215"/>
      <c r="CV33" s="215"/>
      <c r="CW33" s="215"/>
      <c r="CX33" s="215"/>
      <c r="CY33" s="215"/>
      <c r="CZ33" s="215"/>
      <c r="DA33" s="215"/>
      <c r="DB33" s="215"/>
      <c r="DC33" s="215"/>
      <c r="DD33" s="215"/>
      <c r="DE33" s="215"/>
      <c r="DF33" s="215"/>
      <c r="DG33" s="215"/>
      <c r="DH33" s="215"/>
      <c r="DI33" s="215"/>
      <c r="DJ33" s="215"/>
      <c r="DK33" s="215"/>
      <c r="DL33" s="215"/>
      <c r="DM33" s="215"/>
      <c r="DN33" s="215"/>
      <c r="DO33" s="215"/>
      <c r="DP33" s="215"/>
      <c r="DQ33" s="215"/>
      <c r="DR33" s="215"/>
      <c r="DS33" s="215"/>
      <c r="DT33" s="215"/>
      <c r="DU33" s="215"/>
      <c r="DV33" s="215"/>
      <c r="DW33" s="215"/>
      <c r="DX33" s="215"/>
      <c r="DY33" s="215"/>
      <c r="DZ33" s="215"/>
      <c r="EA33" s="215"/>
      <c r="EB33" s="215"/>
      <c r="EC33" s="215"/>
      <c r="ED33" s="215"/>
      <c r="EE33" s="215"/>
      <c r="EF33" s="215"/>
      <c r="EG33" s="215"/>
      <c r="EH33" s="215"/>
      <c r="EI33" s="215"/>
      <c r="EJ33" s="215"/>
      <c r="EK33" s="215"/>
      <c r="EL33" s="215"/>
      <c r="EM33" s="215"/>
      <c r="EN33" s="215"/>
      <c r="EO33" s="215"/>
      <c r="EP33" s="215"/>
      <c r="EQ33" s="215"/>
      <c r="ER33" s="215"/>
      <c r="ES33" s="215"/>
      <c r="ET33" s="215"/>
      <c r="EU33" s="215"/>
      <c r="EV33" s="215"/>
      <c r="EW33" s="215"/>
      <c r="EX33" s="215"/>
      <c r="EY33" s="215"/>
      <c r="EZ33" s="215"/>
      <c r="FA33" s="215"/>
      <c r="FB33" s="215"/>
      <c r="FC33" s="215"/>
      <c r="FD33" s="215"/>
      <c r="FE33" s="215"/>
      <c r="FF33" s="215"/>
      <c r="FG33" s="215"/>
      <c r="FH33" s="215"/>
      <c r="FI33" s="215"/>
      <c r="FJ33" s="215"/>
      <c r="FK33" s="215"/>
      <c r="FL33" s="215"/>
      <c r="FM33" s="215"/>
      <c r="FN33" s="215"/>
      <c r="FO33" s="215"/>
      <c r="FP33" s="215"/>
      <c r="FQ33" s="215"/>
      <c r="FR33" s="215"/>
      <c r="FS33" s="215"/>
      <c r="FT33" s="215"/>
      <c r="FU33" s="215"/>
      <c r="FV33" s="215"/>
      <c r="FW33" s="215"/>
      <c r="FX33" s="215"/>
      <c r="FY33" s="215"/>
      <c r="FZ33" s="215"/>
      <c r="GA33" s="215"/>
      <c r="GB33" s="215"/>
      <c r="GC33" s="215"/>
      <c r="GD33" s="215"/>
      <c r="GE33" s="215"/>
      <c r="GF33" s="215"/>
      <c r="GG33" s="215"/>
      <c r="GH33" s="215"/>
      <c r="GI33" s="215"/>
      <c r="GJ33" s="215"/>
      <c r="GK33" s="215"/>
      <c r="GL33" s="215"/>
      <c r="GM33" s="215"/>
      <c r="GN33" s="215"/>
      <c r="GO33" s="215"/>
      <c r="GP33" s="215"/>
      <c r="GQ33" s="215"/>
      <c r="GR33" s="215"/>
      <c r="GS33" s="215"/>
      <c r="GT33" s="215"/>
      <c r="GU33" s="215"/>
      <c r="GV33" s="215"/>
      <c r="GW33" s="215"/>
      <c r="GX33" s="215"/>
      <c r="GY33" s="215"/>
      <c r="GZ33" s="215"/>
      <c r="HA33" s="215"/>
      <c r="HB33" s="215"/>
      <c r="HC33" s="215"/>
      <c r="HD33" s="215"/>
      <c r="HE33" s="215"/>
      <c r="HF33" s="215"/>
      <c r="HG33" s="215"/>
      <c r="HH33" s="215"/>
      <c r="HI33" s="215"/>
      <c r="HJ33" s="215"/>
      <c r="HK33" s="215"/>
      <c r="HL33" s="215"/>
      <c r="HM33" s="215"/>
      <c r="HN33" s="215"/>
      <c r="HO33" s="215"/>
      <c r="HP33" s="215"/>
      <c r="HQ33" s="215"/>
      <c r="HR33" s="215"/>
      <c r="HS33" s="215"/>
      <c r="HT33" s="215"/>
      <c r="HU33" s="215"/>
      <c r="HV33" s="215"/>
      <c r="HW33" s="215"/>
      <c r="HX33" s="215"/>
      <c r="HY33" s="215"/>
      <c r="HZ33" s="215"/>
      <c r="IA33" s="215"/>
      <c r="IB33" s="215"/>
      <c r="IC33" s="215"/>
      <c r="ID33" s="215"/>
      <c r="IE33" s="215"/>
      <c r="IF33" s="215"/>
      <c r="IG33" s="215"/>
      <c r="IH33" s="215"/>
      <c r="II33" s="215"/>
      <c r="IJ33" s="215"/>
      <c r="IK33" s="215"/>
      <c r="IL33" s="215"/>
      <c r="IM33" s="215"/>
      <c r="IN33" s="215"/>
      <c r="IO33" s="215"/>
      <c r="IP33" s="215"/>
      <c r="IQ33" s="215"/>
      <c r="IR33" s="215"/>
      <c r="IS33" s="215"/>
      <c r="IT33" s="215"/>
      <c r="IU33" s="215"/>
      <c r="IV33" s="215"/>
      <c r="IW33" s="215"/>
      <c r="IX33" s="215"/>
      <c r="IY33" s="215"/>
      <c r="IZ33" s="215"/>
      <c r="JA33" s="215"/>
      <c r="JB33" s="215"/>
      <c r="JC33" s="215"/>
      <c r="JD33" s="215"/>
      <c r="JE33" s="215"/>
      <c r="JF33" s="215"/>
      <c r="JG33" s="215"/>
      <c r="JH33" s="215"/>
      <c r="JI33" s="215"/>
      <c r="JJ33" s="215"/>
      <c r="JK33" s="215"/>
      <c r="JL33" s="215"/>
      <c r="JM33" s="215"/>
      <c r="JN33" s="215"/>
      <c r="JO33" s="215"/>
      <c r="JP33" s="215"/>
      <c r="JQ33" s="215"/>
      <c r="JR33" s="215"/>
      <c r="JS33" s="215"/>
      <c r="JT33" s="215"/>
      <c r="JU33" s="215"/>
      <c r="JV33" s="215"/>
      <c r="JW33" s="215"/>
      <c r="JX33" s="215"/>
      <c r="JY33" s="215"/>
      <c r="JZ33" s="215"/>
      <c r="KA33" s="215"/>
      <c r="KB33" s="215"/>
      <c r="KC33" s="215"/>
      <c r="KD33" s="215"/>
      <c r="KE33" s="215"/>
      <c r="KF33" s="215"/>
      <c r="KG33" s="215"/>
      <c r="KH33" s="215"/>
      <c r="KI33" s="215"/>
      <c r="KJ33" s="215"/>
      <c r="KK33" s="215"/>
      <c r="KL33" s="215"/>
      <c r="KM33" s="215"/>
      <c r="KN33" s="215"/>
      <c r="KO33" s="215"/>
      <c r="KP33" s="215"/>
      <c r="KQ33" s="215"/>
      <c r="KR33" s="215"/>
      <c r="KS33" s="215"/>
      <c r="KT33" s="215"/>
      <c r="KU33" s="215"/>
      <c r="KV33" s="215"/>
      <c r="KW33" s="215"/>
      <c r="KX33" s="215"/>
      <c r="KY33" s="215"/>
      <c r="KZ33" s="215"/>
      <c r="LA33" s="215"/>
      <c r="LB33" s="215"/>
      <c r="LC33" s="215"/>
      <c r="LD33" s="215"/>
      <c r="LE33" s="215"/>
      <c r="LF33" s="215"/>
      <c r="LG33" s="215"/>
      <c r="LH33" s="215"/>
      <c r="LI33" s="215"/>
      <c r="LJ33" s="215"/>
      <c r="LK33" s="215"/>
      <c r="LL33" s="232"/>
      <c r="LM33" s="232"/>
      <c r="LN33" s="232"/>
      <c r="LO33" s="232"/>
      <c r="LP33" s="232"/>
      <c r="LQ33" s="232"/>
      <c r="LR33" s="232"/>
      <c r="LS33" s="232"/>
      <c r="LT33" s="232"/>
      <c r="LU33" s="232"/>
      <c r="LV33" s="232"/>
      <c r="LW33" s="232"/>
      <c r="LX33" s="232"/>
      <c r="LY33" s="232"/>
      <c r="LZ33" s="232"/>
      <c r="MA33" s="232"/>
      <c r="MB33" s="232"/>
      <c r="MC33" s="232"/>
      <c r="MD33" s="232"/>
      <c r="ME33" s="232"/>
      <c r="MF33" s="232"/>
      <c r="MG33" s="232"/>
      <c r="MH33" s="232"/>
      <c r="MI33" s="232"/>
      <c r="MJ33" s="232"/>
      <c r="MK33" s="232"/>
      <c r="ML33" s="232"/>
      <c r="MM33" s="232"/>
      <c r="MN33" s="232"/>
      <c r="MO33" s="232"/>
      <c r="MP33" s="232"/>
      <c r="MQ33" s="232"/>
      <c r="MR33" s="232"/>
      <c r="MS33" s="232"/>
      <c r="MT33" s="232"/>
      <c r="MU33" s="232"/>
      <c r="MV33" s="232"/>
      <c r="MW33" s="232"/>
      <c r="MX33" s="232"/>
      <c r="MY33" s="232"/>
      <c r="MZ33" s="232"/>
      <c r="NA33" s="232"/>
      <c r="NB33" s="232"/>
      <c r="NC33" s="232"/>
      <c r="ND33" s="232"/>
      <c r="NE33" s="232"/>
      <c r="NF33" s="232"/>
      <c r="NG33" s="232"/>
      <c r="NH33" s="232"/>
      <c r="NI33" s="232"/>
      <c r="NJ33" s="232"/>
      <c r="NK33" s="232"/>
      <c r="NL33" s="232"/>
      <c r="NM33" s="232"/>
      <c r="NN33" s="232"/>
      <c r="NO33" s="232"/>
      <c r="NP33" s="232"/>
      <c r="NQ33" s="232"/>
      <c r="NR33" s="232"/>
      <c r="NS33" s="232"/>
      <c r="NT33" s="232"/>
      <c r="NU33" s="232"/>
      <c r="NV33" s="232"/>
      <c r="NW33" s="232"/>
      <c r="NX33" s="232"/>
      <c r="NY33" s="232"/>
      <c r="NZ33" s="232"/>
      <c r="OA33" s="232"/>
      <c r="OB33" s="232"/>
      <c r="OC33" s="232"/>
      <c r="OD33" s="232"/>
      <c r="OE33" s="232"/>
      <c r="OF33" s="232"/>
      <c r="OG33" s="232"/>
      <c r="OH33" s="232"/>
      <c r="OI33" s="232"/>
      <c r="OJ33" s="232"/>
      <c r="OK33" s="232"/>
      <c r="OL33" s="232"/>
      <c r="OM33" s="232"/>
      <c r="ON33" s="232"/>
      <c r="OO33" s="232"/>
      <c r="OP33" s="232"/>
      <c r="OQ33" s="232"/>
      <c r="OR33" s="232"/>
      <c r="OS33" s="232"/>
      <c r="OT33" s="232"/>
      <c r="OU33" s="232"/>
      <c r="OV33" s="232"/>
      <c r="OW33" s="232"/>
      <c r="OX33" s="232"/>
      <c r="OY33" s="232"/>
      <c r="OZ33" s="232"/>
      <c r="PA33" s="232"/>
      <c r="PB33" s="232"/>
      <c r="PC33" s="232"/>
      <c r="PD33" s="232"/>
      <c r="PE33" s="232"/>
      <c r="PF33" s="232"/>
      <c r="PG33" s="232"/>
      <c r="PH33" s="232"/>
      <c r="PI33" s="232"/>
      <c r="PJ33" s="232"/>
      <c r="PK33" s="232"/>
      <c r="PL33" s="232"/>
      <c r="PM33" s="232"/>
      <c r="PN33" s="232"/>
      <c r="PO33" s="232"/>
      <c r="PP33" s="232"/>
      <c r="PQ33" s="232"/>
      <c r="PR33" s="232"/>
      <c r="PS33" s="232"/>
      <c r="PT33" s="232"/>
      <c r="PU33" s="232"/>
      <c r="PV33" s="232"/>
      <c r="PW33" s="232"/>
      <c r="PX33" s="232"/>
      <c r="PY33" s="232"/>
      <c r="PZ33" s="232"/>
      <c r="QA33" s="232"/>
      <c r="QB33" s="232"/>
      <c r="QC33" s="232"/>
      <c r="QD33" s="232"/>
      <c r="QE33" s="232"/>
      <c r="QF33" s="232"/>
      <c r="QG33" s="232"/>
      <c r="QH33" s="232"/>
      <c r="QI33" s="232"/>
      <c r="QJ33" s="232"/>
      <c r="QK33" s="232"/>
      <c r="QL33" s="232"/>
      <c r="QM33" s="232"/>
      <c r="QN33" s="232"/>
      <c r="QO33" s="232"/>
      <c r="QP33" s="232"/>
      <c r="QQ33" s="232"/>
      <c r="QR33" s="232"/>
      <c r="QS33" s="232"/>
      <c r="QT33" s="232"/>
      <c r="QU33" s="232"/>
      <c r="QV33" s="232"/>
      <c r="QW33" s="232"/>
      <c r="QX33" s="232"/>
      <c r="QY33" s="232"/>
      <c r="QZ33" s="232"/>
      <c r="RA33" s="232"/>
      <c r="RB33" s="232"/>
      <c r="RC33" s="232"/>
      <c r="RD33" s="232"/>
      <c r="RE33" s="232"/>
      <c r="RF33" s="232"/>
      <c r="RG33" s="232"/>
      <c r="RH33" s="232"/>
      <c r="RI33" s="232"/>
      <c r="RJ33" s="232"/>
      <c r="RK33" s="232"/>
      <c r="RL33" s="232"/>
      <c r="RM33" s="232"/>
      <c r="RN33" s="232"/>
      <c r="RO33" s="232"/>
      <c r="RP33" s="232"/>
      <c r="RQ33" s="232"/>
      <c r="RR33" s="232"/>
      <c r="RS33" s="232"/>
      <c r="RT33" s="232"/>
      <c r="RU33" s="232"/>
      <c r="RV33" s="232"/>
      <c r="RW33" s="232"/>
      <c r="RX33" s="232"/>
      <c r="RY33" s="232"/>
      <c r="RZ33" s="232"/>
      <c r="SA33" s="232"/>
      <c r="SB33" s="232"/>
      <c r="SC33" s="232"/>
      <c r="SD33" s="232"/>
      <c r="SE33" s="232"/>
      <c r="SF33" s="232"/>
      <c r="SG33" s="232"/>
      <c r="SH33" s="232"/>
      <c r="SI33" s="232"/>
      <c r="SJ33" s="232"/>
      <c r="SK33" s="232"/>
      <c r="SL33" s="232"/>
      <c r="SM33" s="232"/>
      <c r="SN33" s="232"/>
      <c r="SO33" s="232"/>
      <c r="SP33" s="232"/>
      <c r="SQ33" s="232"/>
      <c r="SR33" s="232"/>
      <c r="SS33" s="232"/>
      <c r="ST33" s="232"/>
      <c r="SU33" s="232"/>
      <c r="SV33" s="232"/>
      <c r="SW33" s="232"/>
      <c r="SX33" s="232"/>
      <c r="SY33" s="232"/>
      <c r="SZ33" s="232"/>
      <c r="TA33" s="232"/>
      <c r="TB33" s="232"/>
      <c r="TC33" s="232"/>
      <c r="TD33" s="232"/>
      <c r="TE33" s="232"/>
      <c r="TF33" s="232"/>
      <c r="TG33" s="232"/>
      <c r="TH33" s="232"/>
      <c r="TI33" s="232"/>
      <c r="TJ33" s="232"/>
      <c r="TK33" s="232"/>
      <c r="TL33" s="232"/>
      <c r="TM33" s="232"/>
      <c r="TN33" s="232"/>
      <c r="TO33" s="232"/>
      <c r="TP33" s="232"/>
      <c r="TQ33" s="232"/>
      <c r="TR33" s="232"/>
      <c r="TS33" s="232"/>
      <c r="TT33" s="232"/>
      <c r="TU33" s="232"/>
      <c r="TV33" s="232"/>
      <c r="TW33" s="232"/>
      <c r="TX33" s="232"/>
      <c r="TY33" s="232"/>
      <c r="TZ33" s="232"/>
      <c r="UA33" s="232"/>
      <c r="UB33" s="232"/>
      <c r="UC33" s="232"/>
      <c r="UD33" s="232"/>
      <c r="UE33" s="232"/>
      <c r="UF33" s="232"/>
      <c r="UG33" s="232"/>
      <c r="UH33" s="232"/>
      <c r="UI33" s="232"/>
      <c r="UJ33" s="232"/>
      <c r="UK33" s="232"/>
      <c r="UL33" s="232"/>
      <c r="UM33" s="232"/>
      <c r="UN33" s="232"/>
      <c r="UO33" s="232"/>
      <c r="UP33" s="232"/>
      <c r="UQ33" s="232"/>
      <c r="UR33" s="232"/>
      <c r="US33" s="232"/>
      <c r="UT33" s="232"/>
      <c r="UU33" s="232"/>
      <c r="UV33" s="232"/>
      <c r="UW33" s="232"/>
      <c r="UX33" s="232"/>
      <c r="UY33" s="232"/>
      <c r="UZ33" s="232"/>
      <c r="VA33" s="232"/>
      <c r="VB33" s="232"/>
      <c r="VC33" s="232"/>
      <c r="VD33" s="232"/>
      <c r="VE33" s="232"/>
      <c r="VF33" s="232"/>
      <c r="VG33" s="232"/>
      <c r="VH33" s="232"/>
      <c r="VI33" s="232"/>
      <c r="VJ33" s="232"/>
      <c r="VK33" s="232"/>
      <c r="VL33" s="232"/>
      <c r="VM33" s="232"/>
      <c r="VN33" s="232"/>
      <c r="VO33" s="232"/>
      <c r="VP33" s="232"/>
      <c r="VQ33" s="232"/>
      <c r="VR33" s="232"/>
      <c r="VS33" s="232"/>
      <c r="VT33" s="232"/>
      <c r="VU33" s="232"/>
      <c r="VV33" s="232"/>
      <c r="VW33" s="232"/>
      <c r="VX33" s="232"/>
      <c r="VY33" s="232"/>
      <c r="VZ33" s="232"/>
      <c r="WA33" s="232"/>
      <c r="WB33" s="232"/>
      <c r="WC33" s="232"/>
      <c r="WD33" s="232"/>
      <c r="WE33" s="232"/>
      <c r="WF33" s="232"/>
      <c r="WG33" s="232"/>
      <c r="WH33" s="232"/>
      <c r="WI33" s="232"/>
      <c r="WJ33" s="232"/>
      <c r="WK33" s="232"/>
      <c r="WL33" s="232"/>
      <c r="WM33" s="232"/>
      <c r="WN33" s="232"/>
      <c r="WO33" s="232"/>
      <c r="WP33" s="232"/>
      <c r="WQ33" s="232"/>
      <c r="WR33" s="232"/>
      <c r="WS33" s="232"/>
      <c r="WT33" s="232"/>
      <c r="WU33" s="232"/>
      <c r="WV33" s="232"/>
      <c r="WW33" s="232"/>
      <c r="WX33" s="232"/>
      <c r="WY33" s="232"/>
      <c r="WZ33" s="232"/>
      <c r="XA33" s="232"/>
      <c r="XB33" s="232"/>
      <c r="XC33" s="232"/>
      <c r="XD33" s="232"/>
      <c r="XE33" s="232"/>
      <c r="XF33" s="232"/>
      <c r="XG33" s="232"/>
      <c r="XH33" s="232"/>
      <c r="XI33" s="232"/>
      <c r="XJ33" s="232"/>
      <c r="XK33" s="232"/>
      <c r="XL33" s="232"/>
      <c r="XM33" s="232"/>
      <c r="XN33" s="232"/>
      <c r="XO33" s="232"/>
      <c r="XP33" s="232"/>
      <c r="XQ33" s="232"/>
      <c r="XR33" s="232"/>
      <c r="XS33" s="232"/>
      <c r="XT33" s="232"/>
      <c r="XU33" s="232"/>
      <c r="XV33" s="232"/>
      <c r="XW33" s="232"/>
      <c r="XX33" s="232"/>
      <c r="XY33" s="232"/>
      <c r="XZ33" s="232"/>
      <c r="YA33" s="232"/>
      <c r="YB33" s="232"/>
      <c r="YC33" s="232"/>
      <c r="YD33" s="232"/>
      <c r="YE33" s="232"/>
      <c r="YF33" s="232"/>
      <c r="YG33" s="232"/>
      <c r="YH33" s="232"/>
      <c r="YI33" s="232"/>
      <c r="YJ33" s="232"/>
      <c r="YK33" s="232"/>
      <c r="YL33" s="232"/>
      <c r="YM33" s="232"/>
      <c r="YN33" s="232"/>
      <c r="YO33" s="232"/>
      <c r="YP33" s="232"/>
      <c r="YQ33" s="232"/>
      <c r="YR33" s="232"/>
      <c r="YS33" s="232"/>
      <c r="YT33" s="232"/>
      <c r="YU33" s="232"/>
      <c r="YV33" s="232"/>
      <c r="YW33" s="232"/>
      <c r="YX33" s="232"/>
      <c r="YY33" s="232"/>
      <c r="YZ33" s="232"/>
      <c r="ZA33" s="232"/>
      <c r="ZB33" s="232"/>
      <c r="ZC33" s="232"/>
      <c r="ZD33" s="232"/>
      <c r="ZE33" s="232"/>
      <c r="ZF33" s="232"/>
      <c r="ZG33" s="232"/>
      <c r="ZH33" s="232"/>
      <c r="ZI33" s="232"/>
      <c r="ZJ33" s="232"/>
      <c r="ZK33" s="232"/>
      <c r="ZL33" s="232"/>
      <c r="ZM33" s="232"/>
      <c r="ZN33" s="232"/>
      <c r="ZO33" s="232"/>
      <c r="ZP33" s="232"/>
      <c r="ZQ33" s="232"/>
      <c r="ZR33" s="232"/>
      <c r="ZS33" s="232"/>
      <c r="ZT33" s="232"/>
      <c r="ZU33" s="232"/>
      <c r="ZV33" s="232"/>
      <c r="ZW33" s="232"/>
      <c r="ZX33" s="232"/>
      <c r="ZY33" s="232"/>
      <c r="ZZ33" s="232"/>
      <c r="AAA33" s="232"/>
      <c r="AAB33" s="232"/>
      <c r="AAC33" s="232"/>
      <c r="AAD33" s="232"/>
      <c r="AAE33" s="232"/>
      <c r="AAF33" s="232"/>
      <c r="AAG33" s="232"/>
      <c r="AAH33" s="232"/>
      <c r="AAI33" s="232"/>
      <c r="AAJ33" s="232"/>
      <c r="AAK33" s="232"/>
      <c r="AAL33" s="232"/>
      <c r="AAM33" s="232"/>
      <c r="AAN33" s="232"/>
      <c r="AAO33" s="232"/>
      <c r="AAP33" s="232"/>
      <c r="AAQ33" s="232"/>
      <c r="AAR33" s="232"/>
      <c r="AAS33" s="232"/>
      <c r="AAT33" s="232"/>
      <c r="AAU33" s="232"/>
      <c r="AAV33" s="232"/>
      <c r="AAW33" s="232"/>
      <c r="AAX33" s="232"/>
      <c r="AAY33" s="232"/>
      <c r="AAZ33" s="232"/>
      <c r="ABA33" s="232"/>
      <c r="ABB33" s="232"/>
      <c r="ABC33" s="232"/>
      <c r="ABD33" s="232"/>
      <c r="ABE33" s="232"/>
      <c r="ABF33" s="232"/>
      <c r="ABG33" s="232"/>
      <c r="ABH33" s="232"/>
      <c r="ABI33" s="232"/>
      <c r="ABJ33" s="232"/>
      <c r="ABK33" s="232"/>
      <c r="ABL33" s="232"/>
      <c r="ABM33" s="232"/>
      <c r="ABN33" s="232"/>
      <c r="ABO33" s="232"/>
      <c r="ABP33" s="232"/>
      <c r="ABQ33" s="232"/>
      <c r="ABR33" s="232"/>
      <c r="ABS33" s="232"/>
      <c r="ABT33" s="232"/>
      <c r="ABU33" s="232"/>
      <c r="ABV33" s="232"/>
      <c r="ABW33" s="232"/>
      <c r="ABX33" s="232"/>
      <c r="ABY33" s="232"/>
      <c r="ABZ33" s="232"/>
      <c r="ACA33" s="232"/>
      <c r="ACB33" s="232"/>
      <c r="ACC33" s="232"/>
      <c r="ACD33" s="232"/>
      <c r="ACE33" s="232"/>
      <c r="ACF33" s="232"/>
      <c r="ACG33" s="232"/>
      <c r="ACH33" s="232"/>
      <c r="ACI33" s="232"/>
      <c r="ACJ33" s="232"/>
      <c r="ACK33" s="232"/>
      <c r="ACL33" s="232"/>
      <c r="ACM33" s="232"/>
      <c r="ACN33" s="232"/>
      <c r="ACO33" s="232"/>
      <c r="ACP33" s="232"/>
      <c r="ACQ33" s="232"/>
      <c r="ACR33" s="232"/>
      <c r="ACS33" s="232"/>
      <c r="ACT33" s="232"/>
      <c r="ACU33" s="232"/>
      <c r="ACV33" s="232"/>
      <c r="ACW33" s="232"/>
      <c r="ACX33" s="232"/>
      <c r="ACY33" s="232"/>
      <c r="ACZ33" s="232"/>
      <c r="ADA33" s="232"/>
      <c r="ADB33" s="232"/>
      <c r="ADC33" s="232"/>
      <c r="ADD33" s="232"/>
      <c r="ADE33" s="232"/>
      <c r="ADF33" s="232"/>
      <c r="ADG33" s="232"/>
      <c r="ADH33" s="232"/>
      <c r="ADI33" s="232"/>
      <c r="ADJ33" s="232"/>
      <c r="ADK33" s="232"/>
      <c r="ADL33" s="232"/>
      <c r="ADM33" s="232"/>
      <c r="ADN33" s="232"/>
      <c r="ADO33" s="232"/>
      <c r="ADP33" s="232"/>
      <c r="ADQ33" s="232"/>
      <c r="ADR33" s="232"/>
      <c r="ADS33" s="232"/>
      <c r="ADT33" s="232"/>
      <c r="ADU33" s="232"/>
      <c r="ADV33" s="232"/>
      <c r="ADW33" s="232"/>
      <c r="ADX33" s="232"/>
      <c r="ADY33" s="232"/>
      <c r="ADZ33" s="232"/>
      <c r="AEA33" s="232"/>
      <c r="AEB33" s="232"/>
      <c r="AEC33" s="232"/>
      <c r="AED33" s="232"/>
      <c r="AEE33" s="232"/>
      <c r="AEF33" s="232"/>
      <c r="AEG33" s="232"/>
      <c r="AEH33" s="232"/>
      <c r="AEI33" s="232"/>
      <c r="AEJ33" s="232"/>
      <c r="AEK33" s="232"/>
      <c r="AEL33" s="232"/>
      <c r="AEM33" s="232"/>
      <c r="AEN33" s="232"/>
      <c r="AEO33" s="232"/>
      <c r="AEP33" s="232"/>
      <c r="AEQ33" s="232"/>
      <c r="AER33" s="232"/>
      <c r="AES33" s="232"/>
      <c r="AET33" s="232"/>
      <c r="AEU33" s="232"/>
      <c r="AEV33" s="232"/>
      <c r="AEW33" s="232"/>
      <c r="AEX33" s="232"/>
      <c r="AEY33" s="232"/>
      <c r="AEZ33" s="232"/>
      <c r="AFA33" s="232"/>
      <c r="AFB33" s="232"/>
      <c r="AFC33" s="232"/>
      <c r="AFD33" s="232"/>
      <c r="AFE33" s="232"/>
      <c r="AFF33" s="232"/>
      <c r="AFG33" s="232"/>
      <c r="AFH33" s="232"/>
      <c r="AFI33" s="232"/>
      <c r="AFJ33" s="232"/>
      <c r="AFK33" s="232"/>
      <c r="AFL33" s="232"/>
      <c r="AFM33" s="232"/>
      <c r="AFN33" s="232"/>
      <c r="AFO33" s="232"/>
      <c r="AFP33" s="232"/>
      <c r="AFQ33" s="232"/>
      <c r="AFR33" s="232"/>
      <c r="AFS33" s="232"/>
      <c r="AFT33" s="232"/>
      <c r="AFU33" s="232"/>
      <c r="AFV33" s="232"/>
      <c r="AFW33" s="232"/>
      <c r="AFX33" s="232"/>
      <c r="AFY33" s="232"/>
      <c r="AFZ33" s="232"/>
      <c r="AGA33" s="232"/>
      <c r="AGB33" s="232"/>
      <c r="AGC33" s="232"/>
      <c r="AGD33" s="232"/>
      <c r="AGE33" s="232"/>
      <c r="AGF33" s="232"/>
      <c r="AGG33" s="232"/>
      <c r="AGH33" s="232"/>
      <c r="AGI33" s="232"/>
      <c r="AGJ33" s="232"/>
      <c r="AGK33" s="232"/>
      <c r="AGL33" s="232"/>
      <c r="AGM33" s="232"/>
      <c r="AGN33" s="232"/>
      <c r="AGO33" s="232"/>
      <c r="AGP33" s="232"/>
      <c r="AGQ33" s="232"/>
      <c r="AGR33" s="232"/>
      <c r="AGS33" s="232"/>
      <c r="AGT33" s="232"/>
      <c r="AGU33" s="232"/>
      <c r="AGV33" s="232"/>
      <c r="AGW33" s="232"/>
      <c r="AGX33" s="232"/>
      <c r="AGY33" s="232"/>
      <c r="AGZ33" s="232"/>
      <c r="AHA33" s="232"/>
      <c r="AHB33" s="232"/>
      <c r="AHC33" s="232"/>
      <c r="AHD33" s="232"/>
      <c r="AHE33" s="232"/>
      <c r="AHF33" s="232"/>
      <c r="AHG33" s="232"/>
      <c r="AHH33" s="232"/>
      <c r="AHI33" s="232"/>
      <c r="AHJ33" s="232"/>
      <c r="AHK33" s="232"/>
      <c r="AHL33" s="232"/>
      <c r="AHM33" s="232"/>
      <c r="AHN33" s="232"/>
      <c r="AHO33" s="232"/>
      <c r="AHP33" s="232"/>
      <c r="AHQ33" s="232"/>
      <c r="AHR33" s="232"/>
      <c r="AHS33" s="232"/>
      <c r="AHT33" s="232"/>
      <c r="AHU33" s="232"/>
      <c r="AHV33" s="232"/>
      <c r="AHW33" s="232"/>
      <c r="AHX33" s="232"/>
      <c r="AHY33" s="232"/>
      <c r="AHZ33" s="232"/>
      <c r="AIA33" s="232"/>
      <c r="AIB33" s="232"/>
      <c r="AIC33" s="232"/>
      <c r="AID33" s="232"/>
      <c r="AIE33" s="232"/>
      <c r="AIF33" s="232"/>
      <c r="AIG33" s="232"/>
      <c r="AIH33" s="232"/>
      <c r="AII33" s="232"/>
      <c r="AIJ33" s="232"/>
      <c r="AIK33" s="232"/>
      <c r="AIL33" s="232"/>
      <c r="AIM33" s="232"/>
      <c r="AIN33" s="232"/>
      <c r="AIO33" s="232"/>
      <c r="AIP33" s="232"/>
      <c r="AIQ33" s="232"/>
      <c r="AIR33" s="232"/>
      <c r="AIS33" s="232"/>
      <c r="AIT33" s="232"/>
      <c r="AIU33" s="232"/>
      <c r="AIV33" s="232"/>
      <c r="AIW33" s="232"/>
      <c r="AIX33" s="232"/>
      <c r="AIY33" s="232"/>
      <c r="AIZ33" s="232"/>
      <c r="AJA33" s="232"/>
      <c r="AJB33" s="232"/>
      <c r="AJC33" s="232"/>
      <c r="AJD33" s="232"/>
      <c r="AJE33" s="232"/>
      <c r="AJF33" s="232"/>
      <c r="AJG33" s="232"/>
      <c r="AJH33" s="232"/>
      <c r="AJI33" s="232"/>
      <c r="AJJ33" s="232"/>
      <c r="AJK33" s="232"/>
      <c r="AJL33" s="232"/>
      <c r="AJM33" s="232"/>
      <c r="AJN33" s="232"/>
      <c r="AJO33" s="232"/>
      <c r="AJP33" s="232"/>
      <c r="AJQ33" s="232"/>
      <c r="AJR33" s="232"/>
      <c r="AJS33" s="232"/>
      <c r="AJT33" s="232"/>
      <c r="AJU33" s="232"/>
      <c r="AJV33" s="232"/>
      <c r="AJW33" s="232"/>
      <c r="AJX33" s="232"/>
      <c r="AJY33" s="232"/>
      <c r="AJZ33" s="232"/>
      <c r="AKA33" s="232"/>
      <c r="AKB33" s="232"/>
      <c r="AKC33" s="232"/>
      <c r="AKD33" s="232"/>
      <c r="AKE33" s="232"/>
      <c r="AKF33" s="232"/>
      <c r="AKG33" s="232"/>
      <c r="AKH33" s="232"/>
      <c r="AKI33" s="232"/>
      <c r="AKJ33" s="232"/>
      <c r="AKK33" s="232"/>
      <c r="AKL33" s="232"/>
      <c r="AKM33" s="232"/>
      <c r="AKN33" s="232"/>
      <c r="AKO33" s="232"/>
      <c r="AKP33" s="232"/>
      <c r="AKQ33" s="232"/>
      <c r="AKR33" s="232"/>
      <c r="AKS33" s="232"/>
      <c r="AKT33" s="232"/>
      <c r="AKU33" s="232"/>
      <c r="AKV33" s="232"/>
      <c r="AKW33" s="232"/>
      <c r="AKX33" s="232"/>
      <c r="AKY33" s="232"/>
      <c r="AKZ33" s="232"/>
      <c r="ALA33" s="232"/>
      <c r="ALB33" s="232"/>
      <c r="ALC33" s="232"/>
      <c r="ALD33" s="232"/>
      <c r="ALE33" s="232"/>
      <c r="ALF33" s="232"/>
      <c r="ALG33" s="232"/>
      <c r="ALH33" s="232"/>
      <c r="ALI33" s="232"/>
      <c r="ALJ33" s="232"/>
      <c r="ALK33" s="232"/>
      <c r="ALL33" s="232"/>
      <c r="ALM33" s="232"/>
      <c r="ALN33" s="232"/>
      <c r="ALO33" s="232"/>
      <c r="ALP33" s="232"/>
      <c r="ALQ33" s="232"/>
      <c r="ALR33" s="232"/>
      <c r="ALS33" s="232"/>
      <c r="ALT33" s="232"/>
      <c r="ALU33" s="232"/>
      <c r="ALV33" s="232"/>
      <c r="ALW33" s="232"/>
      <c r="ALX33" s="232"/>
      <c r="ALY33" s="232"/>
      <c r="ALZ33" s="232"/>
      <c r="AMA33" s="232"/>
      <c r="AMB33" s="232"/>
      <c r="AMC33" s="232"/>
      <c r="AMD33" s="232"/>
      <c r="AME33" s="232"/>
      <c r="AMF33" s="232"/>
      <c r="AMG33" s="232"/>
      <c r="AMH33" s="232"/>
      <c r="AMI33" s="232"/>
      <c r="AMJ33" s="232"/>
      <c r="AMK33" s="232"/>
      <c r="AML33" s="232"/>
      <c r="AMM33" s="232"/>
      <c r="AMN33" s="232"/>
      <c r="AMO33" s="232"/>
      <c r="AMP33" s="232"/>
      <c r="AMQ33" s="232"/>
      <c r="AMR33" s="232"/>
      <c r="AMS33" s="232"/>
      <c r="AMT33" s="232"/>
      <c r="AMU33" s="232"/>
      <c r="AMV33" s="232"/>
      <c r="AMW33" s="232"/>
      <c r="AMX33" s="232"/>
      <c r="AMY33" s="232"/>
      <c r="AMZ33" s="232"/>
      <c r="ANA33" s="232"/>
      <c r="ANB33" s="232"/>
      <c r="ANC33" s="232"/>
      <c r="AND33" s="232"/>
      <c r="ANE33" s="232"/>
      <c r="ANF33" s="232"/>
      <c r="ANG33" s="232"/>
      <c r="ANH33" s="232"/>
      <c r="ANI33" s="232"/>
      <c r="ANJ33" s="232"/>
      <c r="ANK33" s="232"/>
      <c r="ANL33" s="232"/>
      <c r="ANM33" s="232"/>
      <c r="ANN33" s="232"/>
      <c r="ANO33" s="232"/>
      <c r="ANP33" s="232"/>
      <c r="ANQ33" s="232"/>
      <c r="ANR33" s="232"/>
      <c r="ANS33" s="232"/>
      <c r="ANT33" s="232"/>
      <c r="ANU33" s="232"/>
      <c r="ANV33" s="232"/>
      <c r="ANW33" s="232"/>
      <c r="ANX33" s="232"/>
      <c r="ANY33" s="232"/>
      <c r="ANZ33" s="232"/>
      <c r="AOA33" s="232"/>
      <c r="AOB33" s="232"/>
      <c r="AOC33" s="232"/>
      <c r="AOD33" s="232"/>
      <c r="AOE33" s="232"/>
      <c r="AOF33" s="232"/>
      <c r="AOG33" s="232"/>
      <c r="AOH33" s="232"/>
      <c r="AOI33" s="232"/>
      <c r="AOJ33" s="232"/>
      <c r="AOK33" s="232"/>
      <c r="AOL33" s="232"/>
      <c r="AOM33" s="232"/>
      <c r="AON33" s="232"/>
      <c r="AOO33" s="232"/>
      <c r="AOP33" s="232"/>
      <c r="AOQ33" s="232"/>
      <c r="AOR33" s="232"/>
      <c r="AOS33" s="232"/>
      <c r="AOT33" s="232"/>
      <c r="AOU33" s="232"/>
      <c r="AOV33" s="232"/>
      <c r="AOW33" s="232"/>
      <c r="AOX33" s="232"/>
      <c r="AOY33" s="232"/>
      <c r="AOZ33" s="232"/>
      <c r="APA33" s="232"/>
      <c r="APB33" s="232"/>
      <c r="APC33" s="232"/>
      <c r="APD33" s="232"/>
      <c r="APE33" s="232"/>
      <c r="APF33" s="232"/>
      <c r="APG33" s="232"/>
      <c r="APH33" s="232"/>
      <c r="API33" s="232"/>
      <c r="APJ33" s="232"/>
      <c r="APK33" s="232"/>
      <c r="APL33" s="232"/>
      <c r="APM33" s="232"/>
      <c r="APN33" s="232"/>
      <c r="APO33" s="232"/>
      <c r="APP33" s="232"/>
      <c r="APQ33" s="232"/>
      <c r="APR33" s="232"/>
      <c r="APS33" s="232"/>
      <c r="APT33" s="232"/>
      <c r="APU33" s="232"/>
    </row>
    <row r="34" spans="1:1113" s="288" customFormat="1" ht="54.75" hidden="1" customHeight="1" x14ac:dyDescent="0.25">
      <c r="A34" s="283"/>
      <c r="B34" s="354" t="s">
        <v>15</v>
      </c>
      <c r="C34" s="354"/>
      <c r="D34" s="284"/>
      <c r="E34" s="284"/>
      <c r="F34" s="284"/>
      <c r="G34" s="285"/>
      <c r="H34" s="284" t="s">
        <v>443</v>
      </c>
      <c r="I34" s="260" t="s">
        <v>429</v>
      </c>
      <c r="J34" s="260" t="s">
        <v>430</v>
      </c>
      <c r="K34" s="260" t="s">
        <v>431</v>
      </c>
      <c r="L34" s="260" t="s">
        <v>432</v>
      </c>
      <c r="M34" s="286" t="s">
        <v>30</v>
      </c>
      <c r="N34" s="286" t="s">
        <v>444</v>
      </c>
      <c r="O34" s="287"/>
      <c r="P34" s="287"/>
      <c r="Q34" s="287"/>
      <c r="R34" s="287"/>
      <c r="S34" s="287" t="s">
        <v>443</v>
      </c>
      <c r="T34" s="260" t="s">
        <v>429</v>
      </c>
      <c r="U34" s="260" t="s">
        <v>430</v>
      </c>
      <c r="V34" s="260" t="s">
        <v>431</v>
      </c>
      <c r="W34" s="260" t="s">
        <v>432</v>
      </c>
      <c r="X34" s="286" t="s">
        <v>30</v>
      </c>
      <c r="Y34" s="286" t="s">
        <v>444</v>
      </c>
      <c r="Z34" s="287"/>
      <c r="AA34" s="287"/>
      <c r="AB34" s="287"/>
      <c r="AC34" s="287"/>
      <c r="AD34" s="287" t="s">
        <v>443</v>
      </c>
      <c r="AE34" s="260" t="s">
        <v>429</v>
      </c>
      <c r="AF34" s="260" t="s">
        <v>430</v>
      </c>
      <c r="AG34" s="260" t="s">
        <v>431</v>
      </c>
      <c r="AH34" s="260" t="s">
        <v>432</v>
      </c>
      <c r="AI34" s="286" t="s">
        <v>30</v>
      </c>
      <c r="AJ34" s="286" t="s">
        <v>444</v>
      </c>
      <c r="AK34" s="232"/>
      <c r="AL34" s="256" t="s">
        <v>445</v>
      </c>
      <c r="AM34" s="258" t="s">
        <v>78</v>
      </c>
      <c r="AN34" s="215"/>
      <c r="AO34" s="215"/>
      <c r="AP34" s="215"/>
      <c r="AQ34" s="215"/>
      <c r="AR34" s="215"/>
      <c r="AS34" s="215"/>
      <c r="AT34" s="215"/>
      <c r="AU34" s="215"/>
      <c r="AV34" s="215"/>
      <c r="AW34" s="215"/>
      <c r="AX34" s="215"/>
      <c r="AY34" s="215"/>
      <c r="AZ34" s="286"/>
      <c r="BA34" s="215"/>
      <c r="BB34" s="215"/>
      <c r="BC34" s="215"/>
      <c r="BD34" s="215"/>
      <c r="BE34" s="215"/>
      <c r="BF34" s="215"/>
      <c r="BG34" s="215"/>
      <c r="BH34" s="215"/>
      <c r="BI34" s="215"/>
      <c r="BJ34" s="215"/>
      <c r="BK34" s="215"/>
      <c r="BL34" s="215"/>
      <c r="BM34" s="215"/>
      <c r="BN34" s="215"/>
      <c r="BO34" s="215"/>
      <c r="BP34" s="215"/>
      <c r="BQ34" s="215"/>
      <c r="BR34" s="215"/>
      <c r="BS34" s="215"/>
      <c r="BT34" s="215"/>
      <c r="BU34" s="215"/>
      <c r="BV34" s="215"/>
      <c r="BW34" s="215"/>
      <c r="BX34" s="215"/>
      <c r="BY34" s="215"/>
      <c r="BZ34" s="215"/>
      <c r="CA34" s="215"/>
      <c r="CB34" s="215"/>
      <c r="CC34" s="215"/>
      <c r="CD34" s="215"/>
      <c r="CE34" s="215"/>
      <c r="CF34" s="215"/>
      <c r="CG34" s="215"/>
      <c r="CH34" s="215"/>
      <c r="CI34" s="215"/>
      <c r="CJ34" s="215"/>
      <c r="CK34" s="215"/>
      <c r="CL34" s="215"/>
      <c r="CM34" s="215"/>
      <c r="CN34" s="215"/>
      <c r="CO34" s="215"/>
      <c r="CP34" s="215"/>
      <c r="CQ34" s="215"/>
      <c r="CR34" s="215"/>
      <c r="CS34" s="215"/>
      <c r="CT34" s="215"/>
      <c r="CU34" s="215"/>
      <c r="CV34" s="215"/>
      <c r="CW34" s="215"/>
      <c r="CX34" s="215"/>
      <c r="CY34" s="215"/>
      <c r="CZ34" s="215"/>
      <c r="DA34" s="215"/>
      <c r="DB34" s="215"/>
      <c r="DC34" s="215"/>
      <c r="DD34" s="215"/>
      <c r="DE34" s="215"/>
      <c r="DF34" s="215"/>
      <c r="DG34" s="215"/>
      <c r="DH34" s="215"/>
      <c r="DI34" s="215"/>
      <c r="DJ34" s="215"/>
      <c r="DK34" s="215"/>
      <c r="DL34" s="215"/>
      <c r="DM34" s="215"/>
      <c r="DN34" s="215"/>
      <c r="DO34" s="215"/>
      <c r="DP34" s="215"/>
      <c r="DQ34" s="215"/>
      <c r="DR34" s="215"/>
      <c r="DS34" s="215"/>
      <c r="DT34" s="215"/>
      <c r="DU34" s="215"/>
      <c r="DV34" s="215"/>
      <c r="DW34" s="215"/>
      <c r="DX34" s="215"/>
      <c r="DY34" s="215"/>
      <c r="DZ34" s="215"/>
      <c r="EA34" s="215"/>
      <c r="EB34" s="215"/>
      <c r="EC34" s="215"/>
      <c r="ED34" s="215"/>
      <c r="EE34" s="215"/>
      <c r="EF34" s="215"/>
      <c r="EG34" s="215"/>
      <c r="EH34" s="215"/>
      <c r="EI34" s="215"/>
      <c r="EJ34" s="215"/>
      <c r="EK34" s="215"/>
      <c r="EL34" s="215"/>
      <c r="EM34" s="215"/>
      <c r="EN34" s="215"/>
      <c r="EO34" s="215"/>
      <c r="EP34" s="215"/>
      <c r="EQ34" s="215"/>
      <c r="ER34" s="215"/>
      <c r="ES34" s="215"/>
      <c r="ET34" s="215"/>
      <c r="EU34" s="215"/>
      <c r="EV34" s="215"/>
      <c r="EW34" s="215"/>
      <c r="EX34" s="215"/>
      <c r="EY34" s="215"/>
      <c r="EZ34" s="215"/>
      <c r="FA34" s="215"/>
      <c r="FB34" s="215"/>
      <c r="FC34" s="215"/>
      <c r="FD34" s="215"/>
      <c r="FE34" s="215"/>
      <c r="FF34" s="215"/>
      <c r="FG34" s="215"/>
      <c r="FH34" s="215"/>
      <c r="FI34" s="215"/>
      <c r="FJ34" s="215"/>
      <c r="FK34" s="215"/>
      <c r="FL34" s="215"/>
      <c r="FM34" s="215"/>
      <c r="FN34" s="215"/>
      <c r="FO34" s="215"/>
      <c r="FP34" s="215"/>
      <c r="FQ34" s="215"/>
      <c r="FR34" s="215"/>
      <c r="FS34" s="215"/>
      <c r="FT34" s="215"/>
      <c r="FU34" s="215"/>
      <c r="FV34" s="215"/>
      <c r="FW34" s="215"/>
      <c r="FX34" s="215"/>
      <c r="FY34" s="215"/>
      <c r="FZ34" s="215"/>
      <c r="GA34" s="215"/>
      <c r="GB34" s="215"/>
      <c r="GC34" s="215"/>
      <c r="GD34" s="215"/>
      <c r="GE34" s="215"/>
      <c r="GF34" s="215"/>
      <c r="GG34" s="215"/>
      <c r="GH34" s="215"/>
      <c r="GI34" s="215"/>
      <c r="GJ34" s="215"/>
      <c r="GK34" s="215"/>
      <c r="GL34" s="215"/>
      <c r="GM34" s="215"/>
      <c r="GN34" s="215"/>
      <c r="GO34" s="215"/>
      <c r="GP34" s="215"/>
      <c r="GQ34" s="215"/>
      <c r="GR34" s="215"/>
      <c r="GS34" s="215"/>
      <c r="GT34" s="215"/>
      <c r="GU34" s="215"/>
      <c r="GV34" s="215"/>
      <c r="GW34" s="215"/>
      <c r="GX34" s="215"/>
      <c r="GY34" s="215"/>
      <c r="GZ34" s="215"/>
      <c r="HA34" s="215"/>
      <c r="HB34" s="215"/>
      <c r="HC34" s="215"/>
      <c r="HD34" s="215"/>
      <c r="HE34" s="215"/>
      <c r="HF34" s="215"/>
      <c r="HG34" s="215"/>
      <c r="HH34" s="215"/>
      <c r="HI34" s="215"/>
      <c r="HJ34" s="215"/>
      <c r="HK34" s="215"/>
      <c r="HL34" s="215"/>
      <c r="HM34" s="215"/>
      <c r="HN34" s="215"/>
      <c r="HO34" s="215"/>
      <c r="HP34" s="215"/>
      <c r="HQ34" s="215"/>
      <c r="HR34" s="215"/>
      <c r="HS34" s="215"/>
      <c r="HT34" s="215"/>
      <c r="HU34" s="215"/>
      <c r="HV34" s="215"/>
      <c r="HW34" s="215"/>
      <c r="HX34" s="215"/>
      <c r="HY34" s="215"/>
      <c r="HZ34" s="215"/>
      <c r="IA34" s="215"/>
      <c r="IB34" s="215"/>
      <c r="IC34" s="215"/>
      <c r="ID34" s="215"/>
      <c r="IE34" s="215"/>
      <c r="IF34" s="215"/>
      <c r="IG34" s="215"/>
      <c r="IH34" s="215"/>
      <c r="II34" s="215"/>
      <c r="IJ34" s="215"/>
      <c r="IK34" s="215"/>
      <c r="IL34" s="215"/>
      <c r="IM34" s="215"/>
      <c r="IN34" s="215"/>
      <c r="IO34" s="215"/>
      <c r="IP34" s="215"/>
      <c r="IQ34" s="215"/>
      <c r="IR34" s="215"/>
      <c r="IS34" s="215"/>
      <c r="IT34" s="215"/>
      <c r="IU34" s="215"/>
      <c r="IV34" s="215"/>
      <c r="IW34" s="215"/>
      <c r="IX34" s="215"/>
      <c r="IY34" s="215"/>
      <c r="IZ34" s="215"/>
      <c r="JA34" s="215"/>
      <c r="JB34" s="215"/>
      <c r="JC34" s="215"/>
      <c r="JD34" s="215"/>
      <c r="JE34" s="215"/>
      <c r="JF34" s="215"/>
      <c r="JG34" s="215"/>
      <c r="JH34" s="215"/>
      <c r="JI34" s="215"/>
      <c r="JJ34" s="215"/>
      <c r="JK34" s="215"/>
      <c r="JL34" s="215"/>
      <c r="JM34" s="215"/>
      <c r="JN34" s="215"/>
      <c r="JO34" s="215"/>
      <c r="JP34" s="215"/>
      <c r="JQ34" s="215"/>
      <c r="JR34" s="215"/>
      <c r="JS34" s="215"/>
      <c r="JT34" s="215"/>
      <c r="JU34" s="215"/>
      <c r="JV34" s="215"/>
      <c r="JW34" s="215"/>
      <c r="JX34" s="215"/>
      <c r="JY34" s="215"/>
      <c r="JZ34" s="215"/>
      <c r="KA34" s="215"/>
      <c r="KB34" s="215"/>
      <c r="KC34" s="215"/>
      <c r="KD34" s="215"/>
      <c r="KE34" s="215"/>
      <c r="KF34" s="215"/>
      <c r="KG34" s="215"/>
      <c r="KH34" s="215"/>
      <c r="KI34" s="215"/>
      <c r="KJ34" s="215"/>
      <c r="KK34" s="215"/>
      <c r="KL34" s="215"/>
      <c r="KM34" s="215"/>
      <c r="KN34" s="215"/>
      <c r="KO34" s="215"/>
      <c r="KP34" s="215"/>
      <c r="KQ34" s="215"/>
      <c r="KR34" s="215"/>
      <c r="KS34" s="215"/>
      <c r="KT34" s="215"/>
      <c r="KU34" s="215"/>
      <c r="KV34" s="215"/>
      <c r="KW34" s="215"/>
      <c r="KX34" s="215"/>
      <c r="KY34" s="215"/>
      <c r="KZ34" s="215"/>
      <c r="LA34" s="215"/>
      <c r="LB34" s="215"/>
      <c r="LC34" s="215"/>
      <c r="LD34" s="215"/>
      <c r="LE34" s="215"/>
      <c r="LF34" s="215"/>
      <c r="LG34" s="215"/>
      <c r="LH34" s="215"/>
      <c r="LI34" s="215"/>
      <c r="LJ34" s="215"/>
      <c r="LK34" s="215"/>
      <c r="LL34" s="232"/>
      <c r="LM34" s="232"/>
      <c r="LN34" s="232"/>
      <c r="LO34" s="232"/>
      <c r="LP34" s="232"/>
      <c r="LQ34" s="232"/>
      <c r="LR34" s="232"/>
      <c r="LS34" s="232"/>
      <c r="LT34" s="232"/>
      <c r="LU34" s="232"/>
      <c r="LV34" s="232"/>
      <c r="LW34" s="232"/>
      <c r="LX34" s="232"/>
      <c r="LY34" s="232"/>
      <c r="LZ34" s="232"/>
      <c r="MA34" s="232"/>
      <c r="MB34" s="232"/>
      <c r="MC34" s="232"/>
      <c r="MD34" s="232"/>
      <c r="ME34" s="232"/>
      <c r="MF34" s="232"/>
      <c r="MG34" s="232"/>
      <c r="MH34" s="232"/>
      <c r="MI34" s="232"/>
      <c r="MJ34" s="232"/>
      <c r="MK34" s="232"/>
      <c r="ML34" s="232"/>
      <c r="MM34" s="232"/>
      <c r="MN34" s="232"/>
      <c r="MO34" s="232"/>
      <c r="MP34" s="232"/>
      <c r="MQ34" s="232"/>
      <c r="MR34" s="232"/>
      <c r="MS34" s="232"/>
      <c r="MT34" s="232"/>
      <c r="MU34" s="232"/>
      <c r="MV34" s="232"/>
      <c r="MW34" s="232"/>
      <c r="MX34" s="232"/>
      <c r="MY34" s="232"/>
      <c r="MZ34" s="232"/>
      <c r="NA34" s="232"/>
      <c r="NB34" s="232"/>
      <c r="NC34" s="232"/>
      <c r="ND34" s="232"/>
      <c r="NE34" s="232"/>
      <c r="NF34" s="232"/>
      <c r="NG34" s="232"/>
      <c r="NH34" s="232"/>
      <c r="NI34" s="232"/>
      <c r="NJ34" s="232"/>
      <c r="NK34" s="232"/>
      <c r="NL34" s="232"/>
      <c r="NM34" s="232"/>
      <c r="NN34" s="232"/>
      <c r="NO34" s="232"/>
      <c r="NP34" s="232"/>
      <c r="NQ34" s="232"/>
      <c r="NR34" s="232"/>
      <c r="NS34" s="232"/>
      <c r="NT34" s="232"/>
      <c r="NU34" s="232"/>
      <c r="NV34" s="232"/>
      <c r="NW34" s="232"/>
      <c r="NX34" s="232"/>
      <c r="NY34" s="232"/>
      <c r="NZ34" s="232"/>
      <c r="OA34" s="232"/>
      <c r="OB34" s="232"/>
      <c r="OC34" s="232"/>
      <c r="OD34" s="232"/>
      <c r="OE34" s="232"/>
      <c r="OF34" s="232"/>
      <c r="OG34" s="232"/>
      <c r="OH34" s="232"/>
      <c r="OI34" s="232"/>
      <c r="OJ34" s="232"/>
      <c r="OK34" s="232"/>
      <c r="OL34" s="232"/>
      <c r="OM34" s="232"/>
      <c r="ON34" s="232"/>
      <c r="OO34" s="232"/>
      <c r="OP34" s="232"/>
      <c r="OQ34" s="232"/>
      <c r="OR34" s="232"/>
      <c r="OS34" s="232"/>
      <c r="OT34" s="232"/>
      <c r="OU34" s="232"/>
      <c r="OV34" s="232"/>
      <c r="OW34" s="232"/>
      <c r="OX34" s="232"/>
      <c r="OY34" s="232"/>
      <c r="OZ34" s="232"/>
      <c r="PA34" s="232"/>
      <c r="PB34" s="232"/>
      <c r="PC34" s="232"/>
      <c r="PD34" s="232"/>
      <c r="PE34" s="232"/>
      <c r="PF34" s="232"/>
      <c r="PG34" s="232"/>
      <c r="PH34" s="232"/>
      <c r="PI34" s="232"/>
      <c r="PJ34" s="232"/>
      <c r="PK34" s="232"/>
      <c r="PL34" s="232"/>
      <c r="PM34" s="232"/>
      <c r="PN34" s="232"/>
      <c r="PO34" s="232"/>
      <c r="PP34" s="232"/>
      <c r="PQ34" s="232"/>
      <c r="PR34" s="232"/>
      <c r="PS34" s="232"/>
      <c r="PT34" s="232"/>
      <c r="PU34" s="232"/>
      <c r="PV34" s="232"/>
      <c r="PW34" s="232"/>
      <c r="PX34" s="232"/>
      <c r="PY34" s="232"/>
      <c r="PZ34" s="232"/>
      <c r="QA34" s="232"/>
      <c r="QB34" s="232"/>
      <c r="QC34" s="232"/>
      <c r="QD34" s="232"/>
      <c r="QE34" s="232"/>
      <c r="QF34" s="232"/>
      <c r="QG34" s="232"/>
      <c r="QH34" s="232"/>
      <c r="QI34" s="232"/>
      <c r="QJ34" s="232"/>
      <c r="QK34" s="232"/>
      <c r="QL34" s="232"/>
      <c r="QM34" s="232"/>
      <c r="QN34" s="232"/>
      <c r="QO34" s="232"/>
      <c r="QP34" s="232"/>
      <c r="QQ34" s="232"/>
      <c r="QR34" s="232"/>
      <c r="QS34" s="232"/>
      <c r="QT34" s="232"/>
      <c r="QU34" s="232"/>
      <c r="QV34" s="232"/>
      <c r="QW34" s="232"/>
      <c r="QX34" s="232"/>
      <c r="QY34" s="232"/>
      <c r="QZ34" s="232"/>
      <c r="RA34" s="232"/>
      <c r="RB34" s="232"/>
      <c r="RC34" s="232"/>
      <c r="RD34" s="232"/>
      <c r="RE34" s="232"/>
      <c r="RF34" s="232"/>
      <c r="RG34" s="232"/>
      <c r="RH34" s="232"/>
      <c r="RI34" s="232"/>
      <c r="RJ34" s="232"/>
      <c r="RK34" s="232"/>
      <c r="RL34" s="232"/>
      <c r="RM34" s="232"/>
      <c r="RN34" s="232"/>
      <c r="RO34" s="232"/>
      <c r="RP34" s="232"/>
      <c r="RQ34" s="232"/>
      <c r="RR34" s="232"/>
      <c r="RS34" s="232"/>
      <c r="RT34" s="232"/>
      <c r="RU34" s="232"/>
      <c r="RV34" s="232"/>
      <c r="RW34" s="232"/>
      <c r="RX34" s="232"/>
      <c r="RY34" s="232"/>
      <c r="RZ34" s="232"/>
      <c r="SA34" s="232"/>
      <c r="SB34" s="232"/>
      <c r="SC34" s="232"/>
      <c r="SD34" s="232"/>
      <c r="SE34" s="232"/>
      <c r="SF34" s="232"/>
      <c r="SG34" s="232"/>
      <c r="SH34" s="232"/>
      <c r="SI34" s="232"/>
      <c r="SJ34" s="232"/>
      <c r="SK34" s="232"/>
      <c r="SL34" s="232"/>
      <c r="SM34" s="232"/>
      <c r="SN34" s="232"/>
      <c r="SO34" s="232"/>
      <c r="SP34" s="232"/>
      <c r="SQ34" s="232"/>
      <c r="SR34" s="232"/>
      <c r="SS34" s="232"/>
      <c r="ST34" s="232"/>
      <c r="SU34" s="232"/>
      <c r="SV34" s="232"/>
      <c r="SW34" s="232"/>
      <c r="SX34" s="232"/>
      <c r="SY34" s="232"/>
      <c r="SZ34" s="232"/>
      <c r="TA34" s="232"/>
      <c r="TB34" s="232"/>
      <c r="TC34" s="232"/>
      <c r="TD34" s="232"/>
      <c r="TE34" s="232"/>
      <c r="TF34" s="232"/>
      <c r="TG34" s="232"/>
      <c r="TH34" s="232"/>
      <c r="TI34" s="232"/>
      <c r="TJ34" s="232"/>
      <c r="TK34" s="232"/>
      <c r="TL34" s="232"/>
      <c r="TM34" s="232"/>
      <c r="TN34" s="232"/>
      <c r="TO34" s="232"/>
      <c r="TP34" s="232"/>
      <c r="TQ34" s="232"/>
      <c r="TR34" s="232"/>
      <c r="TS34" s="232"/>
      <c r="TT34" s="232"/>
      <c r="TU34" s="232"/>
      <c r="TV34" s="232"/>
      <c r="TW34" s="232"/>
      <c r="TX34" s="232"/>
      <c r="TY34" s="232"/>
      <c r="TZ34" s="232"/>
      <c r="UA34" s="232"/>
      <c r="UB34" s="232"/>
      <c r="UC34" s="232"/>
      <c r="UD34" s="232"/>
      <c r="UE34" s="232"/>
      <c r="UF34" s="232"/>
      <c r="UG34" s="232"/>
      <c r="UH34" s="232"/>
      <c r="UI34" s="232"/>
      <c r="UJ34" s="232"/>
      <c r="UK34" s="232"/>
      <c r="UL34" s="232"/>
      <c r="UM34" s="232"/>
      <c r="UN34" s="232"/>
      <c r="UO34" s="232"/>
      <c r="UP34" s="232"/>
      <c r="UQ34" s="232"/>
      <c r="UR34" s="232"/>
      <c r="US34" s="232"/>
      <c r="UT34" s="232"/>
      <c r="UU34" s="232"/>
      <c r="UV34" s="232"/>
      <c r="UW34" s="232"/>
      <c r="UX34" s="232"/>
      <c r="UY34" s="232"/>
      <c r="UZ34" s="232"/>
      <c r="VA34" s="232"/>
      <c r="VB34" s="232"/>
      <c r="VC34" s="232"/>
      <c r="VD34" s="232"/>
      <c r="VE34" s="232"/>
      <c r="VF34" s="232"/>
      <c r="VG34" s="232"/>
      <c r="VH34" s="232"/>
      <c r="VI34" s="232"/>
      <c r="VJ34" s="232"/>
      <c r="VK34" s="232"/>
      <c r="VL34" s="232"/>
      <c r="VM34" s="232"/>
      <c r="VN34" s="232"/>
      <c r="VO34" s="232"/>
      <c r="VP34" s="232"/>
      <c r="VQ34" s="232"/>
      <c r="VR34" s="232"/>
      <c r="VS34" s="232"/>
      <c r="VT34" s="232"/>
      <c r="VU34" s="232"/>
      <c r="VV34" s="232"/>
      <c r="VW34" s="232"/>
      <c r="VX34" s="232"/>
      <c r="VY34" s="232"/>
      <c r="VZ34" s="232"/>
      <c r="WA34" s="232"/>
      <c r="WB34" s="232"/>
      <c r="WC34" s="232"/>
      <c r="WD34" s="232"/>
      <c r="WE34" s="232"/>
      <c r="WF34" s="232"/>
      <c r="WG34" s="232"/>
      <c r="WH34" s="232"/>
      <c r="WI34" s="232"/>
      <c r="WJ34" s="232"/>
      <c r="WK34" s="232"/>
      <c r="WL34" s="232"/>
      <c r="WM34" s="232"/>
      <c r="WN34" s="232"/>
      <c r="WO34" s="232"/>
      <c r="WP34" s="232"/>
      <c r="WQ34" s="232"/>
      <c r="WR34" s="232"/>
      <c r="WS34" s="232"/>
      <c r="WT34" s="232"/>
      <c r="WU34" s="232"/>
      <c r="WV34" s="232"/>
      <c r="WW34" s="232"/>
      <c r="WX34" s="232"/>
      <c r="WY34" s="232"/>
      <c r="WZ34" s="232"/>
      <c r="XA34" s="232"/>
      <c r="XB34" s="232"/>
      <c r="XC34" s="232"/>
      <c r="XD34" s="232"/>
      <c r="XE34" s="232"/>
      <c r="XF34" s="232"/>
      <c r="XG34" s="232"/>
      <c r="XH34" s="232"/>
      <c r="XI34" s="232"/>
      <c r="XJ34" s="232"/>
      <c r="XK34" s="232"/>
      <c r="XL34" s="232"/>
      <c r="XM34" s="232"/>
      <c r="XN34" s="232"/>
      <c r="XO34" s="232"/>
      <c r="XP34" s="232"/>
      <c r="XQ34" s="232"/>
      <c r="XR34" s="232"/>
      <c r="XS34" s="232"/>
      <c r="XT34" s="232"/>
      <c r="XU34" s="232"/>
      <c r="XV34" s="232"/>
      <c r="XW34" s="232"/>
      <c r="XX34" s="232"/>
      <c r="XY34" s="232"/>
      <c r="XZ34" s="232"/>
      <c r="YA34" s="232"/>
      <c r="YB34" s="232"/>
      <c r="YC34" s="232"/>
      <c r="YD34" s="232"/>
      <c r="YE34" s="232"/>
      <c r="YF34" s="232"/>
      <c r="YG34" s="232"/>
      <c r="YH34" s="232"/>
      <c r="YI34" s="232"/>
      <c r="YJ34" s="232"/>
      <c r="YK34" s="232"/>
      <c r="YL34" s="232"/>
      <c r="YM34" s="232"/>
      <c r="YN34" s="232"/>
      <c r="YO34" s="232"/>
      <c r="YP34" s="232"/>
      <c r="YQ34" s="232"/>
      <c r="YR34" s="232"/>
      <c r="YS34" s="232"/>
      <c r="YT34" s="232"/>
      <c r="YU34" s="232"/>
      <c r="YV34" s="232"/>
      <c r="YW34" s="232"/>
      <c r="YX34" s="232"/>
      <c r="YY34" s="232"/>
      <c r="YZ34" s="232"/>
      <c r="ZA34" s="232"/>
      <c r="ZB34" s="232"/>
      <c r="ZC34" s="232"/>
      <c r="ZD34" s="232"/>
      <c r="ZE34" s="232"/>
      <c r="ZF34" s="232"/>
      <c r="ZG34" s="232"/>
      <c r="ZH34" s="232"/>
      <c r="ZI34" s="232"/>
      <c r="ZJ34" s="232"/>
      <c r="ZK34" s="232"/>
      <c r="ZL34" s="232"/>
      <c r="ZM34" s="232"/>
      <c r="ZN34" s="232"/>
      <c r="ZO34" s="232"/>
      <c r="ZP34" s="232"/>
      <c r="ZQ34" s="232"/>
      <c r="ZR34" s="232"/>
      <c r="ZS34" s="232"/>
      <c r="ZT34" s="232"/>
      <c r="ZU34" s="232"/>
      <c r="ZV34" s="232"/>
      <c r="ZW34" s="232"/>
      <c r="ZX34" s="232"/>
      <c r="ZY34" s="232"/>
      <c r="ZZ34" s="232"/>
      <c r="AAA34" s="232"/>
      <c r="AAB34" s="232"/>
      <c r="AAC34" s="232"/>
      <c r="AAD34" s="232"/>
      <c r="AAE34" s="232"/>
      <c r="AAF34" s="232"/>
      <c r="AAG34" s="232"/>
      <c r="AAH34" s="232"/>
      <c r="AAI34" s="232"/>
      <c r="AAJ34" s="232"/>
      <c r="AAK34" s="232"/>
      <c r="AAL34" s="232"/>
      <c r="AAM34" s="232"/>
      <c r="AAN34" s="232"/>
      <c r="AAO34" s="232"/>
      <c r="AAP34" s="232"/>
      <c r="AAQ34" s="232"/>
      <c r="AAR34" s="232"/>
      <c r="AAS34" s="232"/>
      <c r="AAT34" s="232"/>
      <c r="AAU34" s="232"/>
      <c r="AAV34" s="232"/>
      <c r="AAW34" s="232"/>
      <c r="AAX34" s="232"/>
      <c r="AAY34" s="232"/>
      <c r="AAZ34" s="232"/>
      <c r="ABA34" s="232"/>
      <c r="ABB34" s="232"/>
      <c r="ABC34" s="232"/>
      <c r="ABD34" s="232"/>
      <c r="ABE34" s="232"/>
      <c r="ABF34" s="232"/>
      <c r="ABG34" s="232"/>
      <c r="ABH34" s="232"/>
      <c r="ABI34" s="232"/>
      <c r="ABJ34" s="232"/>
      <c r="ABK34" s="232"/>
      <c r="ABL34" s="232"/>
      <c r="ABM34" s="232"/>
      <c r="ABN34" s="232"/>
      <c r="ABO34" s="232"/>
      <c r="ABP34" s="232"/>
      <c r="ABQ34" s="232"/>
      <c r="ABR34" s="232"/>
      <c r="ABS34" s="232"/>
      <c r="ABT34" s="232"/>
      <c r="ABU34" s="232"/>
      <c r="ABV34" s="232"/>
      <c r="ABW34" s="232"/>
      <c r="ABX34" s="232"/>
      <c r="ABY34" s="232"/>
      <c r="ABZ34" s="232"/>
      <c r="ACA34" s="232"/>
      <c r="ACB34" s="232"/>
      <c r="ACC34" s="232"/>
      <c r="ACD34" s="232"/>
      <c r="ACE34" s="232"/>
      <c r="ACF34" s="232"/>
      <c r="ACG34" s="232"/>
      <c r="ACH34" s="232"/>
      <c r="ACI34" s="232"/>
      <c r="ACJ34" s="232"/>
      <c r="ACK34" s="232"/>
      <c r="ACL34" s="232"/>
      <c r="ACM34" s="232"/>
      <c r="ACN34" s="232"/>
      <c r="ACO34" s="232"/>
      <c r="ACP34" s="232"/>
      <c r="ACQ34" s="232"/>
      <c r="ACR34" s="232"/>
      <c r="ACS34" s="232"/>
      <c r="ACT34" s="232"/>
      <c r="ACU34" s="232"/>
      <c r="ACV34" s="232"/>
      <c r="ACW34" s="232"/>
      <c r="ACX34" s="232"/>
      <c r="ACY34" s="232"/>
      <c r="ACZ34" s="232"/>
      <c r="ADA34" s="232"/>
      <c r="ADB34" s="232"/>
      <c r="ADC34" s="232"/>
      <c r="ADD34" s="232"/>
      <c r="ADE34" s="232"/>
      <c r="ADF34" s="232"/>
      <c r="ADG34" s="232"/>
      <c r="ADH34" s="232"/>
      <c r="ADI34" s="232"/>
      <c r="ADJ34" s="232"/>
      <c r="ADK34" s="232"/>
      <c r="ADL34" s="232"/>
      <c r="ADM34" s="232"/>
      <c r="ADN34" s="232"/>
      <c r="ADO34" s="232"/>
      <c r="ADP34" s="232"/>
      <c r="ADQ34" s="232"/>
      <c r="ADR34" s="232"/>
      <c r="ADS34" s="232"/>
      <c r="ADT34" s="232"/>
      <c r="ADU34" s="232"/>
      <c r="ADV34" s="232"/>
      <c r="ADW34" s="232"/>
      <c r="ADX34" s="232"/>
      <c r="ADY34" s="232"/>
      <c r="ADZ34" s="232"/>
      <c r="AEA34" s="232"/>
      <c r="AEB34" s="232"/>
      <c r="AEC34" s="232"/>
      <c r="AED34" s="232"/>
      <c r="AEE34" s="232"/>
      <c r="AEF34" s="232"/>
      <c r="AEG34" s="232"/>
      <c r="AEH34" s="232"/>
      <c r="AEI34" s="232"/>
      <c r="AEJ34" s="232"/>
      <c r="AEK34" s="232"/>
      <c r="AEL34" s="232"/>
      <c r="AEM34" s="232"/>
      <c r="AEN34" s="232"/>
      <c r="AEO34" s="232"/>
      <c r="AEP34" s="232"/>
      <c r="AEQ34" s="232"/>
      <c r="AER34" s="232"/>
      <c r="AES34" s="232"/>
      <c r="AET34" s="232"/>
      <c r="AEU34" s="232"/>
      <c r="AEV34" s="232"/>
      <c r="AEW34" s="232"/>
      <c r="AEX34" s="232"/>
      <c r="AEY34" s="232"/>
      <c r="AEZ34" s="232"/>
      <c r="AFA34" s="232"/>
      <c r="AFB34" s="232"/>
      <c r="AFC34" s="232"/>
      <c r="AFD34" s="232"/>
      <c r="AFE34" s="232"/>
      <c r="AFF34" s="232"/>
      <c r="AFG34" s="232"/>
      <c r="AFH34" s="232"/>
      <c r="AFI34" s="232"/>
      <c r="AFJ34" s="232"/>
      <c r="AFK34" s="232"/>
      <c r="AFL34" s="232"/>
      <c r="AFM34" s="232"/>
      <c r="AFN34" s="232"/>
      <c r="AFO34" s="232"/>
      <c r="AFP34" s="232"/>
      <c r="AFQ34" s="232"/>
      <c r="AFR34" s="232"/>
      <c r="AFS34" s="232"/>
      <c r="AFT34" s="232"/>
      <c r="AFU34" s="232"/>
      <c r="AFV34" s="232"/>
      <c r="AFW34" s="232"/>
      <c r="AFX34" s="232"/>
      <c r="AFY34" s="232"/>
      <c r="AFZ34" s="232"/>
      <c r="AGA34" s="232"/>
      <c r="AGB34" s="232"/>
      <c r="AGC34" s="232"/>
      <c r="AGD34" s="232"/>
      <c r="AGE34" s="232"/>
      <c r="AGF34" s="232"/>
      <c r="AGG34" s="232"/>
      <c r="AGH34" s="232"/>
      <c r="AGI34" s="232"/>
      <c r="AGJ34" s="232"/>
      <c r="AGK34" s="232"/>
      <c r="AGL34" s="232"/>
      <c r="AGM34" s="232"/>
      <c r="AGN34" s="232"/>
      <c r="AGO34" s="232"/>
      <c r="AGP34" s="232"/>
      <c r="AGQ34" s="232"/>
      <c r="AGR34" s="232"/>
      <c r="AGS34" s="232"/>
      <c r="AGT34" s="232"/>
      <c r="AGU34" s="232"/>
      <c r="AGV34" s="232"/>
      <c r="AGW34" s="232"/>
      <c r="AGX34" s="232"/>
      <c r="AGY34" s="232"/>
      <c r="AGZ34" s="232"/>
      <c r="AHA34" s="232"/>
      <c r="AHB34" s="232"/>
      <c r="AHC34" s="232"/>
      <c r="AHD34" s="232"/>
      <c r="AHE34" s="232"/>
      <c r="AHF34" s="232"/>
      <c r="AHG34" s="232"/>
      <c r="AHH34" s="232"/>
      <c r="AHI34" s="232"/>
      <c r="AHJ34" s="232"/>
      <c r="AHK34" s="232"/>
      <c r="AHL34" s="232"/>
      <c r="AHM34" s="232"/>
      <c r="AHN34" s="232"/>
      <c r="AHO34" s="232"/>
      <c r="AHP34" s="232"/>
      <c r="AHQ34" s="232"/>
      <c r="AHR34" s="232"/>
      <c r="AHS34" s="232"/>
      <c r="AHT34" s="232"/>
      <c r="AHU34" s="232"/>
      <c r="AHV34" s="232"/>
      <c r="AHW34" s="232"/>
      <c r="AHX34" s="232"/>
      <c r="AHY34" s="232"/>
      <c r="AHZ34" s="232"/>
      <c r="AIA34" s="232"/>
      <c r="AIB34" s="232"/>
      <c r="AIC34" s="232"/>
      <c r="AID34" s="232"/>
      <c r="AIE34" s="232"/>
      <c r="AIF34" s="232"/>
      <c r="AIG34" s="232"/>
      <c r="AIH34" s="232"/>
      <c r="AII34" s="232"/>
      <c r="AIJ34" s="232"/>
      <c r="AIK34" s="232"/>
      <c r="AIL34" s="232"/>
      <c r="AIM34" s="232"/>
      <c r="AIN34" s="232"/>
      <c r="AIO34" s="232"/>
      <c r="AIP34" s="232"/>
      <c r="AIQ34" s="232"/>
      <c r="AIR34" s="232"/>
      <c r="AIS34" s="232"/>
      <c r="AIT34" s="232"/>
      <c r="AIU34" s="232"/>
      <c r="AIV34" s="232"/>
      <c r="AIW34" s="232"/>
      <c r="AIX34" s="232"/>
      <c r="AIY34" s="232"/>
      <c r="AIZ34" s="232"/>
      <c r="AJA34" s="232"/>
      <c r="AJB34" s="232"/>
      <c r="AJC34" s="232"/>
      <c r="AJD34" s="232"/>
      <c r="AJE34" s="232"/>
      <c r="AJF34" s="232"/>
      <c r="AJG34" s="232"/>
      <c r="AJH34" s="232"/>
      <c r="AJI34" s="232"/>
      <c r="AJJ34" s="232"/>
      <c r="AJK34" s="232"/>
      <c r="AJL34" s="232"/>
      <c r="AJM34" s="232"/>
      <c r="AJN34" s="232"/>
      <c r="AJO34" s="232"/>
      <c r="AJP34" s="232"/>
      <c r="AJQ34" s="232"/>
      <c r="AJR34" s="232"/>
      <c r="AJS34" s="232"/>
      <c r="AJT34" s="232"/>
      <c r="AJU34" s="232"/>
      <c r="AJV34" s="232"/>
      <c r="AJW34" s="232"/>
      <c r="AJX34" s="232"/>
      <c r="AJY34" s="232"/>
      <c r="AJZ34" s="232"/>
      <c r="AKA34" s="232"/>
      <c r="AKB34" s="232"/>
      <c r="AKC34" s="232"/>
      <c r="AKD34" s="232"/>
      <c r="AKE34" s="232"/>
      <c r="AKF34" s="232"/>
      <c r="AKG34" s="232"/>
      <c r="AKH34" s="232"/>
      <c r="AKI34" s="232"/>
      <c r="AKJ34" s="232"/>
      <c r="AKK34" s="232"/>
      <c r="AKL34" s="232"/>
      <c r="AKM34" s="232"/>
      <c r="AKN34" s="232"/>
      <c r="AKO34" s="232"/>
      <c r="AKP34" s="232"/>
      <c r="AKQ34" s="232"/>
      <c r="AKR34" s="232"/>
      <c r="AKS34" s="232"/>
      <c r="AKT34" s="232"/>
      <c r="AKU34" s="232"/>
      <c r="AKV34" s="232"/>
      <c r="AKW34" s="232"/>
      <c r="AKX34" s="232"/>
      <c r="AKY34" s="232"/>
      <c r="AKZ34" s="232"/>
      <c r="ALA34" s="232"/>
      <c r="ALB34" s="232"/>
      <c r="ALC34" s="232"/>
      <c r="ALD34" s="232"/>
      <c r="ALE34" s="232"/>
      <c r="ALF34" s="232"/>
      <c r="ALG34" s="232"/>
      <c r="ALH34" s="232"/>
      <c r="ALI34" s="232"/>
      <c r="ALJ34" s="232"/>
      <c r="ALK34" s="232"/>
      <c r="ALL34" s="232"/>
      <c r="ALM34" s="232"/>
      <c r="ALN34" s="232"/>
      <c r="ALO34" s="232"/>
      <c r="ALP34" s="232"/>
      <c r="ALQ34" s="232"/>
      <c r="ALR34" s="232"/>
      <c r="ALS34" s="232"/>
      <c r="ALT34" s="232"/>
      <c r="ALU34" s="232"/>
      <c r="ALV34" s="232"/>
      <c r="ALW34" s="232"/>
      <c r="ALX34" s="232"/>
      <c r="ALY34" s="232"/>
      <c r="ALZ34" s="232"/>
      <c r="AMA34" s="232"/>
      <c r="AMB34" s="232"/>
      <c r="AMC34" s="232"/>
      <c r="AMD34" s="232"/>
      <c r="AME34" s="232"/>
      <c r="AMF34" s="232"/>
      <c r="AMG34" s="232"/>
      <c r="AMH34" s="232"/>
      <c r="AMI34" s="232"/>
      <c r="AMJ34" s="232"/>
      <c r="AMK34" s="232"/>
      <c r="AML34" s="232"/>
      <c r="AMM34" s="232"/>
      <c r="AMN34" s="232"/>
      <c r="AMO34" s="232"/>
      <c r="AMP34" s="232"/>
      <c r="AMQ34" s="232"/>
      <c r="AMR34" s="232"/>
      <c r="AMS34" s="232"/>
      <c r="AMT34" s="232"/>
      <c r="AMU34" s="232"/>
      <c r="AMV34" s="232"/>
      <c r="AMW34" s="232"/>
      <c r="AMX34" s="232"/>
      <c r="AMY34" s="232"/>
      <c r="AMZ34" s="232"/>
      <c r="ANA34" s="232"/>
      <c r="ANB34" s="232"/>
      <c r="ANC34" s="232"/>
      <c r="AND34" s="232"/>
      <c r="ANE34" s="232"/>
      <c r="ANF34" s="232"/>
      <c r="ANG34" s="232"/>
      <c r="ANH34" s="232"/>
      <c r="ANI34" s="232"/>
      <c r="ANJ34" s="232"/>
      <c r="ANK34" s="232"/>
      <c r="ANL34" s="232"/>
      <c r="ANM34" s="232"/>
      <c r="ANN34" s="232"/>
      <c r="ANO34" s="232"/>
      <c r="ANP34" s="232"/>
      <c r="ANQ34" s="232"/>
      <c r="ANR34" s="232"/>
      <c r="ANS34" s="232"/>
      <c r="ANT34" s="232"/>
      <c r="ANU34" s="232"/>
      <c r="ANV34" s="232"/>
      <c r="ANW34" s="232"/>
      <c r="ANX34" s="232"/>
      <c r="ANY34" s="232"/>
      <c r="ANZ34" s="232"/>
      <c r="AOA34" s="232"/>
      <c r="AOB34" s="232"/>
      <c r="AOC34" s="232"/>
      <c r="AOD34" s="232"/>
      <c r="AOE34" s="232"/>
      <c r="AOF34" s="232"/>
      <c r="AOG34" s="232"/>
      <c r="AOH34" s="232"/>
      <c r="AOI34" s="232"/>
      <c r="AOJ34" s="232"/>
      <c r="AOK34" s="232"/>
      <c r="AOL34" s="232"/>
      <c r="AOM34" s="232"/>
      <c r="AON34" s="232"/>
      <c r="AOO34" s="232"/>
      <c r="AOP34" s="232"/>
      <c r="AOQ34" s="232"/>
      <c r="AOR34" s="232"/>
      <c r="AOS34" s="232"/>
      <c r="AOT34" s="232"/>
      <c r="AOU34" s="232"/>
      <c r="AOV34" s="232"/>
      <c r="AOW34" s="232"/>
      <c r="AOX34" s="232"/>
      <c r="AOY34" s="232"/>
      <c r="AOZ34" s="232"/>
      <c r="APA34" s="232"/>
      <c r="APB34" s="232"/>
      <c r="APC34" s="232"/>
      <c r="APD34" s="232"/>
      <c r="APE34" s="232"/>
      <c r="APF34" s="232"/>
      <c r="APG34" s="232"/>
      <c r="APH34" s="232"/>
      <c r="API34" s="232"/>
      <c r="APJ34" s="232"/>
      <c r="APK34" s="232"/>
      <c r="APL34" s="232"/>
      <c r="APM34" s="232"/>
      <c r="APN34" s="232"/>
      <c r="APO34" s="232"/>
      <c r="APP34" s="232"/>
      <c r="APQ34" s="232"/>
      <c r="APR34" s="232"/>
      <c r="APS34" s="232"/>
      <c r="APT34" s="232"/>
      <c r="APU34" s="232"/>
    </row>
    <row r="35" spans="1:1113" s="232" customFormat="1" ht="30" hidden="1" customHeight="1" x14ac:dyDescent="0.25">
      <c r="A35" s="289">
        <v>1</v>
      </c>
      <c r="B35" s="11" t="s">
        <v>446</v>
      </c>
      <c r="C35" s="290"/>
      <c r="D35" s="10">
        <v>18</v>
      </c>
      <c r="E35" s="291">
        <v>0.7</v>
      </c>
      <c r="F35" s="291">
        <v>0.3</v>
      </c>
      <c r="G35" s="292">
        <f>$P$10-$R$17</f>
        <v>4</v>
      </c>
      <c r="H35" s="291" t="e">
        <f>+D35*E35*F35*(G35-#REF!)</f>
        <v>#REF!</v>
      </c>
      <c r="I35" s="291">
        <f>+IF(+AND(E35&gt;0.3,E35&lt;=0.75,F35&gt;0.3),($D35*($E35+$F35)*2*($G35-#REF!)),0)</f>
        <v>0</v>
      </c>
      <c r="J35" s="291" t="e">
        <f>+IF(+AND(E35&gt;0.3,E35&lt;=0.75,F35&lt;=0.3),($D35*($E35+$F35)*2*($G35-#REF!)),0)</f>
        <v>#REF!</v>
      </c>
      <c r="K35" s="291">
        <f>+IF(+AND(E35&gt;0.75,E35&lt;=1.2,F35&gt;0),($D35*($E35+$F35)*2*($G35-#REF!)),0)</f>
        <v>0</v>
      </c>
      <c r="L35" s="291">
        <f>+IF(+AND(E35&gt;1.2,F35&gt;0),($D35*($E35+$F35)*2*($G35-#REF!)),0)</f>
        <v>0</v>
      </c>
      <c r="M35" s="291" t="e">
        <f t="shared" ref="M35:M36" si="12">SUM(I35:L35)</f>
        <v>#REF!</v>
      </c>
      <c r="N35" s="291">
        <f>ROUNDUP(E35/0.6,0)*ROUNDUP(G35/0.6,0)*D35</f>
        <v>252</v>
      </c>
      <c r="O35" s="291">
        <f t="shared" ref="O35:Q36" si="13">D35</f>
        <v>18</v>
      </c>
      <c r="P35" s="291">
        <f t="shared" si="13"/>
        <v>0.7</v>
      </c>
      <c r="Q35" s="291">
        <f t="shared" si="13"/>
        <v>0.3</v>
      </c>
      <c r="R35" s="291">
        <f>$R$9-$R$10</f>
        <v>4</v>
      </c>
      <c r="S35" s="291">
        <f>+O35*P35*Q35*R35</f>
        <v>15.12</v>
      </c>
      <c r="T35" s="291">
        <f>+IF(+AND(P35&gt;0.3,P35&lt;=0.75,Q35&gt;0.3),(O35*(P35+Q35)*2*(R35-$E$11)),0)</f>
        <v>0</v>
      </c>
      <c r="U35" s="291">
        <f>+IF(+AND(P35&gt;0.3,P35&lt;=0.75,Q35&lt;=0.3),(O35*(P35+Q35)*2*(R35-$E$11)),0)</f>
        <v>119.7</v>
      </c>
      <c r="V35" s="291">
        <f>+IF(+AND(P35&gt;0.75,P35&lt;=1.2,Q35&gt;0),(O35*(P35+Q35)*2*(R35-$E$11)),0)</f>
        <v>0</v>
      </c>
      <c r="W35" s="291">
        <f>+IF(+AND(P35&gt;1.2,Q35&gt;0),(O35*(P35+Q35)*2*(R35-$E$11)),0)</f>
        <v>0</v>
      </c>
      <c r="X35" s="291">
        <f t="shared" ref="X35:X36" si="14">SUM(T35:W35)</f>
        <v>119.7</v>
      </c>
      <c r="Y35" s="291">
        <f t="shared" ref="Y35:Y36" si="15">ROUNDUP(P35/0.6,0)*ROUNDUP(R35/0.6,0)*O35</f>
        <v>252</v>
      </c>
      <c r="Z35" s="291">
        <f>O35</f>
        <v>18</v>
      </c>
      <c r="AA35" s="291">
        <f>+E35</f>
        <v>0.7</v>
      </c>
      <c r="AB35" s="291">
        <f>+F35</f>
        <v>0.3</v>
      </c>
      <c r="AC35" s="291">
        <f>P19</f>
        <v>4</v>
      </c>
      <c r="AD35" s="291">
        <f>+Z35*AA35*AB35*AC35</f>
        <v>15.12</v>
      </c>
      <c r="AE35" s="291">
        <f t="shared" ref="AE35:AE36" si="16">+IF(+AND(AA35&gt;0.3,AA35&lt;=0.75,AB35&gt;0.3),(Z35*(AA35+AB35)*2*(AC35-$E$11)),0)</f>
        <v>0</v>
      </c>
      <c r="AF35" s="291">
        <f>+IF(+AND(AA35&gt;0.3,AA35&lt;=0.75,AB35&lt;=0.3),(Z35*(AA35+AB35)*2*(AC35-$E$11)),0)</f>
        <v>119.7</v>
      </c>
      <c r="AG35" s="291">
        <f t="shared" ref="AG35:AG36" si="17">+IF(+AND(AA35&gt;0.75,AA35&lt;=1.2,AB35&gt;0),(Z35*(AA35+AB35)*2*(AC35-$E$11)),0)</f>
        <v>0</v>
      </c>
      <c r="AH35" s="291">
        <f t="shared" ref="AH35:AH36" si="18">+IF(+AND(AA35&gt;1.2,AB35&gt;0),(Z35*(AA35+AB35)*2*(AC35-$E$11)),0)</f>
        <v>0</v>
      </c>
      <c r="AI35" s="291">
        <f t="shared" ref="AI35:AI36" si="19">SUM(AE35:AH35)</f>
        <v>119.7</v>
      </c>
      <c r="AJ35" s="291">
        <f t="shared" ref="AJ35:AJ36" si="20">ROUNDUP(AA35/0.6,0)*ROUNDUP(AC35/0.6,0)*Z35</f>
        <v>252</v>
      </c>
      <c r="AL35" s="232">
        <f>+ROUNDUP((O35)/5,0)</f>
        <v>4</v>
      </c>
      <c r="AM35" s="293">
        <f>AL35*(2*(P35+Q35)*2.44)</f>
        <v>19.52</v>
      </c>
      <c r="AN35" s="215"/>
      <c r="AO35" s="215">
        <v>0.8</v>
      </c>
      <c r="AP35" s="215"/>
      <c r="AQ35" s="215"/>
      <c r="AR35" s="215"/>
      <c r="AS35" s="215"/>
      <c r="AT35" s="215"/>
      <c r="AU35" s="215"/>
      <c r="AV35" s="215"/>
      <c r="AW35" s="215"/>
      <c r="AX35" s="215"/>
      <c r="AY35" s="215"/>
      <c r="AZ35" s="291"/>
      <c r="BA35" s="215"/>
      <c r="BB35" s="215"/>
      <c r="BC35" s="215"/>
      <c r="BD35" s="215"/>
      <c r="BE35" s="215"/>
      <c r="BF35" s="215"/>
      <c r="BG35" s="215"/>
      <c r="BH35" s="215"/>
      <c r="BI35" s="215"/>
      <c r="BJ35" s="215"/>
      <c r="BK35" s="215"/>
      <c r="BL35" s="215"/>
      <c r="BM35" s="215"/>
      <c r="BN35" s="215"/>
      <c r="BO35" s="215"/>
      <c r="BP35" s="215"/>
      <c r="BQ35" s="215"/>
      <c r="BR35" s="215"/>
      <c r="BS35" s="215"/>
      <c r="BT35" s="215"/>
      <c r="BU35" s="215"/>
      <c r="BV35" s="215"/>
      <c r="BW35" s="215"/>
      <c r="BX35" s="215"/>
      <c r="BY35" s="215"/>
      <c r="BZ35" s="215"/>
      <c r="CA35" s="215"/>
      <c r="CB35" s="215"/>
      <c r="CC35" s="215"/>
      <c r="CD35" s="215"/>
      <c r="CE35" s="215"/>
      <c r="CF35" s="215"/>
      <c r="CG35" s="215"/>
      <c r="CH35" s="215"/>
      <c r="CI35" s="215"/>
      <c r="CJ35" s="215"/>
      <c r="CK35" s="215"/>
      <c r="CL35" s="215"/>
      <c r="CM35" s="215"/>
      <c r="CN35" s="215"/>
      <c r="CO35" s="215"/>
      <c r="CP35" s="215"/>
      <c r="CQ35" s="215"/>
      <c r="CR35" s="215"/>
      <c r="CS35" s="215"/>
      <c r="CT35" s="215"/>
      <c r="CU35" s="215"/>
      <c r="CV35" s="215"/>
      <c r="CW35" s="215"/>
      <c r="CX35" s="215"/>
      <c r="CY35" s="215"/>
      <c r="CZ35" s="215"/>
      <c r="DA35" s="215"/>
      <c r="DB35" s="215"/>
      <c r="DC35" s="215"/>
      <c r="DD35" s="215"/>
      <c r="DE35" s="215"/>
      <c r="DF35" s="215"/>
      <c r="DG35" s="215"/>
      <c r="DH35" s="215"/>
      <c r="DI35" s="215"/>
      <c r="DJ35" s="215"/>
      <c r="DK35" s="215"/>
      <c r="DL35" s="215"/>
      <c r="DM35" s="215"/>
      <c r="DN35" s="215"/>
      <c r="DO35" s="215"/>
      <c r="DP35" s="215"/>
      <c r="DQ35" s="215"/>
      <c r="DR35" s="215"/>
      <c r="DS35" s="215"/>
      <c r="DT35" s="215"/>
      <c r="DU35" s="215"/>
      <c r="DV35" s="215"/>
      <c r="DW35" s="215"/>
      <c r="DX35" s="215"/>
      <c r="DY35" s="215"/>
      <c r="DZ35" s="215"/>
      <c r="EA35" s="215"/>
      <c r="EB35" s="215"/>
      <c r="EC35" s="215"/>
      <c r="ED35" s="215"/>
      <c r="EE35" s="215"/>
      <c r="EF35" s="215"/>
      <c r="EG35" s="215"/>
      <c r="EH35" s="215"/>
      <c r="EI35" s="215"/>
      <c r="EJ35" s="215"/>
      <c r="EK35" s="215"/>
      <c r="EL35" s="215"/>
      <c r="EM35" s="215"/>
      <c r="EN35" s="215"/>
      <c r="EO35" s="215"/>
      <c r="EP35" s="215"/>
      <c r="EQ35" s="215"/>
      <c r="ER35" s="215"/>
      <c r="ES35" s="215"/>
      <c r="ET35" s="215"/>
      <c r="EU35" s="215"/>
      <c r="EV35" s="215"/>
      <c r="EW35" s="215"/>
      <c r="EX35" s="215"/>
      <c r="EY35" s="215"/>
      <c r="EZ35" s="215"/>
      <c r="FA35" s="215"/>
      <c r="FB35" s="215"/>
      <c r="FC35" s="215"/>
      <c r="FD35" s="215"/>
      <c r="FE35" s="215"/>
      <c r="FF35" s="215"/>
      <c r="FG35" s="215"/>
      <c r="FH35" s="215"/>
      <c r="FI35" s="215"/>
      <c r="FJ35" s="215"/>
      <c r="FK35" s="215"/>
      <c r="FL35" s="215"/>
      <c r="FM35" s="215"/>
      <c r="FN35" s="215"/>
      <c r="FO35" s="215"/>
      <c r="FP35" s="215"/>
      <c r="FQ35" s="215"/>
      <c r="FR35" s="215"/>
      <c r="FS35" s="215"/>
      <c r="FT35" s="215"/>
      <c r="FU35" s="215"/>
      <c r="FV35" s="215"/>
      <c r="FW35" s="215"/>
      <c r="FX35" s="215"/>
      <c r="FY35" s="215"/>
      <c r="FZ35" s="215"/>
      <c r="GA35" s="215"/>
      <c r="GB35" s="215"/>
      <c r="GC35" s="215"/>
      <c r="GD35" s="215"/>
      <c r="GE35" s="215"/>
      <c r="GF35" s="215"/>
      <c r="GG35" s="215"/>
      <c r="GH35" s="215"/>
      <c r="GI35" s="215"/>
      <c r="GJ35" s="215"/>
      <c r="GK35" s="215"/>
      <c r="GL35" s="215"/>
      <c r="GM35" s="215"/>
      <c r="GN35" s="215"/>
      <c r="GO35" s="215"/>
      <c r="GP35" s="215"/>
      <c r="GQ35" s="215"/>
      <c r="GR35" s="215"/>
      <c r="GS35" s="215"/>
      <c r="GT35" s="215"/>
      <c r="GU35" s="215"/>
      <c r="GV35" s="215"/>
      <c r="GW35" s="215"/>
      <c r="GX35" s="215"/>
      <c r="GY35" s="215"/>
      <c r="GZ35" s="215"/>
      <c r="HA35" s="215"/>
      <c r="HB35" s="215"/>
      <c r="HC35" s="215"/>
      <c r="HD35" s="215"/>
      <c r="HE35" s="215"/>
      <c r="HF35" s="215"/>
      <c r="HG35" s="215"/>
      <c r="HH35" s="215"/>
      <c r="HI35" s="215"/>
      <c r="HJ35" s="215"/>
      <c r="HK35" s="215"/>
      <c r="HL35" s="215"/>
      <c r="HM35" s="215"/>
      <c r="HN35" s="215"/>
      <c r="HO35" s="215"/>
      <c r="HP35" s="215"/>
      <c r="HQ35" s="215"/>
      <c r="HR35" s="215"/>
      <c r="HS35" s="215"/>
      <c r="HT35" s="215"/>
      <c r="HU35" s="215"/>
      <c r="HV35" s="215"/>
      <c r="HW35" s="215"/>
      <c r="HX35" s="215"/>
      <c r="HY35" s="215"/>
      <c r="HZ35" s="215"/>
      <c r="IA35" s="215"/>
      <c r="IB35" s="215"/>
      <c r="IC35" s="215"/>
      <c r="ID35" s="215"/>
      <c r="IE35" s="215"/>
      <c r="IF35" s="215"/>
      <c r="IG35" s="215"/>
      <c r="IH35" s="215"/>
      <c r="II35" s="215"/>
      <c r="IJ35" s="215"/>
      <c r="IK35" s="215"/>
      <c r="IL35" s="215"/>
      <c r="IM35" s="215"/>
      <c r="IN35" s="215"/>
      <c r="IO35" s="215"/>
      <c r="IP35" s="215"/>
      <c r="IQ35" s="215"/>
      <c r="IR35" s="215"/>
      <c r="IS35" s="215"/>
      <c r="IT35" s="215"/>
      <c r="IU35" s="215"/>
      <c r="IV35" s="215"/>
      <c r="IW35" s="215"/>
      <c r="IX35" s="215"/>
      <c r="IY35" s="215"/>
      <c r="IZ35" s="215"/>
      <c r="JA35" s="215"/>
      <c r="JB35" s="215"/>
      <c r="JC35" s="215"/>
      <c r="JD35" s="215"/>
      <c r="JE35" s="215"/>
      <c r="JF35" s="215"/>
      <c r="JG35" s="215"/>
      <c r="JH35" s="215"/>
      <c r="JI35" s="215"/>
      <c r="JJ35" s="215"/>
      <c r="JK35" s="215"/>
      <c r="JL35" s="215"/>
      <c r="JM35" s="215"/>
      <c r="JN35" s="215"/>
      <c r="JO35" s="215"/>
      <c r="JP35" s="215"/>
      <c r="JQ35" s="215"/>
      <c r="JR35" s="215"/>
      <c r="JS35" s="215"/>
      <c r="JT35" s="215"/>
      <c r="JU35" s="215"/>
      <c r="JV35" s="215"/>
      <c r="JW35" s="215"/>
      <c r="JX35" s="215"/>
      <c r="JY35" s="215"/>
      <c r="JZ35" s="215"/>
      <c r="KA35" s="215"/>
      <c r="KB35" s="215"/>
      <c r="KC35" s="215"/>
      <c r="KD35" s="215"/>
      <c r="KE35" s="215"/>
      <c r="KF35" s="215"/>
      <c r="KG35" s="215"/>
      <c r="KH35" s="215"/>
      <c r="KI35" s="215"/>
      <c r="KJ35" s="215"/>
      <c r="KK35" s="215"/>
      <c r="KL35" s="215"/>
      <c r="KM35" s="215"/>
      <c r="KN35" s="215"/>
      <c r="KO35" s="215"/>
      <c r="KP35" s="215"/>
      <c r="KQ35" s="215"/>
      <c r="KR35" s="215"/>
      <c r="KS35" s="215"/>
      <c r="KT35" s="215"/>
      <c r="KU35" s="215"/>
      <c r="KV35" s="215"/>
      <c r="KW35" s="215"/>
      <c r="KX35" s="215"/>
      <c r="KY35" s="215"/>
      <c r="KZ35" s="215"/>
      <c r="LA35" s="215"/>
      <c r="LB35" s="215"/>
      <c r="LC35" s="215"/>
      <c r="LD35" s="215"/>
      <c r="LE35" s="215"/>
      <c r="LF35" s="215"/>
      <c r="LG35" s="215"/>
      <c r="LH35" s="215"/>
      <c r="LI35" s="215"/>
      <c r="LJ35" s="215"/>
      <c r="LK35" s="215"/>
    </row>
    <row r="36" spans="1:1113" s="232" customFormat="1" ht="30" hidden="1" customHeight="1" x14ac:dyDescent="0.25">
      <c r="A36" s="289">
        <v>1</v>
      </c>
      <c r="B36" s="11" t="s">
        <v>447</v>
      </c>
      <c r="C36" s="290"/>
      <c r="D36" s="10">
        <v>24</v>
      </c>
      <c r="E36" s="291">
        <v>0.6</v>
      </c>
      <c r="F36" s="291">
        <v>0.4</v>
      </c>
      <c r="G36" s="292">
        <f>$P$10-$R$17</f>
        <v>4</v>
      </c>
      <c r="H36" s="291" t="e">
        <f>+D36*E36*F36*(G36-#REF!)</f>
        <v>#REF!</v>
      </c>
      <c r="I36" s="291" t="e">
        <f>+IF(+AND(E36&gt;0.3,E36&lt;=0.75,F36&gt;0.3),($D36*($E36+$F36)*2*($G36-#REF!)),0)</f>
        <v>#REF!</v>
      </c>
      <c r="J36" s="291">
        <f>+IF(+AND(E36&gt;0.3,E36&lt;=0.75,F36&lt;=0.3),($D36*($E36+$F36)*2*($G36-#REF!)),0)</f>
        <v>0</v>
      </c>
      <c r="K36" s="291">
        <f>+IF(+AND(E36&gt;0.75,E36&lt;=1.2,F36&gt;0),($D36*($E36+$F36)*2*($G36-#REF!)),0)</f>
        <v>0</v>
      </c>
      <c r="L36" s="291">
        <f>+IF(+AND(E36&gt;1.2,F36&gt;0),($D36*($E36+$F36)*2*($G36-#REF!)),0)</f>
        <v>0</v>
      </c>
      <c r="M36" s="291" t="e">
        <f t="shared" si="12"/>
        <v>#REF!</v>
      </c>
      <c r="N36" s="291">
        <f>ROUNDUP(E36/0.6,0)*ROUNDUP(G36/0.6,0)*D36</f>
        <v>168</v>
      </c>
      <c r="O36" s="291">
        <f t="shared" si="13"/>
        <v>24</v>
      </c>
      <c r="P36" s="291">
        <f t="shared" si="13"/>
        <v>0.6</v>
      </c>
      <c r="Q36" s="291">
        <f t="shared" si="13"/>
        <v>0.4</v>
      </c>
      <c r="R36" s="291">
        <f>$R$9-$R$10</f>
        <v>4</v>
      </c>
      <c r="S36" s="291">
        <f t="shared" ref="S36" si="21">+O36*P36*Q36*R36</f>
        <v>23.04</v>
      </c>
      <c r="T36" s="291">
        <f>+IF(+AND(P36&gt;0.3,P36&lt;=0.75,Q36&gt;0.3),(O36*(P36+Q36)*2*(R36-$E$11)),0)</f>
        <v>159.60000000000002</v>
      </c>
      <c r="U36" s="291">
        <f>+IF(+AND(P36&gt;0.3,P36&lt;=0.75,Q36&lt;=0.3),(O36*(P36+Q36)*2*(R36-$E$11)),0)</f>
        <v>0</v>
      </c>
      <c r="V36" s="291">
        <f>+IF(+AND(P36&gt;0.75,P36&lt;=1.2,Q36&gt;0),(O36*(P36+Q36)*2*(R36-$E$11)),0)</f>
        <v>0</v>
      </c>
      <c r="W36" s="291">
        <f>+IF(+AND(P36&gt;1.2,Q36&gt;0),(O36*(P36+Q36)*2*(R36-$E$11)),0)</f>
        <v>0</v>
      </c>
      <c r="X36" s="291">
        <f t="shared" si="14"/>
        <v>159.60000000000002</v>
      </c>
      <c r="Y36" s="291">
        <f t="shared" si="15"/>
        <v>168</v>
      </c>
      <c r="Z36" s="291">
        <f>O36-9</f>
        <v>15</v>
      </c>
      <c r="AA36" s="291">
        <f>+E36</f>
        <v>0.6</v>
      </c>
      <c r="AB36" s="291">
        <f>+F36</f>
        <v>0.4</v>
      </c>
      <c r="AC36" s="291">
        <f>R36</f>
        <v>4</v>
      </c>
      <c r="AD36" s="291">
        <f t="shared" ref="AD36" si="22">+Z36*AA36*AB36*AC36</f>
        <v>14.4</v>
      </c>
      <c r="AE36" s="291">
        <f t="shared" si="16"/>
        <v>99.75</v>
      </c>
      <c r="AF36" s="291">
        <f>+IF(+AND(AA36&gt;0.3,AA36&lt;=0.75,AB36&lt;=0.3),(Z36*(AA36+AB36)*2*(AC36-$E$11)),0)</f>
        <v>0</v>
      </c>
      <c r="AG36" s="291">
        <f t="shared" si="17"/>
        <v>0</v>
      </c>
      <c r="AH36" s="291">
        <f t="shared" si="18"/>
        <v>0</v>
      </c>
      <c r="AI36" s="291">
        <f t="shared" si="19"/>
        <v>99.75</v>
      </c>
      <c r="AJ36" s="291">
        <f t="shared" si="20"/>
        <v>105</v>
      </c>
      <c r="AL36" s="232">
        <f>+ROUNDUP((O36)/5,0)</f>
        <v>5</v>
      </c>
      <c r="AM36" s="293">
        <f>AL36*(2*(P36+Q36)*2.44)</f>
        <v>24.4</v>
      </c>
      <c r="AN36" s="215"/>
      <c r="AO36" s="215">
        <v>0.8</v>
      </c>
      <c r="AP36" s="215"/>
      <c r="AQ36" s="215"/>
      <c r="AR36" s="215"/>
      <c r="AS36" s="215"/>
      <c r="AT36" s="215"/>
      <c r="AU36" s="215"/>
      <c r="AV36" s="215"/>
      <c r="AW36" s="215"/>
      <c r="AX36" s="215"/>
      <c r="AY36" s="215"/>
      <c r="AZ36" s="291"/>
      <c r="BA36" s="215"/>
      <c r="BB36" s="215"/>
      <c r="BC36" s="215"/>
      <c r="BD36" s="215"/>
      <c r="BE36" s="215"/>
      <c r="BF36" s="215"/>
      <c r="BG36" s="215"/>
      <c r="BH36" s="215"/>
      <c r="BI36" s="215"/>
      <c r="BJ36" s="215"/>
      <c r="BK36" s="215"/>
      <c r="BL36" s="215"/>
      <c r="BM36" s="215"/>
      <c r="BN36" s="215"/>
      <c r="BO36" s="215"/>
      <c r="BP36" s="215"/>
      <c r="BQ36" s="215"/>
      <c r="BR36" s="215"/>
      <c r="BS36" s="215"/>
      <c r="BT36" s="215"/>
      <c r="BU36" s="215"/>
      <c r="BV36" s="215"/>
      <c r="BW36" s="215"/>
      <c r="BX36" s="215"/>
      <c r="BY36" s="215"/>
      <c r="BZ36" s="215"/>
      <c r="CA36" s="215"/>
      <c r="CB36" s="215"/>
      <c r="CC36" s="215"/>
      <c r="CD36" s="215"/>
      <c r="CE36" s="215"/>
      <c r="CF36" s="215"/>
      <c r="CG36" s="215"/>
      <c r="CH36" s="215"/>
      <c r="CI36" s="215"/>
      <c r="CJ36" s="215"/>
      <c r="CK36" s="215"/>
      <c r="CL36" s="215"/>
      <c r="CM36" s="215"/>
      <c r="CN36" s="215"/>
      <c r="CO36" s="215"/>
      <c r="CP36" s="215"/>
      <c r="CQ36" s="215"/>
      <c r="CR36" s="215"/>
      <c r="CS36" s="215"/>
      <c r="CT36" s="215"/>
      <c r="CU36" s="215"/>
      <c r="CV36" s="215"/>
      <c r="CW36" s="215"/>
      <c r="CX36" s="215"/>
      <c r="CY36" s="215"/>
      <c r="CZ36" s="215"/>
      <c r="DA36" s="215"/>
      <c r="DB36" s="215"/>
      <c r="DC36" s="215"/>
      <c r="DD36" s="215"/>
      <c r="DE36" s="215"/>
      <c r="DF36" s="215"/>
      <c r="DG36" s="215"/>
      <c r="DH36" s="215"/>
      <c r="DI36" s="215"/>
      <c r="DJ36" s="215"/>
      <c r="DK36" s="215"/>
      <c r="DL36" s="215"/>
      <c r="DM36" s="215"/>
      <c r="DN36" s="215"/>
      <c r="DO36" s="215"/>
      <c r="DP36" s="215"/>
      <c r="DQ36" s="215"/>
      <c r="DR36" s="215"/>
      <c r="DS36" s="215"/>
      <c r="DT36" s="215"/>
      <c r="DU36" s="215"/>
      <c r="DV36" s="215"/>
      <c r="DW36" s="215"/>
      <c r="DX36" s="215"/>
      <c r="DY36" s="215"/>
      <c r="DZ36" s="215"/>
      <c r="EA36" s="215"/>
      <c r="EB36" s="215"/>
      <c r="EC36" s="215"/>
      <c r="ED36" s="215"/>
      <c r="EE36" s="215"/>
      <c r="EF36" s="215"/>
      <c r="EG36" s="215"/>
      <c r="EH36" s="215"/>
      <c r="EI36" s="215"/>
      <c r="EJ36" s="215"/>
      <c r="EK36" s="215"/>
      <c r="EL36" s="215"/>
      <c r="EM36" s="215"/>
      <c r="EN36" s="215"/>
      <c r="EO36" s="215"/>
      <c r="EP36" s="215"/>
      <c r="EQ36" s="215"/>
      <c r="ER36" s="215"/>
      <c r="ES36" s="215"/>
      <c r="ET36" s="215"/>
      <c r="EU36" s="215"/>
      <c r="EV36" s="215"/>
      <c r="EW36" s="215"/>
      <c r="EX36" s="215"/>
      <c r="EY36" s="215"/>
      <c r="EZ36" s="215"/>
      <c r="FA36" s="215"/>
      <c r="FB36" s="215"/>
      <c r="FC36" s="215"/>
      <c r="FD36" s="215"/>
      <c r="FE36" s="215"/>
      <c r="FF36" s="215"/>
      <c r="FG36" s="215"/>
      <c r="FH36" s="215"/>
      <c r="FI36" s="215"/>
      <c r="FJ36" s="215"/>
      <c r="FK36" s="215"/>
      <c r="FL36" s="215"/>
      <c r="FM36" s="215"/>
      <c r="FN36" s="215"/>
      <c r="FO36" s="215"/>
      <c r="FP36" s="215"/>
      <c r="FQ36" s="215"/>
      <c r="FR36" s="215"/>
      <c r="FS36" s="215"/>
      <c r="FT36" s="215"/>
      <c r="FU36" s="215"/>
      <c r="FV36" s="215"/>
      <c r="FW36" s="215"/>
      <c r="FX36" s="215"/>
      <c r="FY36" s="215"/>
      <c r="FZ36" s="215"/>
      <c r="GA36" s="215"/>
      <c r="GB36" s="215"/>
      <c r="GC36" s="215"/>
      <c r="GD36" s="215"/>
      <c r="GE36" s="215"/>
      <c r="GF36" s="215"/>
      <c r="GG36" s="215"/>
      <c r="GH36" s="215"/>
      <c r="GI36" s="215"/>
      <c r="GJ36" s="215"/>
      <c r="GK36" s="215"/>
      <c r="GL36" s="215"/>
      <c r="GM36" s="215"/>
      <c r="GN36" s="215"/>
      <c r="GO36" s="215"/>
      <c r="GP36" s="215"/>
      <c r="GQ36" s="215"/>
      <c r="GR36" s="215"/>
      <c r="GS36" s="215"/>
      <c r="GT36" s="215"/>
      <c r="GU36" s="215"/>
      <c r="GV36" s="215"/>
      <c r="GW36" s="215"/>
      <c r="GX36" s="215"/>
      <c r="GY36" s="215"/>
      <c r="GZ36" s="215"/>
      <c r="HA36" s="215"/>
      <c r="HB36" s="215"/>
      <c r="HC36" s="215"/>
      <c r="HD36" s="215"/>
      <c r="HE36" s="215"/>
      <c r="HF36" s="215"/>
      <c r="HG36" s="215"/>
      <c r="HH36" s="215"/>
      <c r="HI36" s="215"/>
      <c r="HJ36" s="215"/>
      <c r="HK36" s="215"/>
      <c r="HL36" s="215"/>
      <c r="HM36" s="215"/>
      <c r="HN36" s="215"/>
      <c r="HO36" s="215"/>
      <c r="HP36" s="215"/>
      <c r="HQ36" s="215"/>
      <c r="HR36" s="215"/>
      <c r="HS36" s="215"/>
      <c r="HT36" s="215"/>
      <c r="HU36" s="215"/>
      <c r="HV36" s="215"/>
      <c r="HW36" s="215"/>
      <c r="HX36" s="215"/>
      <c r="HY36" s="215"/>
      <c r="HZ36" s="215"/>
      <c r="IA36" s="215"/>
      <c r="IB36" s="215"/>
      <c r="IC36" s="215"/>
      <c r="ID36" s="215"/>
      <c r="IE36" s="215"/>
      <c r="IF36" s="215"/>
      <c r="IG36" s="215"/>
      <c r="IH36" s="215"/>
      <c r="II36" s="215"/>
      <c r="IJ36" s="215"/>
      <c r="IK36" s="215"/>
      <c r="IL36" s="215"/>
      <c r="IM36" s="215"/>
      <c r="IN36" s="215"/>
      <c r="IO36" s="215"/>
      <c r="IP36" s="215"/>
      <c r="IQ36" s="215"/>
      <c r="IR36" s="215"/>
      <c r="IS36" s="215"/>
      <c r="IT36" s="215"/>
      <c r="IU36" s="215"/>
      <c r="IV36" s="215"/>
      <c r="IW36" s="215"/>
      <c r="IX36" s="215"/>
      <c r="IY36" s="215"/>
      <c r="IZ36" s="215"/>
      <c r="JA36" s="215"/>
      <c r="JB36" s="215"/>
      <c r="JC36" s="215"/>
      <c r="JD36" s="215"/>
      <c r="JE36" s="215"/>
      <c r="JF36" s="215"/>
      <c r="JG36" s="215"/>
      <c r="JH36" s="215"/>
      <c r="JI36" s="215"/>
      <c r="JJ36" s="215"/>
      <c r="JK36" s="215"/>
      <c r="JL36" s="215"/>
      <c r="JM36" s="215"/>
      <c r="JN36" s="215"/>
      <c r="JO36" s="215"/>
      <c r="JP36" s="215"/>
      <c r="JQ36" s="215"/>
      <c r="JR36" s="215"/>
      <c r="JS36" s="215"/>
      <c r="JT36" s="215"/>
      <c r="JU36" s="215"/>
      <c r="JV36" s="215"/>
      <c r="JW36" s="215"/>
      <c r="JX36" s="215"/>
      <c r="JY36" s="215"/>
      <c r="JZ36" s="215"/>
      <c r="KA36" s="215"/>
      <c r="KB36" s="215"/>
      <c r="KC36" s="215"/>
      <c r="KD36" s="215"/>
      <c r="KE36" s="215"/>
      <c r="KF36" s="215"/>
      <c r="KG36" s="215"/>
      <c r="KH36" s="215"/>
      <c r="KI36" s="215"/>
      <c r="KJ36" s="215"/>
      <c r="KK36" s="215"/>
      <c r="KL36" s="215"/>
      <c r="KM36" s="215"/>
      <c r="KN36" s="215"/>
      <c r="KO36" s="215"/>
      <c r="KP36" s="215"/>
      <c r="KQ36" s="215"/>
      <c r="KR36" s="215"/>
      <c r="KS36" s="215"/>
      <c r="KT36" s="215"/>
      <c r="KU36" s="215"/>
      <c r="KV36" s="215"/>
      <c r="KW36" s="215"/>
      <c r="KX36" s="215"/>
      <c r="KY36" s="215"/>
      <c r="KZ36" s="215"/>
      <c r="LA36" s="215"/>
      <c r="LB36" s="215"/>
      <c r="LC36" s="215"/>
      <c r="LD36" s="215"/>
      <c r="LE36" s="215"/>
      <c r="LF36" s="215"/>
      <c r="LG36" s="215"/>
      <c r="LH36" s="215"/>
      <c r="LI36" s="215"/>
      <c r="LJ36" s="215"/>
      <c r="LK36" s="215"/>
    </row>
    <row r="37" spans="1:1113" s="232" customFormat="1" ht="30" hidden="1" customHeight="1" x14ac:dyDescent="0.25">
      <c r="A37" s="289"/>
      <c r="B37" s="11"/>
      <c r="C37" s="290"/>
      <c r="D37" s="10"/>
      <c r="E37" s="291"/>
      <c r="F37" s="291"/>
      <c r="G37" s="292"/>
      <c r="H37" s="291"/>
      <c r="I37" s="291"/>
      <c r="J37" s="291"/>
      <c r="K37" s="291"/>
      <c r="L37" s="291"/>
      <c r="M37" s="291"/>
      <c r="N37" s="291"/>
      <c r="O37" s="291"/>
      <c r="P37" s="291"/>
      <c r="Q37" s="291"/>
      <c r="R37" s="291"/>
      <c r="S37" s="291"/>
      <c r="T37" s="291"/>
      <c r="U37" s="291"/>
      <c r="V37" s="291"/>
      <c r="W37" s="291"/>
      <c r="X37" s="291"/>
      <c r="Y37" s="291"/>
      <c r="Z37" s="291"/>
      <c r="AA37" s="291"/>
      <c r="AB37" s="291"/>
      <c r="AC37" s="291"/>
      <c r="AD37" s="291"/>
      <c r="AE37" s="291"/>
      <c r="AF37" s="291"/>
      <c r="AG37" s="291"/>
      <c r="AH37" s="291"/>
      <c r="AI37" s="291"/>
      <c r="AJ37" s="291"/>
      <c r="AM37" s="293"/>
      <c r="AN37" s="215"/>
      <c r="AO37" s="215"/>
      <c r="AP37" s="215"/>
      <c r="AQ37" s="215"/>
      <c r="AR37" s="215"/>
      <c r="AS37" s="215"/>
      <c r="AT37" s="215"/>
      <c r="AU37" s="215"/>
      <c r="AV37" s="215"/>
      <c r="AW37" s="215"/>
      <c r="AX37" s="215"/>
      <c r="AY37" s="215"/>
      <c r="AZ37" s="291"/>
      <c r="BA37" s="215"/>
      <c r="BB37" s="215"/>
      <c r="BC37" s="215"/>
      <c r="BD37" s="215"/>
      <c r="BE37" s="215"/>
      <c r="BF37" s="215"/>
      <c r="BG37" s="215"/>
      <c r="BH37" s="215"/>
      <c r="BI37" s="215"/>
      <c r="BJ37" s="215"/>
      <c r="BK37" s="215"/>
      <c r="BL37" s="215"/>
      <c r="BM37" s="215"/>
      <c r="BN37" s="215"/>
      <c r="BO37" s="215"/>
      <c r="BP37" s="215"/>
      <c r="BQ37" s="215"/>
      <c r="BR37" s="215"/>
      <c r="BS37" s="215"/>
      <c r="BT37" s="215"/>
      <c r="BU37" s="215"/>
      <c r="BV37" s="215"/>
      <c r="BW37" s="215"/>
      <c r="BX37" s="215"/>
      <c r="BY37" s="215"/>
      <c r="BZ37" s="215"/>
      <c r="CA37" s="215"/>
      <c r="CB37" s="215"/>
      <c r="CC37" s="215"/>
      <c r="CD37" s="215"/>
      <c r="CE37" s="215"/>
      <c r="CF37" s="215"/>
      <c r="CG37" s="215"/>
      <c r="CH37" s="215"/>
      <c r="CI37" s="215"/>
      <c r="CJ37" s="215"/>
      <c r="CK37" s="215"/>
      <c r="CL37" s="215"/>
      <c r="CM37" s="215"/>
      <c r="CN37" s="215"/>
      <c r="CO37" s="215"/>
      <c r="CP37" s="215"/>
      <c r="CQ37" s="215"/>
      <c r="CR37" s="215"/>
      <c r="CS37" s="215"/>
      <c r="CT37" s="215"/>
      <c r="CU37" s="215"/>
      <c r="CV37" s="215"/>
      <c r="CW37" s="215"/>
      <c r="CX37" s="215"/>
      <c r="CY37" s="215"/>
      <c r="CZ37" s="215"/>
      <c r="DA37" s="215"/>
      <c r="DB37" s="215"/>
      <c r="DC37" s="215"/>
      <c r="DD37" s="215"/>
      <c r="DE37" s="215"/>
      <c r="DF37" s="215"/>
      <c r="DG37" s="215"/>
      <c r="DH37" s="215"/>
      <c r="DI37" s="215"/>
      <c r="DJ37" s="215"/>
      <c r="DK37" s="215"/>
      <c r="DL37" s="215"/>
      <c r="DM37" s="215"/>
      <c r="DN37" s="215"/>
      <c r="DO37" s="215"/>
      <c r="DP37" s="215"/>
      <c r="DQ37" s="215"/>
      <c r="DR37" s="215"/>
      <c r="DS37" s="215"/>
      <c r="DT37" s="215"/>
      <c r="DU37" s="215"/>
      <c r="DV37" s="215"/>
      <c r="DW37" s="215"/>
      <c r="DX37" s="215"/>
      <c r="DY37" s="215"/>
      <c r="DZ37" s="215"/>
      <c r="EA37" s="215"/>
      <c r="EB37" s="215"/>
      <c r="EC37" s="215"/>
      <c r="ED37" s="215"/>
      <c r="EE37" s="215"/>
      <c r="EF37" s="215"/>
      <c r="EG37" s="215"/>
      <c r="EH37" s="215"/>
      <c r="EI37" s="215"/>
      <c r="EJ37" s="215"/>
      <c r="EK37" s="215"/>
      <c r="EL37" s="215"/>
      <c r="EM37" s="215"/>
      <c r="EN37" s="215"/>
      <c r="EO37" s="215"/>
      <c r="EP37" s="215"/>
      <c r="EQ37" s="215"/>
      <c r="ER37" s="215"/>
      <c r="ES37" s="215"/>
      <c r="ET37" s="215"/>
      <c r="EU37" s="215"/>
      <c r="EV37" s="215"/>
      <c r="EW37" s="215"/>
      <c r="EX37" s="215"/>
      <c r="EY37" s="215"/>
      <c r="EZ37" s="215"/>
      <c r="FA37" s="215"/>
      <c r="FB37" s="215"/>
      <c r="FC37" s="215"/>
      <c r="FD37" s="215"/>
      <c r="FE37" s="215"/>
      <c r="FF37" s="215"/>
      <c r="FG37" s="215"/>
      <c r="FH37" s="215"/>
      <c r="FI37" s="215"/>
      <c r="FJ37" s="215"/>
      <c r="FK37" s="215"/>
      <c r="FL37" s="215"/>
      <c r="FM37" s="215"/>
      <c r="FN37" s="215"/>
      <c r="FO37" s="215"/>
      <c r="FP37" s="215"/>
      <c r="FQ37" s="215"/>
      <c r="FR37" s="215"/>
      <c r="FS37" s="215"/>
      <c r="FT37" s="215"/>
      <c r="FU37" s="215"/>
      <c r="FV37" s="215"/>
      <c r="FW37" s="215"/>
      <c r="FX37" s="215"/>
      <c r="FY37" s="215"/>
      <c r="FZ37" s="215"/>
      <c r="GA37" s="215"/>
      <c r="GB37" s="215"/>
      <c r="GC37" s="215"/>
      <c r="GD37" s="215"/>
      <c r="GE37" s="215"/>
      <c r="GF37" s="215"/>
      <c r="GG37" s="215"/>
      <c r="GH37" s="215"/>
      <c r="GI37" s="215"/>
      <c r="GJ37" s="215"/>
      <c r="GK37" s="215"/>
      <c r="GL37" s="215"/>
      <c r="GM37" s="215"/>
      <c r="GN37" s="215"/>
      <c r="GO37" s="215"/>
      <c r="GP37" s="215"/>
      <c r="GQ37" s="215"/>
      <c r="GR37" s="215"/>
      <c r="GS37" s="215"/>
      <c r="GT37" s="215"/>
      <c r="GU37" s="215"/>
      <c r="GV37" s="215"/>
      <c r="GW37" s="215"/>
      <c r="GX37" s="215"/>
      <c r="GY37" s="215"/>
      <c r="GZ37" s="215"/>
      <c r="HA37" s="215"/>
      <c r="HB37" s="215"/>
      <c r="HC37" s="215"/>
      <c r="HD37" s="215"/>
      <c r="HE37" s="215"/>
      <c r="HF37" s="215"/>
      <c r="HG37" s="215"/>
      <c r="HH37" s="215"/>
      <c r="HI37" s="215"/>
      <c r="HJ37" s="215"/>
      <c r="HK37" s="215"/>
      <c r="HL37" s="215"/>
      <c r="HM37" s="215"/>
      <c r="HN37" s="215"/>
      <c r="HO37" s="215"/>
      <c r="HP37" s="215"/>
      <c r="HQ37" s="215"/>
      <c r="HR37" s="215"/>
      <c r="HS37" s="215"/>
      <c r="HT37" s="215"/>
      <c r="HU37" s="215"/>
      <c r="HV37" s="215"/>
      <c r="HW37" s="215"/>
      <c r="HX37" s="215"/>
      <c r="HY37" s="215"/>
      <c r="HZ37" s="215"/>
      <c r="IA37" s="215"/>
      <c r="IB37" s="215"/>
      <c r="IC37" s="215"/>
      <c r="ID37" s="215"/>
      <c r="IE37" s="215"/>
      <c r="IF37" s="215"/>
      <c r="IG37" s="215"/>
      <c r="IH37" s="215"/>
      <c r="II37" s="215"/>
      <c r="IJ37" s="215"/>
      <c r="IK37" s="215"/>
      <c r="IL37" s="215"/>
      <c r="IM37" s="215"/>
      <c r="IN37" s="215"/>
      <c r="IO37" s="215"/>
      <c r="IP37" s="215"/>
      <c r="IQ37" s="215"/>
      <c r="IR37" s="215"/>
      <c r="IS37" s="215"/>
      <c r="IT37" s="215"/>
      <c r="IU37" s="215"/>
      <c r="IV37" s="215"/>
      <c r="IW37" s="215"/>
      <c r="IX37" s="215"/>
      <c r="IY37" s="215"/>
      <c r="IZ37" s="215"/>
      <c r="JA37" s="215"/>
      <c r="JB37" s="215"/>
      <c r="JC37" s="215"/>
      <c r="JD37" s="215"/>
      <c r="JE37" s="215"/>
      <c r="JF37" s="215"/>
      <c r="JG37" s="215"/>
      <c r="JH37" s="215"/>
      <c r="JI37" s="215"/>
      <c r="JJ37" s="215"/>
      <c r="JK37" s="215"/>
      <c r="JL37" s="215"/>
      <c r="JM37" s="215"/>
      <c r="JN37" s="215"/>
      <c r="JO37" s="215"/>
      <c r="JP37" s="215"/>
      <c r="JQ37" s="215"/>
      <c r="JR37" s="215"/>
      <c r="JS37" s="215"/>
      <c r="JT37" s="215"/>
      <c r="JU37" s="215"/>
      <c r="JV37" s="215"/>
      <c r="JW37" s="215"/>
      <c r="JX37" s="215"/>
      <c r="JY37" s="215"/>
      <c r="JZ37" s="215"/>
      <c r="KA37" s="215"/>
      <c r="KB37" s="215"/>
      <c r="KC37" s="215"/>
      <c r="KD37" s="215"/>
      <c r="KE37" s="215"/>
      <c r="KF37" s="215"/>
      <c r="KG37" s="215"/>
      <c r="KH37" s="215"/>
      <c r="KI37" s="215"/>
      <c r="KJ37" s="215"/>
      <c r="KK37" s="215"/>
      <c r="KL37" s="215"/>
      <c r="KM37" s="215"/>
      <c r="KN37" s="215"/>
      <c r="KO37" s="215"/>
      <c r="KP37" s="215"/>
      <c r="KQ37" s="215"/>
      <c r="KR37" s="215"/>
      <c r="KS37" s="215"/>
      <c r="KT37" s="215"/>
      <c r="KU37" s="215"/>
      <c r="KV37" s="215"/>
      <c r="KW37" s="215"/>
      <c r="KX37" s="215"/>
      <c r="KY37" s="215"/>
      <c r="KZ37" s="215"/>
      <c r="LA37" s="215"/>
      <c r="LB37" s="215"/>
      <c r="LC37" s="215"/>
      <c r="LD37" s="215"/>
      <c r="LE37" s="215"/>
      <c r="LF37" s="215"/>
      <c r="LG37" s="215"/>
      <c r="LH37" s="215"/>
      <c r="LI37" s="215"/>
      <c r="LJ37" s="215"/>
      <c r="LK37" s="215"/>
    </row>
    <row r="38" spans="1:1113" s="256" customFormat="1" ht="30" hidden="1" customHeight="1" x14ac:dyDescent="0.25">
      <c r="A38" s="294"/>
      <c r="B38" s="295" t="s">
        <v>448</v>
      </c>
      <c r="C38" s="290"/>
      <c r="D38" s="295">
        <f>SUM(D35:D37)</f>
        <v>42</v>
      </c>
      <c r="E38" s="295"/>
      <c r="F38" s="295"/>
      <c r="G38" s="295"/>
      <c r="H38" s="295" t="e">
        <f>SUM(H35:H37)</f>
        <v>#REF!</v>
      </c>
      <c r="I38" s="295" t="e">
        <f t="shared" ref="I38:AM38" si="23">SUM(I35:I37)</f>
        <v>#REF!</v>
      </c>
      <c r="J38" s="295" t="e">
        <f t="shared" si="23"/>
        <v>#REF!</v>
      </c>
      <c r="K38" s="295">
        <f t="shared" si="23"/>
        <v>0</v>
      </c>
      <c r="L38" s="295">
        <f t="shared" si="23"/>
        <v>0</v>
      </c>
      <c r="M38" s="295" t="e">
        <f t="shared" si="23"/>
        <v>#REF!</v>
      </c>
      <c r="N38" s="295">
        <f t="shared" si="23"/>
        <v>420</v>
      </c>
      <c r="O38" s="295">
        <f t="shared" si="23"/>
        <v>42</v>
      </c>
      <c r="P38" s="295">
        <f t="shared" si="23"/>
        <v>1.2999999999999998</v>
      </c>
      <c r="Q38" s="295">
        <f t="shared" si="23"/>
        <v>0.7</v>
      </c>
      <c r="R38" s="295">
        <f t="shared" si="23"/>
        <v>8</v>
      </c>
      <c r="S38" s="295">
        <f t="shared" si="23"/>
        <v>38.159999999999997</v>
      </c>
      <c r="T38" s="295">
        <f t="shared" si="23"/>
        <v>159.60000000000002</v>
      </c>
      <c r="U38" s="295">
        <f t="shared" si="23"/>
        <v>119.7</v>
      </c>
      <c r="V38" s="295">
        <f t="shared" si="23"/>
        <v>0</v>
      </c>
      <c r="W38" s="295">
        <f t="shared" si="23"/>
        <v>0</v>
      </c>
      <c r="X38" s="295">
        <f t="shared" si="23"/>
        <v>279.3</v>
      </c>
      <c r="Y38" s="295">
        <f t="shared" si="23"/>
        <v>420</v>
      </c>
      <c r="Z38" s="295">
        <f t="shared" si="23"/>
        <v>33</v>
      </c>
      <c r="AA38" s="295">
        <f t="shared" si="23"/>
        <v>1.2999999999999998</v>
      </c>
      <c r="AB38" s="295">
        <f t="shared" si="23"/>
        <v>0.7</v>
      </c>
      <c r="AC38" s="295">
        <f t="shared" si="23"/>
        <v>8</v>
      </c>
      <c r="AD38" s="295">
        <f t="shared" si="23"/>
        <v>29.52</v>
      </c>
      <c r="AE38" s="295">
        <f t="shared" si="23"/>
        <v>99.75</v>
      </c>
      <c r="AF38" s="295">
        <f t="shared" si="23"/>
        <v>119.7</v>
      </c>
      <c r="AG38" s="295">
        <f t="shared" si="23"/>
        <v>0</v>
      </c>
      <c r="AH38" s="295">
        <f t="shared" si="23"/>
        <v>0</v>
      </c>
      <c r="AI38" s="295">
        <f t="shared" si="23"/>
        <v>219.45</v>
      </c>
      <c r="AJ38" s="295">
        <f t="shared" si="23"/>
        <v>357</v>
      </c>
      <c r="AK38" s="295">
        <f t="shared" si="23"/>
        <v>0</v>
      </c>
      <c r="AL38" s="295">
        <f t="shared" si="23"/>
        <v>9</v>
      </c>
      <c r="AM38" s="296">
        <f t="shared" si="23"/>
        <v>43.92</v>
      </c>
      <c r="AN38" s="297"/>
      <c r="AO38" s="297"/>
      <c r="AP38" s="297"/>
      <c r="AQ38" s="297"/>
      <c r="AR38" s="297"/>
      <c r="AS38" s="297"/>
      <c r="AT38" s="297"/>
      <c r="AU38" s="297"/>
      <c r="AV38" s="297"/>
      <c r="AW38" s="297"/>
      <c r="AX38" s="297"/>
      <c r="AY38" s="297"/>
      <c r="AZ38" s="297"/>
      <c r="BA38" s="217"/>
      <c r="BB38" s="217"/>
      <c r="BC38" s="217"/>
      <c r="BD38" s="217"/>
      <c r="BE38" s="217"/>
      <c r="BF38" s="217"/>
      <c r="BG38" s="217"/>
      <c r="BH38" s="217"/>
      <c r="BI38" s="217"/>
      <c r="BJ38" s="217"/>
      <c r="BK38" s="217"/>
      <c r="BL38" s="217"/>
      <c r="BM38" s="217"/>
      <c r="BN38" s="217"/>
      <c r="BO38" s="217"/>
      <c r="BP38" s="217"/>
      <c r="BQ38" s="217"/>
      <c r="BR38" s="215"/>
      <c r="BS38" s="215"/>
      <c r="BT38" s="215"/>
      <c r="BU38" s="215"/>
      <c r="BV38" s="215"/>
      <c r="BW38" s="215"/>
      <c r="BX38" s="215"/>
      <c r="BY38" s="215"/>
      <c r="BZ38" s="215"/>
      <c r="CA38" s="215"/>
      <c r="CB38" s="215"/>
      <c r="CC38" s="215"/>
      <c r="CD38" s="215"/>
      <c r="CE38" s="215"/>
      <c r="CF38" s="215"/>
      <c r="CG38" s="215"/>
      <c r="CH38" s="215"/>
      <c r="CI38" s="215"/>
      <c r="CJ38" s="215"/>
      <c r="CK38" s="215"/>
      <c r="CL38" s="215"/>
      <c r="CM38" s="215"/>
      <c r="CN38" s="215"/>
      <c r="CO38" s="215"/>
      <c r="CP38" s="215"/>
      <c r="CQ38" s="215"/>
      <c r="CR38" s="215"/>
      <c r="CS38" s="215"/>
      <c r="CT38" s="215"/>
      <c r="CU38" s="215"/>
      <c r="CV38" s="215"/>
      <c r="CW38" s="215"/>
      <c r="CX38" s="215"/>
      <c r="CY38" s="215"/>
      <c r="CZ38" s="215"/>
      <c r="DA38" s="215"/>
      <c r="DB38" s="215"/>
      <c r="DC38" s="215"/>
      <c r="DD38" s="215"/>
      <c r="DE38" s="215"/>
      <c r="DF38" s="215"/>
      <c r="DG38" s="215"/>
      <c r="DH38" s="215"/>
      <c r="DI38" s="215"/>
      <c r="DJ38" s="215"/>
      <c r="DK38" s="215"/>
      <c r="DL38" s="215"/>
      <c r="DM38" s="215"/>
      <c r="DN38" s="215"/>
      <c r="DO38" s="215"/>
      <c r="DP38" s="215"/>
      <c r="DQ38" s="215"/>
      <c r="DR38" s="215"/>
      <c r="DS38" s="215"/>
      <c r="DT38" s="215"/>
      <c r="DU38" s="215"/>
      <c r="DV38" s="215"/>
      <c r="DW38" s="215"/>
      <c r="DX38" s="215"/>
      <c r="DY38" s="215"/>
      <c r="DZ38" s="215"/>
      <c r="EA38" s="215"/>
      <c r="EB38" s="215"/>
      <c r="EC38" s="215"/>
      <c r="ED38" s="215"/>
      <c r="EE38" s="215"/>
      <c r="EF38" s="215"/>
      <c r="EG38" s="215"/>
      <c r="EH38" s="215"/>
      <c r="EI38" s="215"/>
      <c r="EJ38" s="215"/>
      <c r="EK38" s="215"/>
      <c r="EL38" s="215"/>
      <c r="EM38" s="215"/>
      <c r="EN38" s="215"/>
      <c r="EO38" s="215"/>
      <c r="EP38" s="215"/>
      <c r="EQ38" s="215"/>
      <c r="ER38" s="215"/>
      <c r="ES38" s="215"/>
      <c r="ET38" s="215"/>
      <c r="EU38" s="215"/>
      <c r="EV38" s="215"/>
      <c r="EW38" s="215"/>
      <c r="EX38" s="215"/>
      <c r="EY38" s="215"/>
      <c r="EZ38" s="215"/>
      <c r="FA38" s="215"/>
      <c r="FB38" s="215"/>
      <c r="FC38" s="215"/>
      <c r="FD38" s="215"/>
      <c r="FE38" s="215"/>
      <c r="FF38" s="215"/>
      <c r="FG38" s="215"/>
      <c r="FH38" s="215"/>
      <c r="FI38" s="215"/>
      <c r="FJ38" s="215"/>
      <c r="FK38" s="215"/>
      <c r="FL38" s="215"/>
      <c r="FM38" s="215"/>
      <c r="FN38" s="215"/>
      <c r="FO38" s="215"/>
      <c r="FP38" s="215"/>
      <c r="FQ38" s="215"/>
      <c r="FR38" s="215"/>
      <c r="FS38" s="215"/>
      <c r="FT38" s="215"/>
      <c r="FU38" s="215"/>
      <c r="FV38" s="215"/>
      <c r="FW38" s="215"/>
      <c r="FX38" s="215"/>
      <c r="FY38" s="215"/>
      <c r="FZ38" s="215"/>
      <c r="GA38" s="215"/>
      <c r="GB38" s="215"/>
      <c r="GC38" s="215"/>
      <c r="GD38" s="215"/>
      <c r="GE38" s="215"/>
      <c r="GF38" s="215"/>
      <c r="GG38" s="215"/>
      <c r="GH38" s="215"/>
      <c r="GI38" s="215"/>
      <c r="GJ38" s="215"/>
      <c r="GK38" s="215"/>
      <c r="GL38" s="215"/>
      <c r="GM38" s="215"/>
      <c r="GN38" s="215"/>
      <c r="GO38" s="215"/>
      <c r="GP38" s="215"/>
      <c r="GQ38" s="215"/>
      <c r="GR38" s="215"/>
      <c r="GS38" s="215"/>
      <c r="GT38" s="215"/>
      <c r="GU38" s="215"/>
      <c r="GV38" s="215"/>
      <c r="GW38" s="215"/>
      <c r="GX38" s="215"/>
      <c r="GY38" s="215"/>
      <c r="GZ38" s="215"/>
      <c r="HA38" s="215"/>
      <c r="HB38" s="215"/>
      <c r="HC38" s="215"/>
      <c r="HD38" s="215"/>
      <c r="HE38" s="215"/>
      <c r="HF38" s="215"/>
      <c r="HG38" s="215"/>
      <c r="HH38" s="215"/>
      <c r="HI38" s="215"/>
      <c r="HJ38" s="215"/>
      <c r="HK38" s="215"/>
      <c r="HL38" s="215"/>
      <c r="HM38" s="215"/>
      <c r="HN38" s="215"/>
      <c r="HO38" s="215"/>
      <c r="HP38" s="215"/>
      <c r="HQ38" s="215"/>
      <c r="HR38" s="215"/>
      <c r="HS38" s="215"/>
      <c r="HT38" s="215"/>
      <c r="HU38" s="215"/>
      <c r="HV38" s="215"/>
      <c r="HW38" s="215"/>
      <c r="HX38" s="215"/>
      <c r="HY38" s="215"/>
      <c r="HZ38" s="215"/>
      <c r="IA38" s="215"/>
      <c r="IB38" s="215"/>
      <c r="IC38" s="215"/>
      <c r="ID38" s="215"/>
      <c r="IE38" s="215"/>
      <c r="IF38" s="215"/>
      <c r="IG38" s="215"/>
      <c r="IH38" s="215"/>
      <c r="II38" s="215"/>
      <c r="IJ38" s="215"/>
      <c r="IK38" s="215"/>
      <c r="IL38" s="215"/>
      <c r="IM38" s="215"/>
      <c r="IN38" s="215"/>
      <c r="IO38" s="215"/>
      <c r="IP38" s="215"/>
      <c r="IQ38" s="215"/>
      <c r="IR38" s="215"/>
      <c r="IS38" s="215"/>
      <c r="IT38" s="215"/>
      <c r="IU38" s="215"/>
      <c r="IV38" s="215"/>
      <c r="IW38" s="215"/>
      <c r="IX38" s="215"/>
      <c r="IY38" s="215"/>
      <c r="IZ38" s="215"/>
      <c r="JA38" s="215"/>
      <c r="JB38" s="215"/>
      <c r="JC38" s="215"/>
      <c r="JD38" s="215"/>
      <c r="JE38" s="215"/>
      <c r="JF38" s="215"/>
      <c r="JG38" s="215"/>
      <c r="JH38" s="215"/>
      <c r="JI38" s="215"/>
      <c r="JJ38" s="215"/>
      <c r="JK38" s="215"/>
      <c r="JL38" s="215"/>
      <c r="JM38" s="215"/>
      <c r="JN38" s="215"/>
      <c r="JO38" s="215"/>
      <c r="JP38" s="215"/>
      <c r="JQ38" s="215"/>
      <c r="JR38" s="215"/>
      <c r="JS38" s="215"/>
      <c r="JT38" s="215"/>
      <c r="JU38" s="215"/>
      <c r="JV38" s="215"/>
      <c r="JW38" s="215"/>
      <c r="JX38" s="215"/>
      <c r="JY38" s="215"/>
      <c r="JZ38" s="215"/>
      <c r="KA38" s="215"/>
      <c r="KB38" s="215"/>
      <c r="KC38" s="215"/>
      <c r="KD38" s="215"/>
      <c r="KE38" s="215"/>
      <c r="KF38" s="215"/>
      <c r="KG38" s="215"/>
      <c r="KH38" s="215"/>
      <c r="KI38" s="215"/>
      <c r="KJ38" s="215"/>
      <c r="KK38" s="215"/>
      <c r="KL38" s="215"/>
      <c r="KM38" s="215"/>
      <c r="KN38" s="215"/>
      <c r="KO38" s="215"/>
      <c r="KP38" s="215"/>
      <c r="KQ38" s="215"/>
      <c r="KR38" s="215"/>
      <c r="KS38" s="215"/>
      <c r="KT38" s="215"/>
      <c r="KU38" s="215"/>
      <c r="KV38" s="215"/>
      <c r="KW38" s="215"/>
      <c r="KX38" s="215"/>
      <c r="KY38" s="215"/>
      <c r="KZ38" s="215"/>
      <c r="LA38" s="215"/>
      <c r="LB38" s="215"/>
      <c r="LC38" s="215"/>
      <c r="LD38" s="215"/>
      <c r="LE38" s="215"/>
      <c r="LF38" s="215"/>
      <c r="LG38" s="215"/>
      <c r="LH38" s="215"/>
      <c r="LI38" s="215"/>
      <c r="LJ38" s="215"/>
      <c r="LK38" s="215"/>
    </row>
    <row r="39" spans="1:1113" s="256" customFormat="1" ht="30" hidden="1" customHeight="1" x14ac:dyDescent="0.25">
      <c r="A39" s="294"/>
      <c r="B39" s="295"/>
      <c r="C39" s="290"/>
      <c r="D39" s="295"/>
      <c r="E39" s="295"/>
      <c r="F39" s="295"/>
      <c r="G39" s="295"/>
      <c r="H39" s="295"/>
      <c r="I39" s="295"/>
      <c r="J39" s="295"/>
      <c r="K39" s="295"/>
      <c r="L39" s="295"/>
      <c r="M39" s="295"/>
      <c r="N39" s="295"/>
      <c r="O39" s="295"/>
      <c r="P39" s="295"/>
      <c r="Q39" s="295"/>
      <c r="R39" s="295"/>
      <c r="S39" s="295"/>
      <c r="T39" s="295"/>
      <c r="U39" s="295"/>
      <c r="V39" s="295"/>
      <c r="W39" s="295"/>
      <c r="X39" s="295"/>
      <c r="Y39" s="295"/>
      <c r="Z39" s="295"/>
      <c r="AA39" s="295"/>
      <c r="AB39" s="295"/>
      <c r="AC39" s="295"/>
      <c r="AD39" s="295"/>
      <c r="AE39" s="295"/>
      <c r="AF39" s="295"/>
      <c r="AG39" s="295"/>
      <c r="AH39" s="295"/>
      <c r="AI39" s="295"/>
      <c r="AJ39" s="295"/>
      <c r="AK39" s="295"/>
      <c r="AL39" s="295"/>
      <c r="AM39" s="296"/>
      <c r="AN39" s="297"/>
      <c r="AO39" s="297"/>
      <c r="AP39" s="297"/>
      <c r="AQ39" s="297"/>
      <c r="AR39" s="297"/>
      <c r="AS39" s="297"/>
      <c r="AT39" s="297"/>
      <c r="AU39" s="297"/>
      <c r="AV39" s="297"/>
      <c r="AW39" s="297"/>
      <c r="AX39" s="297"/>
      <c r="AY39" s="297"/>
      <c r="AZ39" s="297"/>
      <c r="BA39" s="217"/>
      <c r="BB39" s="217"/>
      <c r="BC39" s="217"/>
      <c r="BD39" s="217"/>
      <c r="BE39" s="217"/>
      <c r="BF39" s="217"/>
      <c r="BG39" s="217"/>
      <c r="BH39" s="217"/>
      <c r="BI39" s="217"/>
      <c r="BJ39" s="217"/>
      <c r="BK39" s="217"/>
      <c r="BL39" s="217"/>
      <c r="BM39" s="217"/>
      <c r="BN39" s="217"/>
      <c r="BO39" s="217"/>
      <c r="BP39" s="217"/>
      <c r="BQ39" s="217"/>
      <c r="BR39" s="215"/>
      <c r="BS39" s="215"/>
      <c r="BT39" s="215"/>
      <c r="BU39" s="215"/>
      <c r="BV39" s="215"/>
      <c r="BW39" s="215"/>
      <c r="BX39" s="215"/>
      <c r="BY39" s="215"/>
      <c r="BZ39" s="215"/>
      <c r="CA39" s="215"/>
      <c r="CB39" s="215"/>
      <c r="CC39" s="215"/>
      <c r="CD39" s="215"/>
      <c r="CE39" s="215"/>
      <c r="CF39" s="215"/>
      <c r="CG39" s="215"/>
      <c r="CH39" s="215"/>
      <c r="CI39" s="215"/>
      <c r="CJ39" s="215"/>
      <c r="CK39" s="215"/>
      <c r="CL39" s="215"/>
      <c r="CM39" s="215"/>
      <c r="CN39" s="215"/>
      <c r="CO39" s="215"/>
      <c r="CP39" s="215"/>
      <c r="CQ39" s="215"/>
      <c r="CR39" s="215"/>
      <c r="CS39" s="215"/>
      <c r="CT39" s="215"/>
      <c r="CU39" s="215"/>
      <c r="CV39" s="215"/>
      <c r="CW39" s="215"/>
      <c r="CX39" s="215"/>
      <c r="CY39" s="215"/>
      <c r="CZ39" s="215"/>
      <c r="DA39" s="215"/>
      <c r="DB39" s="215"/>
      <c r="DC39" s="215"/>
      <c r="DD39" s="215"/>
      <c r="DE39" s="215"/>
      <c r="DF39" s="215"/>
      <c r="DG39" s="215"/>
      <c r="DH39" s="215"/>
      <c r="DI39" s="215"/>
      <c r="DJ39" s="215"/>
      <c r="DK39" s="215"/>
      <c r="DL39" s="215"/>
      <c r="DM39" s="215"/>
      <c r="DN39" s="215"/>
      <c r="DO39" s="215"/>
      <c r="DP39" s="215"/>
      <c r="DQ39" s="215"/>
      <c r="DR39" s="215"/>
      <c r="DS39" s="215"/>
      <c r="DT39" s="215"/>
      <c r="DU39" s="215"/>
      <c r="DV39" s="215"/>
      <c r="DW39" s="215"/>
      <c r="DX39" s="215"/>
      <c r="DY39" s="215"/>
      <c r="DZ39" s="215"/>
      <c r="EA39" s="215"/>
      <c r="EB39" s="215"/>
      <c r="EC39" s="215"/>
      <c r="ED39" s="215"/>
      <c r="EE39" s="215"/>
      <c r="EF39" s="215"/>
      <c r="EG39" s="215"/>
      <c r="EH39" s="215"/>
      <c r="EI39" s="215"/>
      <c r="EJ39" s="215"/>
      <c r="EK39" s="215"/>
      <c r="EL39" s="215"/>
      <c r="EM39" s="215"/>
      <c r="EN39" s="215"/>
      <c r="EO39" s="215"/>
      <c r="EP39" s="215"/>
      <c r="EQ39" s="215"/>
      <c r="ER39" s="215"/>
      <c r="ES39" s="215"/>
      <c r="ET39" s="215"/>
      <c r="EU39" s="215"/>
      <c r="EV39" s="215"/>
      <c r="EW39" s="215"/>
      <c r="EX39" s="215"/>
      <c r="EY39" s="215"/>
      <c r="EZ39" s="215"/>
      <c r="FA39" s="215"/>
      <c r="FB39" s="215"/>
      <c r="FC39" s="215"/>
      <c r="FD39" s="215"/>
      <c r="FE39" s="215"/>
      <c r="FF39" s="215"/>
      <c r="FG39" s="215"/>
      <c r="FH39" s="215"/>
      <c r="FI39" s="215"/>
      <c r="FJ39" s="215"/>
      <c r="FK39" s="215"/>
      <c r="FL39" s="215"/>
      <c r="FM39" s="215"/>
      <c r="FN39" s="215"/>
      <c r="FO39" s="215"/>
      <c r="FP39" s="215"/>
      <c r="FQ39" s="215"/>
      <c r="FR39" s="215"/>
      <c r="FS39" s="215"/>
      <c r="FT39" s="215"/>
      <c r="FU39" s="215"/>
      <c r="FV39" s="215"/>
      <c r="FW39" s="215"/>
      <c r="FX39" s="215"/>
      <c r="FY39" s="215"/>
      <c r="FZ39" s="215"/>
      <c r="GA39" s="215"/>
      <c r="GB39" s="215"/>
      <c r="GC39" s="215"/>
      <c r="GD39" s="215"/>
      <c r="GE39" s="215"/>
      <c r="GF39" s="215"/>
      <c r="GG39" s="215"/>
      <c r="GH39" s="215"/>
      <c r="GI39" s="215"/>
      <c r="GJ39" s="215"/>
      <c r="GK39" s="215"/>
      <c r="GL39" s="215"/>
      <c r="GM39" s="215"/>
      <c r="GN39" s="215"/>
      <c r="GO39" s="215"/>
      <c r="GP39" s="215"/>
      <c r="GQ39" s="215"/>
      <c r="GR39" s="215"/>
      <c r="GS39" s="215"/>
      <c r="GT39" s="215"/>
      <c r="GU39" s="215"/>
      <c r="GV39" s="215"/>
      <c r="GW39" s="215"/>
      <c r="GX39" s="215"/>
      <c r="GY39" s="215"/>
      <c r="GZ39" s="215"/>
      <c r="HA39" s="215"/>
      <c r="HB39" s="215"/>
      <c r="HC39" s="215"/>
      <c r="HD39" s="215"/>
      <c r="HE39" s="215"/>
      <c r="HF39" s="215"/>
      <c r="HG39" s="215"/>
      <c r="HH39" s="215"/>
      <c r="HI39" s="215"/>
      <c r="HJ39" s="215"/>
      <c r="HK39" s="215"/>
      <c r="HL39" s="215"/>
      <c r="HM39" s="215"/>
      <c r="HN39" s="215"/>
      <c r="HO39" s="215"/>
      <c r="HP39" s="215"/>
      <c r="HQ39" s="215"/>
      <c r="HR39" s="215"/>
      <c r="HS39" s="215"/>
      <c r="HT39" s="215"/>
      <c r="HU39" s="215"/>
      <c r="HV39" s="215"/>
      <c r="HW39" s="215"/>
      <c r="HX39" s="215"/>
      <c r="HY39" s="215"/>
      <c r="HZ39" s="215"/>
      <c r="IA39" s="215"/>
      <c r="IB39" s="215"/>
      <c r="IC39" s="215"/>
      <c r="ID39" s="215"/>
      <c r="IE39" s="215"/>
      <c r="IF39" s="215"/>
      <c r="IG39" s="215"/>
      <c r="IH39" s="215"/>
      <c r="II39" s="215"/>
      <c r="IJ39" s="215"/>
      <c r="IK39" s="215"/>
      <c r="IL39" s="215"/>
      <c r="IM39" s="215"/>
      <c r="IN39" s="215"/>
      <c r="IO39" s="215"/>
      <c r="IP39" s="215"/>
      <c r="IQ39" s="215"/>
      <c r="IR39" s="215"/>
      <c r="IS39" s="215"/>
      <c r="IT39" s="215"/>
      <c r="IU39" s="215"/>
      <c r="IV39" s="215"/>
      <c r="IW39" s="215"/>
      <c r="IX39" s="215"/>
      <c r="IY39" s="215"/>
      <c r="IZ39" s="215"/>
      <c r="JA39" s="215"/>
      <c r="JB39" s="215"/>
      <c r="JC39" s="215"/>
      <c r="JD39" s="215"/>
      <c r="JE39" s="215"/>
      <c r="JF39" s="215"/>
      <c r="JG39" s="215"/>
      <c r="JH39" s="215"/>
      <c r="JI39" s="215"/>
      <c r="JJ39" s="215"/>
      <c r="JK39" s="215"/>
      <c r="JL39" s="215"/>
      <c r="JM39" s="215"/>
      <c r="JN39" s="215"/>
      <c r="JO39" s="215"/>
      <c r="JP39" s="215"/>
      <c r="JQ39" s="215"/>
      <c r="JR39" s="215"/>
      <c r="JS39" s="215"/>
      <c r="JT39" s="215"/>
      <c r="JU39" s="215"/>
      <c r="JV39" s="215"/>
      <c r="JW39" s="215"/>
      <c r="JX39" s="215"/>
      <c r="JY39" s="215"/>
      <c r="JZ39" s="215"/>
      <c r="KA39" s="215"/>
      <c r="KB39" s="215"/>
      <c r="KC39" s="215"/>
      <c r="KD39" s="215"/>
      <c r="KE39" s="215"/>
      <c r="KF39" s="215"/>
      <c r="KG39" s="215"/>
      <c r="KH39" s="215"/>
      <c r="KI39" s="215"/>
      <c r="KJ39" s="215"/>
      <c r="KK39" s="215"/>
      <c r="KL39" s="215"/>
      <c r="KM39" s="215"/>
      <c r="KN39" s="215"/>
      <c r="KO39" s="215"/>
      <c r="KP39" s="215"/>
      <c r="KQ39" s="215"/>
      <c r="KR39" s="215"/>
      <c r="KS39" s="215"/>
      <c r="KT39" s="215"/>
      <c r="KU39" s="215"/>
      <c r="KV39" s="215"/>
      <c r="KW39" s="215"/>
      <c r="KX39" s="215"/>
      <c r="KY39" s="215"/>
      <c r="KZ39" s="215"/>
      <c r="LA39" s="215"/>
      <c r="LB39" s="215"/>
      <c r="LC39" s="215"/>
      <c r="LD39" s="215"/>
      <c r="LE39" s="215"/>
      <c r="LF39" s="215"/>
      <c r="LG39" s="215"/>
      <c r="LH39" s="215"/>
      <c r="LI39" s="215"/>
      <c r="LJ39" s="215"/>
      <c r="LK39" s="215"/>
    </row>
    <row r="40" spans="1:1113" s="232" customFormat="1" ht="30" hidden="1" customHeight="1" x14ac:dyDescent="0.25">
      <c r="A40" s="298"/>
      <c r="B40" s="16" t="s">
        <v>449</v>
      </c>
      <c r="C40" s="299"/>
      <c r="D40" s="300"/>
      <c r="E40" s="301"/>
      <c r="F40" s="301"/>
      <c r="G40" s="301"/>
      <c r="H40" s="301"/>
      <c r="I40" s="301"/>
      <c r="J40" s="301"/>
      <c r="K40" s="301"/>
      <c r="L40" s="301"/>
      <c r="M40" s="301"/>
      <c r="N40" s="301"/>
      <c r="O40" s="301"/>
      <c r="P40" s="301"/>
      <c r="Q40" s="301"/>
      <c r="R40" s="301"/>
      <c r="S40" s="301"/>
      <c r="T40" s="301"/>
      <c r="U40" s="301"/>
      <c r="V40" s="301"/>
      <c r="W40" s="301"/>
      <c r="X40" s="301"/>
      <c r="Y40" s="301"/>
      <c r="Z40" s="301"/>
      <c r="AA40" s="301"/>
      <c r="AB40" s="301"/>
      <c r="AC40" s="301"/>
      <c r="AD40" s="301"/>
      <c r="AE40" s="301"/>
      <c r="AF40" s="301"/>
      <c r="AG40" s="301"/>
      <c r="AH40" s="301"/>
      <c r="AI40" s="301"/>
      <c r="AJ40" s="301"/>
      <c r="AK40" s="302"/>
      <c r="AL40" s="302"/>
      <c r="AM40" s="303"/>
      <c r="AN40" s="215"/>
      <c r="AO40" s="215"/>
      <c r="AP40" s="215"/>
      <c r="AQ40" s="215"/>
      <c r="AR40" s="215"/>
      <c r="AS40" s="215"/>
      <c r="AT40" s="215"/>
      <c r="AU40" s="215"/>
      <c r="AV40" s="215"/>
      <c r="AW40" s="215"/>
      <c r="AX40" s="215"/>
      <c r="AY40" s="215"/>
      <c r="AZ40" s="291"/>
      <c r="BA40" s="215"/>
      <c r="BB40" s="215"/>
      <c r="BC40" s="215"/>
      <c r="BD40" s="215"/>
      <c r="BE40" s="215"/>
      <c r="BF40" s="215"/>
      <c r="BG40" s="215"/>
      <c r="BH40" s="215"/>
      <c r="BI40" s="215"/>
      <c r="BJ40" s="215"/>
      <c r="BK40" s="215"/>
      <c r="BL40" s="215"/>
      <c r="BM40" s="215"/>
      <c r="BN40" s="215"/>
      <c r="BO40" s="215"/>
      <c r="BP40" s="215"/>
      <c r="BQ40" s="215"/>
      <c r="BR40" s="215"/>
      <c r="BS40" s="215"/>
      <c r="BT40" s="215"/>
      <c r="BU40" s="215"/>
      <c r="BV40" s="215"/>
      <c r="BW40" s="215"/>
      <c r="BX40" s="215"/>
      <c r="BY40" s="215"/>
      <c r="BZ40" s="215"/>
      <c r="CA40" s="215"/>
      <c r="CB40" s="215"/>
      <c r="CC40" s="215"/>
      <c r="CD40" s="215"/>
      <c r="CE40" s="215"/>
      <c r="CF40" s="215"/>
      <c r="CG40" s="215"/>
      <c r="CH40" s="215"/>
      <c r="CI40" s="215"/>
      <c r="CJ40" s="215"/>
      <c r="CK40" s="215"/>
      <c r="CL40" s="215"/>
      <c r="CM40" s="215"/>
      <c r="CN40" s="215"/>
      <c r="CO40" s="215"/>
      <c r="CP40" s="215"/>
      <c r="CQ40" s="215"/>
      <c r="CR40" s="215"/>
      <c r="CS40" s="215"/>
      <c r="CT40" s="215"/>
      <c r="CU40" s="215"/>
      <c r="CV40" s="215"/>
      <c r="CW40" s="215"/>
      <c r="CX40" s="215"/>
      <c r="CY40" s="215"/>
      <c r="CZ40" s="215"/>
      <c r="DA40" s="215"/>
      <c r="DB40" s="215"/>
      <c r="DC40" s="215"/>
      <c r="DD40" s="215"/>
      <c r="DE40" s="215"/>
      <c r="DF40" s="215"/>
      <c r="DG40" s="215"/>
      <c r="DH40" s="215"/>
      <c r="DI40" s="215"/>
      <c r="DJ40" s="215"/>
      <c r="DK40" s="215"/>
      <c r="DL40" s="215"/>
      <c r="DM40" s="215"/>
      <c r="DN40" s="215"/>
      <c r="DO40" s="215"/>
      <c r="DP40" s="215"/>
      <c r="DQ40" s="215"/>
      <c r="DR40" s="215"/>
      <c r="DS40" s="215"/>
      <c r="DT40" s="215"/>
      <c r="DU40" s="215"/>
      <c r="DV40" s="215"/>
      <c r="DW40" s="215"/>
      <c r="DX40" s="215"/>
      <c r="DY40" s="215"/>
      <c r="DZ40" s="215"/>
      <c r="EA40" s="215"/>
      <c r="EB40" s="215"/>
      <c r="EC40" s="215"/>
      <c r="ED40" s="215"/>
      <c r="EE40" s="215"/>
      <c r="EF40" s="215"/>
      <c r="EG40" s="215"/>
      <c r="EH40" s="215"/>
      <c r="EI40" s="215"/>
      <c r="EJ40" s="215"/>
      <c r="EK40" s="215"/>
      <c r="EL40" s="215"/>
      <c r="EM40" s="215"/>
      <c r="EN40" s="215"/>
      <c r="EO40" s="215"/>
      <c r="EP40" s="215"/>
      <c r="EQ40" s="215"/>
      <c r="ER40" s="215"/>
      <c r="ES40" s="215"/>
      <c r="ET40" s="215"/>
      <c r="EU40" s="215"/>
      <c r="EV40" s="215"/>
      <c r="EW40" s="215"/>
      <c r="EX40" s="215"/>
      <c r="EY40" s="215"/>
      <c r="EZ40" s="215"/>
      <c r="FA40" s="215"/>
      <c r="FB40" s="215"/>
      <c r="FC40" s="215"/>
      <c r="FD40" s="215"/>
      <c r="FE40" s="215"/>
      <c r="FF40" s="215"/>
      <c r="FG40" s="215"/>
      <c r="FH40" s="215"/>
      <c r="FI40" s="215"/>
      <c r="FJ40" s="215"/>
      <c r="FK40" s="215"/>
      <c r="FL40" s="215"/>
      <c r="FM40" s="215"/>
      <c r="FN40" s="215"/>
      <c r="FO40" s="215"/>
      <c r="FP40" s="215"/>
      <c r="FQ40" s="215"/>
      <c r="FR40" s="215"/>
      <c r="FS40" s="215"/>
      <c r="FT40" s="215"/>
      <c r="FU40" s="215"/>
      <c r="FV40" s="215"/>
      <c r="FW40" s="215"/>
      <c r="FX40" s="215"/>
      <c r="FY40" s="215"/>
      <c r="FZ40" s="215"/>
      <c r="GA40" s="215"/>
      <c r="GB40" s="215"/>
      <c r="GC40" s="215"/>
      <c r="GD40" s="215"/>
      <c r="GE40" s="215"/>
      <c r="GF40" s="215"/>
      <c r="GG40" s="215"/>
      <c r="GH40" s="215"/>
      <c r="GI40" s="215"/>
      <c r="GJ40" s="215"/>
      <c r="GK40" s="215"/>
      <c r="GL40" s="215"/>
      <c r="GM40" s="215"/>
      <c r="GN40" s="215"/>
      <c r="GO40" s="215"/>
      <c r="GP40" s="215"/>
      <c r="GQ40" s="215"/>
      <c r="GR40" s="215"/>
      <c r="GS40" s="215"/>
      <c r="GT40" s="215"/>
      <c r="GU40" s="215"/>
      <c r="GV40" s="215"/>
      <c r="GW40" s="215"/>
      <c r="GX40" s="215"/>
      <c r="GY40" s="215"/>
      <c r="GZ40" s="215"/>
      <c r="HA40" s="215"/>
      <c r="HB40" s="215"/>
      <c r="HC40" s="215"/>
      <c r="HD40" s="215"/>
      <c r="HE40" s="215"/>
      <c r="HF40" s="215"/>
      <c r="HG40" s="215"/>
      <c r="HH40" s="215"/>
      <c r="HI40" s="215"/>
      <c r="HJ40" s="215"/>
      <c r="HK40" s="215"/>
      <c r="HL40" s="215"/>
      <c r="HM40" s="215"/>
      <c r="HN40" s="215"/>
      <c r="HO40" s="215"/>
      <c r="HP40" s="215"/>
      <c r="HQ40" s="215"/>
      <c r="HR40" s="215"/>
      <c r="HS40" s="215"/>
      <c r="HT40" s="215"/>
      <c r="HU40" s="215"/>
      <c r="HV40" s="215"/>
      <c r="HW40" s="215"/>
      <c r="HX40" s="215"/>
      <c r="HY40" s="215"/>
      <c r="HZ40" s="215"/>
      <c r="IA40" s="215"/>
      <c r="IB40" s="215"/>
      <c r="IC40" s="215"/>
      <c r="ID40" s="215"/>
      <c r="IE40" s="215"/>
      <c r="IF40" s="215"/>
      <c r="IG40" s="215"/>
      <c r="IH40" s="215"/>
      <c r="II40" s="215"/>
      <c r="IJ40" s="215"/>
      <c r="IK40" s="215"/>
      <c r="IL40" s="215"/>
      <c r="IM40" s="215"/>
      <c r="IN40" s="215"/>
      <c r="IO40" s="215"/>
      <c r="IP40" s="215"/>
      <c r="IQ40" s="215"/>
      <c r="IR40" s="215"/>
      <c r="IS40" s="215"/>
      <c r="IT40" s="215"/>
      <c r="IU40" s="215"/>
      <c r="IV40" s="215"/>
      <c r="IW40" s="215"/>
      <c r="IX40" s="215"/>
      <c r="IY40" s="215"/>
      <c r="IZ40" s="215"/>
      <c r="JA40" s="215"/>
      <c r="JB40" s="215"/>
      <c r="JC40" s="215"/>
      <c r="JD40" s="215"/>
      <c r="JE40" s="215"/>
      <c r="JF40" s="215"/>
      <c r="JG40" s="215"/>
      <c r="JH40" s="215"/>
      <c r="JI40" s="215"/>
      <c r="JJ40" s="215"/>
      <c r="JK40" s="215"/>
      <c r="JL40" s="215"/>
      <c r="JM40" s="215"/>
      <c r="JN40" s="215"/>
      <c r="JO40" s="215"/>
      <c r="JP40" s="215"/>
      <c r="JQ40" s="215"/>
      <c r="JR40" s="215"/>
      <c r="JS40" s="215"/>
      <c r="JT40" s="215"/>
      <c r="JU40" s="215"/>
      <c r="JV40" s="215"/>
      <c r="JW40" s="215"/>
      <c r="JX40" s="215"/>
      <c r="JY40" s="215"/>
      <c r="JZ40" s="215"/>
      <c r="KA40" s="215"/>
      <c r="KB40" s="215"/>
      <c r="KC40" s="215"/>
      <c r="KD40" s="215"/>
      <c r="KE40" s="215"/>
      <c r="KF40" s="215"/>
      <c r="KG40" s="215"/>
      <c r="KH40" s="215"/>
      <c r="KI40" s="215"/>
      <c r="KJ40" s="215"/>
      <c r="KK40" s="215"/>
      <c r="KL40" s="215"/>
      <c r="KM40" s="215"/>
      <c r="KN40" s="215"/>
      <c r="KO40" s="215"/>
      <c r="KP40" s="215"/>
      <c r="KQ40" s="215"/>
      <c r="KR40" s="215"/>
      <c r="KS40" s="215"/>
      <c r="KT40" s="215"/>
      <c r="KU40" s="215"/>
      <c r="KV40" s="215"/>
      <c r="KW40" s="215"/>
      <c r="KX40" s="215"/>
      <c r="KY40" s="215"/>
      <c r="KZ40" s="215"/>
      <c r="LA40" s="215"/>
      <c r="LB40" s="215"/>
      <c r="LC40" s="215"/>
      <c r="LD40" s="215"/>
      <c r="LE40" s="215"/>
      <c r="LF40" s="215"/>
      <c r="LG40" s="215"/>
      <c r="LH40" s="215"/>
      <c r="LI40" s="215"/>
      <c r="LJ40" s="215"/>
      <c r="LK40" s="215"/>
    </row>
    <row r="41" spans="1:1113" s="232" customFormat="1" ht="30" hidden="1" customHeight="1" x14ac:dyDescent="0.25">
      <c r="A41" s="289">
        <v>1</v>
      </c>
      <c r="B41" s="11" t="s">
        <v>450</v>
      </c>
      <c r="C41" s="290"/>
      <c r="D41" s="10">
        <v>5</v>
      </c>
      <c r="E41" s="291">
        <v>0.7</v>
      </c>
      <c r="F41" s="291">
        <v>0.3</v>
      </c>
      <c r="G41" s="292">
        <f>$P$10-$R$17</f>
        <v>4</v>
      </c>
      <c r="H41" s="291" t="e">
        <f>+D41*(E41)*F41*(G41-#REF!)</f>
        <v>#REF!</v>
      </c>
      <c r="I41" s="291">
        <f>+IF(+AND(E41&gt;0.3,E41&lt;=0.75,F41&gt;0.3),($D41*($E41+$F41)*2*($G41-#REF!)),0)</f>
        <v>0</v>
      </c>
      <c r="J41" s="291" t="e">
        <f>+IF(+AND(E41&gt;0.3,E41&lt;=0.75,F41&lt;=0.3),($D41*($E41+$F41-0.3-0.3)*2*($G41-#REF!)),0)</f>
        <v>#REF!</v>
      </c>
      <c r="K41" s="291">
        <f>+IF(+AND(E41&gt;0.75,E41&lt;=1.2,F41&gt;0),($D41*($E41+$F41)*2*($G41-#REF!)),0)</f>
        <v>0</v>
      </c>
      <c r="L41" s="291">
        <f>+IF(+AND(E41&gt;1.2,F41&gt;0),($D41*($E41+$F41)*2*($G41-#REF!)),0)</f>
        <v>0</v>
      </c>
      <c r="M41" s="291" t="e">
        <f t="shared" ref="M41:M43" si="24">SUM(I41:L41)</f>
        <v>#REF!</v>
      </c>
      <c r="N41" s="291">
        <f>ROUNDUP(E41/0.6,0)*ROUNDUP(G41/0.6,0)*D41</f>
        <v>70</v>
      </c>
      <c r="O41" s="291">
        <f t="shared" ref="O41:Q43" si="25">D41</f>
        <v>5</v>
      </c>
      <c r="P41" s="291">
        <f t="shared" si="25"/>
        <v>0.7</v>
      </c>
      <c r="Q41" s="291">
        <f t="shared" si="25"/>
        <v>0.3</v>
      </c>
      <c r="R41" s="291">
        <f>$R$9-$R$10</f>
        <v>4</v>
      </c>
      <c r="S41" s="291">
        <f>+O41*(P41)*Q41*R41</f>
        <v>4.2</v>
      </c>
      <c r="T41" s="291">
        <f>+IF(+AND(P41&gt;0.3,P41&lt;=0.75,Q41&gt;0.3),(O41*(P41+Q41)*2*(R41-$E$11)),0)</f>
        <v>0</v>
      </c>
      <c r="U41" s="291">
        <f>+IF(+AND(P41&gt;0.3,P41&lt;=0.75,Q41&lt;=0.3),(O41*(P41+Q41)*2*(R41-$E$11)),0)</f>
        <v>33.25</v>
      </c>
      <c r="V41" s="291">
        <f>+IF(+AND(P41&gt;0.75,P41&lt;=1.2,Q41&gt;0),(O41*(P41+Q41)*2*(R41-$E$11)),0)</f>
        <v>0</v>
      </c>
      <c r="W41" s="291">
        <f>+IF(+AND(P41&gt;1.2,Q41&gt;0),(O41*(P41+Q41)*2*(R41-$E$11)),0)</f>
        <v>0</v>
      </c>
      <c r="X41" s="291">
        <f t="shared" ref="X41:X43" si="26">SUM(T41:W41)</f>
        <v>33.25</v>
      </c>
      <c r="Y41" s="291">
        <f t="shared" ref="Y41:Y43" si="27">ROUNDUP(P41/0.6,0)*ROUNDUP(R41/0.6,0)*O41</f>
        <v>70</v>
      </c>
      <c r="Z41" s="291">
        <f>O41-3</f>
        <v>2</v>
      </c>
      <c r="AA41" s="291">
        <f t="shared" ref="AA41:AB43" si="28">+E41</f>
        <v>0.7</v>
      </c>
      <c r="AB41" s="291">
        <f t="shared" si="28"/>
        <v>0.3</v>
      </c>
      <c r="AC41" s="291">
        <f>$P$19</f>
        <v>4</v>
      </c>
      <c r="AD41" s="291">
        <f t="shared" ref="AD41:AD43" si="29">+Z41*AA41*AB41*AC41</f>
        <v>1.68</v>
      </c>
      <c r="AE41" s="291">
        <f t="shared" ref="AE41:AE43" si="30">+IF(+AND(AA41&gt;0.3,AA41&lt;=0.75,AB41&gt;0.3),(Z41*(AA41+AB41)*2*(AC41-$E$11)),0)</f>
        <v>0</v>
      </c>
      <c r="AF41" s="291">
        <f>+IF(+AND(AA41&gt;0.3,AA41&lt;=0.75,AB41&lt;=0.3),(Z41*(AA41+AB41)*2*(AC41-$E$11)),0)</f>
        <v>13.3</v>
      </c>
      <c r="AG41" s="291">
        <f t="shared" ref="AG41:AG43" si="31">+IF(+AND(AA41&gt;0.75,AA41&lt;=1.2,AB41&gt;0),(Z41*(AA41+AB41)*2*(AC41-$E$11)),0)</f>
        <v>0</v>
      </c>
      <c r="AH41" s="291">
        <f t="shared" ref="AH41:AH43" si="32">+IF(+AND(AA41&gt;1.2,AB41&gt;0),(Z41*(AA41+AB41)*2*(AC41-$E$11)),0)</f>
        <v>0</v>
      </c>
      <c r="AI41" s="291">
        <f t="shared" ref="AI41:AI43" si="33">SUM(AE41:AH41)</f>
        <v>13.3</v>
      </c>
      <c r="AJ41" s="291">
        <f t="shared" ref="AJ41:AJ43" si="34">ROUNDUP(AA41/0.6,0)*ROUNDUP(AC41/0.6,0)*Z41</f>
        <v>28</v>
      </c>
      <c r="AL41" s="232">
        <f t="shared" ref="AL41:AL43" si="35">+ROUNDUP((O41)/5,0)</f>
        <v>1</v>
      </c>
      <c r="AM41" s="293">
        <f>AL41*(2*(P41+Q41)*2.44)</f>
        <v>4.88</v>
      </c>
      <c r="AN41" s="215"/>
      <c r="AO41" s="215">
        <v>0.8</v>
      </c>
      <c r="AP41" s="215"/>
      <c r="AQ41" s="215"/>
      <c r="AR41" s="215"/>
      <c r="AS41" s="215"/>
      <c r="AT41" s="215"/>
      <c r="AU41" s="215"/>
      <c r="AV41" s="215"/>
      <c r="AW41" s="215"/>
      <c r="AX41" s="215"/>
      <c r="AY41" s="215"/>
      <c r="AZ41" s="291"/>
      <c r="BA41" s="215"/>
      <c r="BB41" s="215"/>
      <c r="BC41" s="215"/>
      <c r="BD41" s="215"/>
      <c r="BE41" s="215"/>
      <c r="BF41" s="215"/>
      <c r="BG41" s="215"/>
      <c r="BH41" s="215"/>
      <c r="BI41" s="215"/>
      <c r="BJ41" s="215"/>
      <c r="BK41" s="215"/>
      <c r="BL41" s="215"/>
      <c r="BM41" s="215"/>
      <c r="BN41" s="215"/>
      <c r="BO41" s="215"/>
      <c r="BP41" s="215"/>
      <c r="BQ41" s="215"/>
      <c r="BR41" s="215"/>
      <c r="BS41" s="215"/>
      <c r="BT41" s="215"/>
      <c r="BU41" s="215"/>
      <c r="BV41" s="215"/>
      <c r="BW41" s="215"/>
      <c r="BX41" s="215"/>
      <c r="BY41" s="215"/>
      <c r="BZ41" s="215"/>
      <c r="CA41" s="215"/>
      <c r="CB41" s="215"/>
      <c r="CC41" s="215"/>
      <c r="CD41" s="215"/>
      <c r="CE41" s="215"/>
      <c r="CF41" s="215"/>
      <c r="CG41" s="215"/>
      <c r="CH41" s="215"/>
      <c r="CI41" s="215"/>
      <c r="CJ41" s="215"/>
      <c r="CK41" s="215"/>
      <c r="CL41" s="215"/>
      <c r="CM41" s="215"/>
      <c r="CN41" s="215"/>
      <c r="CO41" s="215"/>
      <c r="CP41" s="215"/>
      <c r="CQ41" s="215"/>
      <c r="CR41" s="215"/>
      <c r="CS41" s="215"/>
      <c r="CT41" s="215"/>
      <c r="CU41" s="215"/>
      <c r="CV41" s="215"/>
      <c r="CW41" s="215"/>
      <c r="CX41" s="215"/>
      <c r="CY41" s="215"/>
      <c r="CZ41" s="215"/>
      <c r="DA41" s="215"/>
      <c r="DB41" s="215"/>
      <c r="DC41" s="215"/>
      <c r="DD41" s="215"/>
      <c r="DE41" s="215"/>
      <c r="DF41" s="215"/>
      <c r="DG41" s="215"/>
      <c r="DH41" s="215"/>
      <c r="DI41" s="215"/>
      <c r="DJ41" s="215"/>
      <c r="DK41" s="215"/>
      <c r="DL41" s="215"/>
      <c r="DM41" s="215"/>
      <c r="DN41" s="215"/>
      <c r="DO41" s="215"/>
      <c r="DP41" s="215"/>
      <c r="DQ41" s="215"/>
      <c r="DR41" s="215"/>
      <c r="DS41" s="215"/>
      <c r="DT41" s="215"/>
      <c r="DU41" s="215"/>
      <c r="DV41" s="215"/>
      <c r="DW41" s="215"/>
      <c r="DX41" s="215"/>
      <c r="DY41" s="215"/>
      <c r="DZ41" s="215"/>
      <c r="EA41" s="215"/>
      <c r="EB41" s="215"/>
      <c r="EC41" s="215"/>
      <c r="ED41" s="215"/>
      <c r="EE41" s="215"/>
      <c r="EF41" s="215"/>
      <c r="EG41" s="215"/>
      <c r="EH41" s="215"/>
      <c r="EI41" s="215"/>
      <c r="EJ41" s="215"/>
      <c r="EK41" s="215"/>
      <c r="EL41" s="215"/>
      <c r="EM41" s="215"/>
      <c r="EN41" s="215"/>
      <c r="EO41" s="215"/>
      <c r="EP41" s="215"/>
      <c r="EQ41" s="215"/>
      <c r="ER41" s="215"/>
      <c r="ES41" s="215"/>
      <c r="ET41" s="215"/>
      <c r="EU41" s="215"/>
      <c r="EV41" s="215"/>
      <c r="EW41" s="215"/>
      <c r="EX41" s="215"/>
      <c r="EY41" s="215"/>
      <c r="EZ41" s="215"/>
      <c r="FA41" s="215"/>
      <c r="FB41" s="215"/>
      <c r="FC41" s="215"/>
      <c r="FD41" s="215"/>
      <c r="FE41" s="215"/>
      <c r="FF41" s="215"/>
      <c r="FG41" s="215"/>
      <c r="FH41" s="215"/>
      <c r="FI41" s="215"/>
      <c r="FJ41" s="215"/>
      <c r="FK41" s="215"/>
      <c r="FL41" s="215"/>
      <c r="FM41" s="215"/>
      <c r="FN41" s="215"/>
      <c r="FO41" s="215"/>
      <c r="FP41" s="215"/>
      <c r="FQ41" s="215"/>
      <c r="FR41" s="215"/>
      <c r="FS41" s="215"/>
      <c r="FT41" s="215"/>
      <c r="FU41" s="215"/>
      <c r="FV41" s="215"/>
      <c r="FW41" s="215"/>
      <c r="FX41" s="215"/>
      <c r="FY41" s="215"/>
      <c r="FZ41" s="215"/>
      <c r="GA41" s="215"/>
      <c r="GB41" s="215"/>
      <c r="GC41" s="215"/>
      <c r="GD41" s="215"/>
      <c r="GE41" s="215"/>
      <c r="GF41" s="215"/>
      <c r="GG41" s="215"/>
      <c r="GH41" s="215"/>
      <c r="GI41" s="215"/>
      <c r="GJ41" s="215"/>
      <c r="GK41" s="215"/>
      <c r="GL41" s="215"/>
      <c r="GM41" s="215"/>
      <c r="GN41" s="215"/>
      <c r="GO41" s="215"/>
      <c r="GP41" s="215"/>
      <c r="GQ41" s="215"/>
      <c r="GR41" s="215"/>
      <c r="GS41" s="215"/>
      <c r="GT41" s="215"/>
      <c r="GU41" s="215"/>
      <c r="GV41" s="215"/>
      <c r="GW41" s="215"/>
      <c r="GX41" s="215"/>
      <c r="GY41" s="215"/>
      <c r="GZ41" s="215"/>
      <c r="HA41" s="215"/>
      <c r="HB41" s="215"/>
      <c r="HC41" s="215"/>
      <c r="HD41" s="215"/>
      <c r="HE41" s="215"/>
      <c r="HF41" s="215"/>
      <c r="HG41" s="215"/>
      <c r="HH41" s="215"/>
      <c r="HI41" s="215"/>
      <c r="HJ41" s="215"/>
      <c r="HK41" s="215"/>
      <c r="HL41" s="215"/>
      <c r="HM41" s="215"/>
      <c r="HN41" s="215"/>
      <c r="HO41" s="215"/>
      <c r="HP41" s="215"/>
      <c r="HQ41" s="215"/>
      <c r="HR41" s="215"/>
      <c r="HS41" s="215"/>
      <c r="HT41" s="215"/>
      <c r="HU41" s="215"/>
      <c r="HV41" s="215"/>
      <c r="HW41" s="215"/>
      <c r="HX41" s="215"/>
      <c r="HY41" s="215"/>
      <c r="HZ41" s="215"/>
      <c r="IA41" s="215"/>
      <c r="IB41" s="215"/>
      <c r="IC41" s="215"/>
      <c r="ID41" s="215"/>
      <c r="IE41" s="215"/>
      <c r="IF41" s="215"/>
      <c r="IG41" s="215"/>
      <c r="IH41" s="215"/>
      <c r="II41" s="215"/>
      <c r="IJ41" s="215"/>
      <c r="IK41" s="215"/>
      <c r="IL41" s="215"/>
      <c r="IM41" s="215"/>
      <c r="IN41" s="215"/>
      <c r="IO41" s="215"/>
      <c r="IP41" s="215"/>
      <c r="IQ41" s="215"/>
      <c r="IR41" s="215"/>
      <c r="IS41" s="215"/>
      <c r="IT41" s="215"/>
      <c r="IU41" s="215"/>
      <c r="IV41" s="215"/>
      <c r="IW41" s="215"/>
      <c r="IX41" s="215"/>
      <c r="IY41" s="215"/>
      <c r="IZ41" s="215"/>
      <c r="JA41" s="215"/>
      <c r="JB41" s="215"/>
      <c r="JC41" s="215"/>
      <c r="JD41" s="215"/>
      <c r="JE41" s="215"/>
      <c r="JF41" s="215"/>
      <c r="JG41" s="215"/>
      <c r="JH41" s="215"/>
      <c r="JI41" s="215"/>
      <c r="JJ41" s="215"/>
      <c r="JK41" s="215"/>
      <c r="JL41" s="215"/>
      <c r="JM41" s="215"/>
      <c r="JN41" s="215"/>
      <c r="JO41" s="215"/>
      <c r="JP41" s="215"/>
      <c r="JQ41" s="215"/>
      <c r="JR41" s="215"/>
      <c r="JS41" s="215"/>
      <c r="JT41" s="215"/>
      <c r="JU41" s="215"/>
      <c r="JV41" s="215"/>
      <c r="JW41" s="215"/>
      <c r="JX41" s="215"/>
      <c r="JY41" s="215"/>
      <c r="JZ41" s="215"/>
      <c r="KA41" s="215"/>
      <c r="KB41" s="215"/>
      <c r="KC41" s="215"/>
      <c r="KD41" s="215"/>
      <c r="KE41" s="215"/>
      <c r="KF41" s="215"/>
      <c r="KG41" s="215"/>
      <c r="KH41" s="215"/>
      <c r="KI41" s="215"/>
      <c r="KJ41" s="215"/>
      <c r="KK41" s="215"/>
      <c r="KL41" s="215"/>
      <c r="KM41" s="215"/>
      <c r="KN41" s="215"/>
      <c r="KO41" s="215"/>
      <c r="KP41" s="215"/>
      <c r="KQ41" s="215"/>
      <c r="KR41" s="215"/>
      <c r="KS41" s="215"/>
      <c r="KT41" s="215"/>
      <c r="KU41" s="215"/>
      <c r="KV41" s="215"/>
      <c r="KW41" s="215"/>
      <c r="KX41" s="215"/>
      <c r="KY41" s="215"/>
      <c r="KZ41" s="215"/>
      <c r="LA41" s="215"/>
      <c r="LB41" s="215"/>
      <c r="LC41" s="215"/>
      <c r="LD41" s="215"/>
      <c r="LE41" s="215"/>
      <c r="LF41" s="215"/>
      <c r="LG41" s="215"/>
      <c r="LH41" s="215"/>
      <c r="LI41" s="215"/>
      <c r="LJ41" s="215"/>
      <c r="LK41" s="215"/>
    </row>
    <row r="42" spans="1:1113" s="232" customFormat="1" ht="30" hidden="1" customHeight="1" x14ac:dyDescent="0.25">
      <c r="A42" s="289">
        <v>1</v>
      </c>
      <c r="B42" s="11" t="s">
        <v>451</v>
      </c>
      <c r="C42" s="290"/>
      <c r="D42" s="10">
        <v>33</v>
      </c>
      <c r="E42" s="291">
        <v>0.6</v>
      </c>
      <c r="F42" s="291">
        <v>0.4</v>
      </c>
      <c r="G42" s="292">
        <f>$P$10-$R$17</f>
        <v>4</v>
      </c>
      <c r="H42" s="291" t="e">
        <f>+D42*(E42)*F42*(G42-#REF!)</f>
        <v>#REF!</v>
      </c>
      <c r="I42" s="291" t="e">
        <f>+IF(+AND(E42&gt;0.3,E42&lt;=0.75,F42&gt;0.3),($D42*($E42+$F42)*2*($G42-#REF!)),0)</f>
        <v>#REF!</v>
      </c>
      <c r="J42" s="291">
        <f>+IF(+AND(E42&gt;0.3,E42&lt;=0.75,F42&lt;=0.3),($D42*($E42+$F42-0.3-0.3)*2*($G42-#REF!)),0)</f>
        <v>0</v>
      </c>
      <c r="K42" s="291">
        <f>+IF(+AND(E42&gt;0.75,E42&lt;=1.2,F42&gt;0),($D42*($E42+$F42)*2*($G42-#REF!)),0)</f>
        <v>0</v>
      </c>
      <c r="L42" s="291">
        <f>+IF(+AND(E42&gt;1.2,F42&gt;0),($D42*($E42+$F42)*2*($G42-#REF!)),0)</f>
        <v>0</v>
      </c>
      <c r="M42" s="291" t="e">
        <f t="shared" si="24"/>
        <v>#REF!</v>
      </c>
      <c r="N42" s="291">
        <f>ROUNDUP(E42/0.6,0)*ROUNDUP(G42/0.6,0)*D42</f>
        <v>231</v>
      </c>
      <c r="O42" s="291">
        <f t="shared" si="25"/>
        <v>33</v>
      </c>
      <c r="P42" s="291">
        <f t="shared" si="25"/>
        <v>0.6</v>
      </c>
      <c r="Q42" s="291">
        <f t="shared" si="25"/>
        <v>0.4</v>
      </c>
      <c r="R42" s="291">
        <f>$R$9-$R$10</f>
        <v>4</v>
      </c>
      <c r="S42" s="291">
        <f>+O42*(P42)*Q42*R42</f>
        <v>31.680000000000003</v>
      </c>
      <c r="T42" s="291">
        <f>+IF(+AND(P42&gt;0.3,P42&lt;=0.75,Q42&gt;0.3),(O42*(P42+Q42)*2*(R42-$E$11)),0)</f>
        <v>219.45000000000002</v>
      </c>
      <c r="U42" s="291">
        <f>+IF(+AND(P42&gt;0.3,P42&lt;=0.75,Q42&lt;=0.3),(O42*(P42+Q42)*2*(R42-$E$11)),0)</f>
        <v>0</v>
      </c>
      <c r="V42" s="291">
        <f>+IF(+AND(P42&gt;0.75,P42&lt;=1.2,Q42&gt;0),(O42*(P42+Q42)*2*(R42-$E$11)),0)</f>
        <v>0</v>
      </c>
      <c r="W42" s="291">
        <f>+IF(+AND(P42&gt;1.2,Q42&gt;0),(O42*(P42+Q42)*2*(R42-$E$11)),0)</f>
        <v>0</v>
      </c>
      <c r="X42" s="291">
        <f t="shared" si="26"/>
        <v>219.45000000000002</v>
      </c>
      <c r="Y42" s="291">
        <f t="shared" si="27"/>
        <v>231</v>
      </c>
      <c r="Z42" s="291">
        <f>O42-3</f>
        <v>30</v>
      </c>
      <c r="AA42" s="291">
        <f t="shared" si="28"/>
        <v>0.6</v>
      </c>
      <c r="AB42" s="291">
        <f t="shared" si="28"/>
        <v>0.4</v>
      </c>
      <c r="AC42" s="291">
        <f>$P$19</f>
        <v>4</v>
      </c>
      <c r="AD42" s="291">
        <f t="shared" si="29"/>
        <v>28.8</v>
      </c>
      <c r="AE42" s="291">
        <f t="shared" si="30"/>
        <v>199.5</v>
      </c>
      <c r="AF42" s="291">
        <f>+IF(+AND(AA42&gt;0.3,AA42&lt;=0.75,AB42&lt;=0.3),(Z42*(AA42+AB42)*2*(AC42-$E$11)),0)</f>
        <v>0</v>
      </c>
      <c r="AG42" s="291">
        <f t="shared" si="31"/>
        <v>0</v>
      </c>
      <c r="AH42" s="291">
        <f t="shared" si="32"/>
        <v>0</v>
      </c>
      <c r="AI42" s="291">
        <f t="shared" si="33"/>
        <v>199.5</v>
      </c>
      <c r="AJ42" s="291">
        <f t="shared" si="34"/>
        <v>210</v>
      </c>
      <c r="AL42" s="232">
        <f t="shared" si="35"/>
        <v>7</v>
      </c>
      <c r="AM42" s="293">
        <f>AL42*(2*(P42+Q42)*2.44)</f>
        <v>34.159999999999997</v>
      </c>
      <c r="AN42" s="215"/>
      <c r="AO42" s="215">
        <v>0.8</v>
      </c>
      <c r="AP42" s="215"/>
      <c r="AQ42" s="215"/>
      <c r="AR42" s="215"/>
      <c r="AS42" s="215"/>
      <c r="AT42" s="215"/>
      <c r="AU42" s="215"/>
      <c r="AV42" s="215"/>
      <c r="AW42" s="215"/>
      <c r="AX42" s="215"/>
      <c r="AY42" s="215"/>
      <c r="AZ42" s="291"/>
      <c r="BA42" s="215"/>
      <c r="BB42" s="215"/>
      <c r="BC42" s="215"/>
      <c r="BD42" s="215"/>
      <c r="BE42" s="215"/>
      <c r="BF42" s="215"/>
      <c r="BG42" s="215"/>
      <c r="BH42" s="215"/>
      <c r="BI42" s="215"/>
      <c r="BJ42" s="215"/>
      <c r="BK42" s="215"/>
      <c r="BL42" s="215"/>
      <c r="BM42" s="215"/>
      <c r="BN42" s="215"/>
      <c r="BO42" s="215"/>
      <c r="BP42" s="215"/>
      <c r="BQ42" s="215"/>
      <c r="BR42" s="215"/>
      <c r="BS42" s="215"/>
      <c r="BT42" s="215"/>
      <c r="BU42" s="215"/>
      <c r="BV42" s="215"/>
      <c r="BW42" s="215"/>
      <c r="BX42" s="215"/>
      <c r="BY42" s="215"/>
      <c r="BZ42" s="215"/>
      <c r="CA42" s="215"/>
      <c r="CB42" s="215"/>
      <c r="CC42" s="215"/>
      <c r="CD42" s="215"/>
      <c r="CE42" s="215"/>
      <c r="CF42" s="215"/>
      <c r="CG42" s="215"/>
      <c r="CH42" s="215"/>
      <c r="CI42" s="215"/>
      <c r="CJ42" s="215"/>
      <c r="CK42" s="215"/>
      <c r="CL42" s="215"/>
      <c r="CM42" s="215"/>
      <c r="CN42" s="215"/>
      <c r="CO42" s="215"/>
      <c r="CP42" s="215"/>
      <c r="CQ42" s="215"/>
      <c r="CR42" s="215"/>
      <c r="CS42" s="215"/>
      <c r="CT42" s="215"/>
      <c r="CU42" s="215"/>
      <c r="CV42" s="215"/>
      <c r="CW42" s="215"/>
      <c r="CX42" s="215"/>
      <c r="CY42" s="215"/>
      <c r="CZ42" s="215"/>
      <c r="DA42" s="215"/>
      <c r="DB42" s="215"/>
      <c r="DC42" s="215"/>
      <c r="DD42" s="215"/>
      <c r="DE42" s="215"/>
      <c r="DF42" s="215"/>
      <c r="DG42" s="215"/>
      <c r="DH42" s="215"/>
      <c r="DI42" s="215"/>
      <c r="DJ42" s="215"/>
      <c r="DK42" s="215"/>
      <c r="DL42" s="215"/>
      <c r="DM42" s="215"/>
      <c r="DN42" s="215"/>
      <c r="DO42" s="215"/>
      <c r="DP42" s="215"/>
      <c r="DQ42" s="215"/>
      <c r="DR42" s="215"/>
      <c r="DS42" s="215"/>
      <c r="DT42" s="215"/>
      <c r="DU42" s="215"/>
      <c r="DV42" s="215"/>
      <c r="DW42" s="215"/>
      <c r="DX42" s="215"/>
      <c r="DY42" s="215"/>
      <c r="DZ42" s="215"/>
      <c r="EA42" s="215"/>
      <c r="EB42" s="215"/>
      <c r="EC42" s="215"/>
      <c r="ED42" s="215"/>
      <c r="EE42" s="215"/>
      <c r="EF42" s="215"/>
      <c r="EG42" s="215"/>
      <c r="EH42" s="215"/>
      <c r="EI42" s="215"/>
      <c r="EJ42" s="215"/>
      <c r="EK42" s="215"/>
      <c r="EL42" s="215"/>
      <c r="EM42" s="215"/>
      <c r="EN42" s="215"/>
      <c r="EO42" s="215"/>
      <c r="EP42" s="215"/>
      <c r="EQ42" s="215"/>
      <c r="ER42" s="215"/>
      <c r="ES42" s="215"/>
      <c r="ET42" s="215"/>
      <c r="EU42" s="215"/>
      <c r="EV42" s="215"/>
      <c r="EW42" s="215"/>
      <c r="EX42" s="215"/>
      <c r="EY42" s="215"/>
      <c r="EZ42" s="215"/>
      <c r="FA42" s="215"/>
      <c r="FB42" s="215"/>
      <c r="FC42" s="215"/>
      <c r="FD42" s="215"/>
      <c r="FE42" s="215"/>
      <c r="FF42" s="215"/>
      <c r="FG42" s="215"/>
      <c r="FH42" s="215"/>
      <c r="FI42" s="215"/>
      <c r="FJ42" s="215"/>
      <c r="FK42" s="215"/>
      <c r="FL42" s="215"/>
      <c r="FM42" s="215"/>
      <c r="FN42" s="215"/>
      <c r="FO42" s="215"/>
      <c r="FP42" s="215"/>
      <c r="FQ42" s="215"/>
      <c r="FR42" s="215"/>
      <c r="FS42" s="215"/>
      <c r="FT42" s="215"/>
      <c r="FU42" s="215"/>
      <c r="FV42" s="215"/>
      <c r="FW42" s="215"/>
      <c r="FX42" s="215"/>
      <c r="FY42" s="215"/>
      <c r="FZ42" s="215"/>
      <c r="GA42" s="215"/>
      <c r="GB42" s="215"/>
      <c r="GC42" s="215"/>
      <c r="GD42" s="215"/>
      <c r="GE42" s="215"/>
      <c r="GF42" s="215"/>
      <c r="GG42" s="215"/>
      <c r="GH42" s="215"/>
      <c r="GI42" s="215"/>
      <c r="GJ42" s="215"/>
      <c r="GK42" s="215"/>
      <c r="GL42" s="215"/>
      <c r="GM42" s="215"/>
      <c r="GN42" s="215"/>
      <c r="GO42" s="215"/>
      <c r="GP42" s="215"/>
      <c r="GQ42" s="215"/>
      <c r="GR42" s="215"/>
      <c r="GS42" s="215"/>
      <c r="GT42" s="215"/>
      <c r="GU42" s="215"/>
      <c r="GV42" s="215"/>
      <c r="GW42" s="215"/>
      <c r="GX42" s="215"/>
      <c r="GY42" s="215"/>
      <c r="GZ42" s="215"/>
      <c r="HA42" s="215"/>
      <c r="HB42" s="215"/>
      <c r="HC42" s="215"/>
      <c r="HD42" s="215"/>
      <c r="HE42" s="215"/>
      <c r="HF42" s="215"/>
      <c r="HG42" s="215"/>
      <c r="HH42" s="215"/>
      <c r="HI42" s="215"/>
      <c r="HJ42" s="215"/>
      <c r="HK42" s="215"/>
      <c r="HL42" s="215"/>
      <c r="HM42" s="215"/>
      <c r="HN42" s="215"/>
      <c r="HO42" s="215"/>
      <c r="HP42" s="215"/>
      <c r="HQ42" s="215"/>
      <c r="HR42" s="215"/>
      <c r="HS42" s="215"/>
      <c r="HT42" s="215"/>
      <c r="HU42" s="215"/>
      <c r="HV42" s="215"/>
      <c r="HW42" s="215"/>
      <c r="HX42" s="215"/>
      <c r="HY42" s="215"/>
      <c r="HZ42" s="215"/>
      <c r="IA42" s="215"/>
      <c r="IB42" s="215"/>
      <c r="IC42" s="215"/>
      <c r="ID42" s="215"/>
      <c r="IE42" s="215"/>
      <c r="IF42" s="215"/>
      <c r="IG42" s="215"/>
      <c r="IH42" s="215"/>
      <c r="II42" s="215"/>
      <c r="IJ42" s="215"/>
      <c r="IK42" s="215"/>
      <c r="IL42" s="215"/>
      <c r="IM42" s="215"/>
      <c r="IN42" s="215"/>
      <c r="IO42" s="215"/>
      <c r="IP42" s="215"/>
      <c r="IQ42" s="215"/>
      <c r="IR42" s="215"/>
      <c r="IS42" s="215"/>
      <c r="IT42" s="215"/>
      <c r="IU42" s="215"/>
      <c r="IV42" s="215"/>
      <c r="IW42" s="215"/>
      <c r="IX42" s="215"/>
      <c r="IY42" s="215"/>
      <c r="IZ42" s="215"/>
      <c r="JA42" s="215"/>
      <c r="JB42" s="215"/>
      <c r="JC42" s="215"/>
      <c r="JD42" s="215"/>
      <c r="JE42" s="215"/>
      <c r="JF42" s="215"/>
      <c r="JG42" s="215"/>
      <c r="JH42" s="215"/>
      <c r="JI42" s="215"/>
      <c r="JJ42" s="215"/>
      <c r="JK42" s="215"/>
      <c r="JL42" s="215"/>
      <c r="JM42" s="215"/>
      <c r="JN42" s="215"/>
      <c r="JO42" s="215"/>
      <c r="JP42" s="215"/>
      <c r="JQ42" s="215"/>
      <c r="JR42" s="215"/>
      <c r="JS42" s="215"/>
      <c r="JT42" s="215"/>
      <c r="JU42" s="215"/>
      <c r="JV42" s="215"/>
      <c r="JW42" s="215"/>
      <c r="JX42" s="215"/>
      <c r="JY42" s="215"/>
      <c r="JZ42" s="215"/>
      <c r="KA42" s="215"/>
      <c r="KB42" s="215"/>
      <c r="KC42" s="215"/>
      <c r="KD42" s="215"/>
      <c r="KE42" s="215"/>
      <c r="KF42" s="215"/>
      <c r="KG42" s="215"/>
      <c r="KH42" s="215"/>
      <c r="KI42" s="215"/>
      <c r="KJ42" s="215"/>
      <c r="KK42" s="215"/>
      <c r="KL42" s="215"/>
      <c r="KM42" s="215"/>
      <c r="KN42" s="215"/>
      <c r="KO42" s="215"/>
      <c r="KP42" s="215"/>
      <c r="KQ42" s="215"/>
      <c r="KR42" s="215"/>
      <c r="KS42" s="215"/>
      <c r="KT42" s="215"/>
      <c r="KU42" s="215"/>
      <c r="KV42" s="215"/>
      <c r="KW42" s="215"/>
      <c r="KX42" s="215"/>
      <c r="KY42" s="215"/>
      <c r="KZ42" s="215"/>
      <c r="LA42" s="215"/>
      <c r="LB42" s="215"/>
      <c r="LC42" s="215"/>
      <c r="LD42" s="215"/>
      <c r="LE42" s="215"/>
      <c r="LF42" s="215"/>
      <c r="LG42" s="215"/>
      <c r="LH42" s="215"/>
      <c r="LI42" s="215"/>
      <c r="LJ42" s="215"/>
      <c r="LK42" s="215"/>
    </row>
    <row r="43" spans="1:1113" s="232" customFormat="1" ht="30" hidden="1" customHeight="1" x14ac:dyDescent="0.25">
      <c r="A43" s="289">
        <v>1</v>
      </c>
      <c r="B43" s="11" t="s">
        <v>452</v>
      </c>
      <c r="C43" s="290"/>
      <c r="D43" s="10">
        <v>1</v>
      </c>
      <c r="E43" s="291">
        <v>1</v>
      </c>
      <c r="F43" s="291">
        <v>0.3</v>
      </c>
      <c r="G43" s="292">
        <f>$P$10-$R$17</f>
        <v>4</v>
      </c>
      <c r="H43" s="291" t="e">
        <f>+D43*(E43)*F43*(G43-#REF!)</f>
        <v>#REF!</v>
      </c>
      <c r="I43" s="291">
        <f>+IF(+AND(E43&gt;0.3,E43&lt;=0.75,F43&gt;0.3),($D43*($E43+$F43)*2*($G43-#REF!)),0)</f>
        <v>0</v>
      </c>
      <c r="J43" s="291">
        <f>+IF(+AND(E43&gt;0.3,E43&lt;=0.75,F43&lt;=0.3),($D43*($E43+$F43-0.3-0.3)*2*($G43-#REF!)),0)</f>
        <v>0</v>
      </c>
      <c r="K43" s="291" t="e">
        <f>+IF(+AND(E43&gt;0.75,E43&lt;=1.2,F43&gt;0),($D43*($E43+$F43)*2*($G43-#REF!)),0)</f>
        <v>#REF!</v>
      </c>
      <c r="L43" s="291">
        <f>+IF(+AND(E43&gt;1.2,F43&gt;0),($D43*($E43+$F43)*2*($G43-#REF!)),0)</f>
        <v>0</v>
      </c>
      <c r="M43" s="291" t="e">
        <f t="shared" si="24"/>
        <v>#REF!</v>
      </c>
      <c r="N43" s="291">
        <f>ROUNDUP(E43/0.6,0)*ROUNDUP(G43/0.6,0)*D43</f>
        <v>14</v>
      </c>
      <c r="O43" s="291">
        <f t="shared" si="25"/>
        <v>1</v>
      </c>
      <c r="P43" s="291">
        <f t="shared" si="25"/>
        <v>1</v>
      </c>
      <c r="Q43" s="291">
        <f t="shared" si="25"/>
        <v>0.3</v>
      </c>
      <c r="R43" s="291">
        <f>$R$9-$R$10</f>
        <v>4</v>
      </c>
      <c r="S43" s="291">
        <f>+O43*(P43)*Q43*R43</f>
        <v>1.2</v>
      </c>
      <c r="T43" s="291">
        <f>+IF(+AND(P43&gt;0.3,P43&lt;=0.75,Q43&gt;0.3),(O43*(P43+Q43)*2*(R43-$E$11)),0)</f>
        <v>0</v>
      </c>
      <c r="U43" s="291">
        <f>+IF(+AND(P43&gt;0.3,P43&lt;=0.75,Q43&lt;=0.3),(O43*(P43+Q43)*2*(R43-$E$11)),0)</f>
        <v>0</v>
      </c>
      <c r="V43" s="291">
        <f>+IF(+AND(P43&gt;0.75,P43&lt;=1.2,Q43&gt;0),(O43*(P43+Q43)*2*(R43-$E$11)),0)</f>
        <v>8.6450000000000014</v>
      </c>
      <c r="W43" s="291">
        <f>+IF(+AND(P43&gt;1.2,Q43&gt;0),(O43*(P43+Q43)*2*(R43-$E$11)),0)</f>
        <v>0</v>
      </c>
      <c r="X43" s="291">
        <f t="shared" si="26"/>
        <v>8.6450000000000014</v>
      </c>
      <c r="Y43" s="291">
        <f t="shared" si="27"/>
        <v>14</v>
      </c>
      <c r="Z43" s="291">
        <f>O43-1</f>
        <v>0</v>
      </c>
      <c r="AA43" s="291">
        <f t="shared" si="28"/>
        <v>1</v>
      </c>
      <c r="AB43" s="291">
        <f t="shared" si="28"/>
        <v>0.3</v>
      </c>
      <c r="AC43" s="291">
        <f>$P$19</f>
        <v>4</v>
      </c>
      <c r="AD43" s="291">
        <f t="shared" si="29"/>
        <v>0</v>
      </c>
      <c r="AE43" s="291">
        <f t="shared" si="30"/>
        <v>0</v>
      </c>
      <c r="AF43" s="291">
        <f>+IF(+AND(AA43&gt;0.3,AA43&lt;=0.75,AB43&lt;=0.3),(Z43*(AA43+AB43)*2*(AC43-$E$11)),0)</f>
        <v>0</v>
      </c>
      <c r="AG43" s="291">
        <f t="shared" si="31"/>
        <v>0</v>
      </c>
      <c r="AH43" s="291">
        <f t="shared" si="32"/>
        <v>0</v>
      </c>
      <c r="AI43" s="291">
        <f t="shared" si="33"/>
        <v>0</v>
      </c>
      <c r="AJ43" s="291">
        <f t="shared" si="34"/>
        <v>0</v>
      </c>
      <c r="AL43" s="232">
        <f t="shared" si="35"/>
        <v>1</v>
      </c>
      <c r="AM43" s="293">
        <f>AL43*(2*(P43+Q43)*2.44)</f>
        <v>6.3440000000000003</v>
      </c>
      <c r="AN43" s="215"/>
      <c r="AO43" s="215">
        <v>0.8</v>
      </c>
      <c r="AP43" s="215"/>
      <c r="AQ43" s="215"/>
      <c r="AR43" s="215"/>
      <c r="AS43" s="215"/>
      <c r="AT43" s="215"/>
      <c r="AU43" s="215"/>
      <c r="AV43" s="215"/>
      <c r="AW43" s="215"/>
      <c r="AX43" s="215"/>
      <c r="AY43" s="215"/>
      <c r="AZ43" s="291"/>
      <c r="BA43" s="215"/>
      <c r="BB43" s="215"/>
      <c r="BC43" s="215"/>
      <c r="BD43" s="215"/>
      <c r="BE43" s="215"/>
      <c r="BF43" s="215"/>
      <c r="BG43" s="215"/>
      <c r="BH43" s="215"/>
      <c r="BI43" s="215"/>
      <c r="BJ43" s="215"/>
      <c r="BK43" s="215"/>
      <c r="BL43" s="215"/>
      <c r="BM43" s="215"/>
      <c r="BN43" s="215"/>
      <c r="BO43" s="215"/>
      <c r="BP43" s="215"/>
      <c r="BQ43" s="215"/>
      <c r="BR43" s="215"/>
      <c r="BS43" s="215"/>
      <c r="BT43" s="215"/>
      <c r="BU43" s="215"/>
      <c r="BV43" s="215"/>
      <c r="BW43" s="215"/>
      <c r="BX43" s="215"/>
      <c r="BY43" s="215"/>
      <c r="BZ43" s="215"/>
      <c r="CA43" s="215"/>
      <c r="CB43" s="215"/>
      <c r="CC43" s="215"/>
      <c r="CD43" s="215"/>
      <c r="CE43" s="215"/>
      <c r="CF43" s="215"/>
      <c r="CG43" s="215"/>
      <c r="CH43" s="215"/>
      <c r="CI43" s="215"/>
      <c r="CJ43" s="215"/>
      <c r="CK43" s="215"/>
      <c r="CL43" s="215"/>
      <c r="CM43" s="215"/>
      <c r="CN43" s="215"/>
      <c r="CO43" s="215"/>
      <c r="CP43" s="215"/>
      <c r="CQ43" s="215"/>
      <c r="CR43" s="215"/>
      <c r="CS43" s="215"/>
      <c r="CT43" s="215"/>
      <c r="CU43" s="215"/>
      <c r="CV43" s="215"/>
      <c r="CW43" s="215"/>
      <c r="CX43" s="215"/>
      <c r="CY43" s="215"/>
      <c r="CZ43" s="215"/>
      <c r="DA43" s="215"/>
      <c r="DB43" s="215"/>
      <c r="DC43" s="215"/>
      <c r="DD43" s="215"/>
      <c r="DE43" s="215"/>
      <c r="DF43" s="215"/>
      <c r="DG43" s="215"/>
      <c r="DH43" s="215"/>
      <c r="DI43" s="215"/>
      <c r="DJ43" s="215"/>
      <c r="DK43" s="215"/>
      <c r="DL43" s="215"/>
      <c r="DM43" s="215"/>
      <c r="DN43" s="215"/>
      <c r="DO43" s="215"/>
      <c r="DP43" s="215"/>
      <c r="DQ43" s="215"/>
      <c r="DR43" s="215"/>
      <c r="DS43" s="215"/>
      <c r="DT43" s="215"/>
      <c r="DU43" s="215"/>
      <c r="DV43" s="215"/>
      <c r="DW43" s="215"/>
      <c r="DX43" s="215"/>
      <c r="DY43" s="215"/>
      <c r="DZ43" s="215"/>
      <c r="EA43" s="215"/>
      <c r="EB43" s="215"/>
      <c r="EC43" s="215"/>
      <c r="ED43" s="215"/>
      <c r="EE43" s="215"/>
      <c r="EF43" s="215"/>
      <c r="EG43" s="215"/>
      <c r="EH43" s="215"/>
      <c r="EI43" s="215"/>
      <c r="EJ43" s="215"/>
      <c r="EK43" s="215"/>
      <c r="EL43" s="215"/>
      <c r="EM43" s="215"/>
      <c r="EN43" s="215"/>
      <c r="EO43" s="215"/>
      <c r="EP43" s="215"/>
      <c r="EQ43" s="215"/>
      <c r="ER43" s="215"/>
      <c r="ES43" s="215"/>
      <c r="ET43" s="215"/>
      <c r="EU43" s="215"/>
      <c r="EV43" s="215"/>
      <c r="EW43" s="215"/>
      <c r="EX43" s="215"/>
      <c r="EY43" s="215"/>
      <c r="EZ43" s="215"/>
      <c r="FA43" s="215"/>
      <c r="FB43" s="215"/>
      <c r="FC43" s="215"/>
      <c r="FD43" s="215"/>
      <c r="FE43" s="215"/>
      <c r="FF43" s="215"/>
      <c r="FG43" s="215"/>
      <c r="FH43" s="215"/>
      <c r="FI43" s="215"/>
      <c r="FJ43" s="215"/>
      <c r="FK43" s="215"/>
      <c r="FL43" s="215"/>
      <c r="FM43" s="215"/>
      <c r="FN43" s="215"/>
      <c r="FO43" s="215"/>
      <c r="FP43" s="215"/>
      <c r="FQ43" s="215"/>
      <c r="FR43" s="215"/>
      <c r="FS43" s="215"/>
      <c r="FT43" s="215"/>
      <c r="FU43" s="215"/>
      <c r="FV43" s="215"/>
      <c r="FW43" s="215"/>
      <c r="FX43" s="215"/>
      <c r="FY43" s="215"/>
      <c r="FZ43" s="215"/>
      <c r="GA43" s="215"/>
      <c r="GB43" s="215"/>
      <c r="GC43" s="215"/>
      <c r="GD43" s="215"/>
      <c r="GE43" s="215"/>
      <c r="GF43" s="215"/>
      <c r="GG43" s="215"/>
      <c r="GH43" s="215"/>
      <c r="GI43" s="215"/>
      <c r="GJ43" s="215"/>
      <c r="GK43" s="215"/>
      <c r="GL43" s="215"/>
      <c r="GM43" s="215"/>
      <c r="GN43" s="215"/>
      <c r="GO43" s="215"/>
      <c r="GP43" s="215"/>
      <c r="GQ43" s="215"/>
      <c r="GR43" s="215"/>
      <c r="GS43" s="215"/>
      <c r="GT43" s="215"/>
      <c r="GU43" s="215"/>
      <c r="GV43" s="215"/>
      <c r="GW43" s="215"/>
      <c r="GX43" s="215"/>
      <c r="GY43" s="215"/>
      <c r="GZ43" s="215"/>
      <c r="HA43" s="215"/>
      <c r="HB43" s="215"/>
      <c r="HC43" s="215"/>
      <c r="HD43" s="215"/>
      <c r="HE43" s="215"/>
      <c r="HF43" s="215"/>
      <c r="HG43" s="215"/>
      <c r="HH43" s="215"/>
      <c r="HI43" s="215"/>
      <c r="HJ43" s="215"/>
      <c r="HK43" s="215"/>
      <c r="HL43" s="215"/>
      <c r="HM43" s="215"/>
      <c r="HN43" s="215"/>
      <c r="HO43" s="215"/>
      <c r="HP43" s="215"/>
      <c r="HQ43" s="215"/>
      <c r="HR43" s="215"/>
      <c r="HS43" s="215"/>
      <c r="HT43" s="215"/>
      <c r="HU43" s="215"/>
      <c r="HV43" s="215"/>
      <c r="HW43" s="215"/>
      <c r="HX43" s="215"/>
      <c r="HY43" s="215"/>
      <c r="HZ43" s="215"/>
      <c r="IA43" s="215"/>
      <c r="IB43" s="215"/>
      <c r="IC43" s="215"/>
      <c r="ID43" s="215"/>
      <c r="IE43" s="215"/>
      <c r="IF43" s="215"/>
      <c r="IG43" s="215"/>
      <c r="IH43" s="215"/>
      <c r="II43" s="215"/>
      <c r="IJ43" s="215"/>
      <c r="IK43" s="215"/>
      <c r="IL43" s="215"/>
      <c r="IM43" s="215"/>
      <c r="IN43" s="215"/>
      <c r="IO43" s="215"/>
      <c r="IP43" s="215"/>
      <c r="IQ43" s="215"/>
      <c r="IR43" s="215"/>
      <c r="IS43" s="215"/>
      <c r="IT43" s="215"/>
      <c r="IU43" s="215"/>
      <c r="IV43" s="215"/>
      <c r="IW43" s="215"/>
      <c r="IX43" s="215"/>
      <c r="IY43" s="215"/>
      <c r="IZ43" s="215"/>
      <c r="JA43" s="215"/>
      <c r="JB43" s="215"/>
      <c r="JC43" s="215"/>
      <c r="JD43" s="215"/>
      <c r="JE43" s="215"/>
      <c r="JF43" s="215"/>
      <c r="JG43" s="215"/>
      <c r="JH43" s="215"/>
      <c r="JI43" s="215"/>
      <c r="JJ43" s="215"/>
      <c r="JK43" s="215"/>
      <c r="JL43" s="215"/>
      <c r="JM43" s="215"/>
      <c r="JN43" s="215"/>
      <c r="JO43" s="215"/>
      <c r="JP43" s="215"/>
      <c r="JQ43" s="215"/>
      <c r="JR43" s="215"/>
      <c r="JS43" s="215"/>
      <c r="JT43" s="215"/>
      <c r="JU43" s="215"/>
      <c r="JV43" s="215"/>
      <c r="JW43" s="215"/>
      <c r="JX43" s="215"/>
      <c r="JY43" s="215"/>
      <c r="JZ43" s="215"/>
      <c r="KA43" s="215"/>
      <c r="KB43" s="215"/>
      <c r="KC43" s="215"/>
      <c r="KD43" s="215"/>
      <c r="KE43" s="215"/>
      <c r="KF43" s="215"/>
      <c r="KG43" s="215"/>
      <c r="KH43" s="215"/>
      <c r="KI43" s="215"/>
      <c r="KJ43" s="215"/>
      <c r="KK43" s="215"/>
      <c r="KL43" s="215"/>
      <c r="KM43" s="215"/>
      <c r="KN43" s="215"/>
      <c r="KO43" s="215"/>
      <c r="KP43" s="215"/>
      <c r="KQ43" s="215"/>
      <c r="KR43" s="215"/>
      <c r="KS43" s="215"/>
      <c r="KT43" s="215"/>
      <c r="KU43" s="215"/>
      <c r="KV43" s="215"/>
      <c r="KW43" s="215"/>
      <c r="KX43" s="215"/>
      <c r="KY43" s="215"/>
      <c r="KZ43" s="215"/>
      <c r="LA43" s="215"/>
      <c r="LB43" s="215"/>
      <c r="LC43" s="215"/>
      <c r="LD43" s="215"/>
      <c r="LE43" s="215"/>
      <c r="LF43" s="215"/>
      <c r="LG43" s="215"/>
      <c r="LH43" s="215"/>
      <c r="LI43" s="215"/>
      <c r="LJ43" s="215"/>
      <c r="LK43" s="215"/>
    </row>
    <row r="44" spans="1:1113" s="256" customFormat="1" ht="30" hidden="1" customHeight="1" x14ac:dyDescent="0.25">
      <c r="A44" s="294"/>
      <c r="B44" s="295" t="s">
        <v>30</v>
      </c>
      <c r="C44" s="290"/>
      <c r="D44" s="295">
        <f>SUM(D41:D43)</f>
        <v>39</v>
      </c>
      <c r="E44" s="295"/>
      <c r="F44" s="295"/>
      <c r="G44" s="295"/>
      <c r="H44" s="295" t="e">
        <f>SUM(H41:H43)</f>
        <v>#REF!</v>
      </c>
      <c r="I44" s="295" t="e">
        <f t="shared" ref="I44:AM44" si="36">SUM(I41:I43)</f>
        <v>#REF!</v>
      </c>
      <c r="J44" s="295" t="e">
        <f t="shared" si="36"/>
        <v>#REF!</v>
      </c>
      <c r="K44" s="295" t="e">
        <f t="shared" si="36"/>
        <v>#REF!</v>
      </c>
      <c r="L44" s="295">
        <f t="shared" si="36"/>
        <v>0</v>
      </c>
      <c r="M44" s="295" t="e">
        <f t="shared" si="36"/>
        <v>#REF!</v>
      </c>
      <c r="N44" s="295">
        <f t="shared" si="36"/>
        <v>315</v>
      </c>
      <c r="O44" s="295">
        <f t="shared" si="36"/>
        <v>39</v>
      </c>
      <c r="P44" s="295">
        <f t="shared" si="36"/>
        <v>2.2999999999999998</v>
      </c>
      <c r="Q44" s="295">
        <f t="shared" si="36"/>
        <v>1</v>
      </c>
      <c r="R44" s="295">
        <f t="shared" si="36"/>
        <v>12</v>
      </c>
      <c r="S44" s="295">
        <f t="shared" si="36"/>
        <v>37.080000000000005</v>
      </c>
      <c r="T44" s="295">
        <f t="shared" si="36"/>
        <v>219.45000000000002</v>
      </c>
      <c r="U44" s="295">
        <f t="shared" si="36"/>
        <v>33.25</v>
      </c>
      <c r="V44" s="295">
        <f t="shared" si="36"/>
        <v>8.6450000000000014</v>
      </c>
      <c r="W44" s="295">
        <f t="shared" si="36"/>
        <v>0</v>
      </c>
      <c r="X44" s="295">
        <f t="shared" si="36"/>
        <v>261.34500000000003</v>
      </c>
      <c r="Y44" s="295">
        <f t="shared" si="36"/>
        <v>315</v>
      </c>
      <c r="Z44" s="295">
        <f t="shared" si="36"/>
        <v>32</v>
      </c>
      <c r="AA44" s="295">
        <f t="shared" si="36"/>
        <v>2.2999999999999998</v>
      </c>
      <c r="AB44" s="295">
        <f t="shared" si="36"/>
        <v>1</v>
      </c>
      <c r="AC44" s="295">
        <f t="shared" si="36"/>
        <v>12</v>
      </c>
      <c r="AD44" s="295">
        <f t="shared" si="36"/>
        <v>30.48</v>
      </c>
      <c r="AE44" s="295">
        <f t="shared" si="36"/>
        <v>199.5</v>
      </c>
      <c r="AF44" s="295">
        <f t="shared" si="36"/>
        <v>13.3</v>
      </c>
      <c r="AG44" s="295">
        <f t="shared" si="36"/>
        <v>0</v>
      </c>
      <c r="AH44" s="295">
        <f t="shared" si="36"/>
        <v>0</v>
      </c>
      <c r="AI44" s="295">
        <f t="shared" si="36"/>
        <v>212.8</v>
      </c>
      <c r="AJ44" s="295">
        <f t="shared" si="36"/>
        <v>238</v>
      </c>
      <c r="AK44" s="295">
        <f t="shared" si="36"/>
        <v>0</v>
      </c>
      <c r="AL44" s="295">
        <f t="shared" si="36"/>
        <v>9</v>
      </c>
      <c r="AM44" s="296">
        <f t="shared" si="36"/>
        <v>45.384</v>
      </c>
      <c r="AN44" s="297"/>
      <c r="AO44" s="297"/>
      <c r="AP44" s="297"/>
      <c r="AQ44" s="297"/>
      <c r="AR44" s="297"/>
      <c r="AS44" s="297"/>
      <c r="AT44" s="297"/>
      <c r="AU44" s="297"/>
      <c r="AV44" s="297"/>
      <c r="AW44" s="297"/>
      <c r="AX44" s="297"/>
      <c r="AY44" s="297"/>
      <c r="AZ44" s="297"/>
      <c r="BA44" s="217"/>
      <c r="BB44" s="217"/>
      <c r="BC44" s="217"/>
      <c r="BD44" s="217"/>
      <c r="BE44" s="217"/>
      <c r="BF44" s="217"/>
      <c r="BG44" s="217"/>
      <c r="BH44" s="217"/>
      <c r="BI44" s="217"/>
      <c r="BJ44" s="217"/>
      <c r="BK44" s="217"/>
      <c r="BL44" s="217"/>
      <c r="BM44" s="217"/>
      <c r="BN44" s="217"/>
      <c r="BO44" s="217"/>
      <c r="BP44" s="217"/>
      <c r="BQ44" s="217"/>
      <c r="BR44" s="215"/>
      <c r="BS44" s="215"/>
      <c r="BT44" s="215"/>
      <c r="BU44" s="215"/>
      <c r="BV44" s="215"/>
      <c r="BW44" s="215"/>
      <c r="BX44" s="215"/>
      <c r="BY44" s="215"/>
      <c r="BZ44" s="215"/>
      <c r="CA44" s="215"/>
      <c r="CB44" s="215"/>
      <c r="CC44" s="215"/>
      <c r="CD44" s="215"/>
      <c r="CE44" s="215"/>
      <c r="CF44" s="215"/>
      <c r="CG44" s="215"/>
      <c r="CH44" s="215"/>
      <c r="CI44" s="215"/>
      <c r="CJ44" s="215"/>
      <c r="CK44" s="215"/>
      <c r="CL44" s="215"/>
      <c r="CM44" s="215"/>
      <c r="CN44" s="215"/>
      <c r="CO44" s="215"/>
      <c r="CP44" s="215"/>
      <c r="CQ44" s="215"/>
      <c r="CR44" s="215"/>
      <c r="CS44" s="215"/>
      <c r="CT44" s="215"/>
      <c r="CU44" s="215"/>
      <c r="CV44" s="215"/>
      <c r="CW44" s="215"/>
      <c r="CX44" s="215"/>
      <c r="CY44" s="215"/>
      <c r="CZ44" s="215"/>
      <c r="DA44" s="215"/>
      <c r="DB44" s="215"/>
      <c r="DC44" s="215"/>
      <c r="DD44" s="215"/>
      <c r="DE44" s="215"/>
      <c r="DF44" s="215"/>
      <c r="DG44" s="215"/>
      <c r="DH44" s="215"/>
      <c r="DI44" s="215"/>
      <c r="DJ44" s="215"/>
      <c r="DK44" s="215"/>
      <c r="DL44" s="215"/>
      <c r="DM44" s="215"/>
      <c r="DN44" s="215"/>
      <c r="DO44" s="215"/>
      <c r="DP44" s="215"/>
      <c r="DQ44" s="215"/>
      <c r="DR44" s="215"/>
      <c r="DS44" s="215"/>
      <c r="DT44" s="215"/>
      <c r="DU44" s="215"/>
      <c r="DV44" s="215"/>
      <c r="DW44" s="215"/>
      <c r="DX44" s="215"/>
      <c r="DY44" s="215"/>
      <c r="DZ44" s="215"/>
      <c r="EA44" s="215"/>
      <c r="EB44" s="215"/>
      <c r="EC44" s="215"/>
      <c r="ED44" s="215"/>
      <c r="EE44" s="215"/>
      <c r="EF44" s="215"/>
      <c r="EG44" s="215"/>
      <c r="EH44" s="215"/>
      <c r="EI44" s="215"/>
      <c r="EJ44" s="215"/>
      <c r="EK44" s="215"/>
      <c r="EL44" s="215"/>
      <c r="EM44" s="215"/>
      <c r="EN44" s="215"/>
      <c r="EO44" s="215"/>
      <c r="EP44" s="215"/>
      <c r="EQ44" s="215"/>
      <c r="ER44" s="215"/>
      <c r="ES44" s="215"/>
      <c r="ET44" s="215"/>
      <c r="EU44" s="215"/>
      <c r="EV44" s="215"/>
      <c r="EW44" s="215"/>
      <c r="EX44" s="215"/>
      <c r="EY44" s="215"/>
      <c r="EZ44" s="215"/>
      <c r="FA44" s="215"/>
      <c r="FB44" s="215"/>
      <c r="FC44" s="215"/>
      <c r="FD44" s="215"/>
      <c r="FE44" s="215"/>
      <c r="FF44" s="215"/>
      <c r="FG44" s="215"/>
      <c r="FH44" s="215"/>
      <c r="FI44" s="215"/>
      <c r="FJ44" s="215"/>
      <c r="FK44" s="215"/>
      <c r="FL44" s="215"/>
      <c r="FM44" s="215"/>
      <c r="FN44" s="215"/>
      <c r="FO44" s="215"/>
      <c r="FP44" s="215"/>
      <c r="FQ44" s="215"/>
      <c r="FR44" s="215"/>
      <c r="FS44" s="215"/>
      <c r="FT44" s="215"/>
      <c r="FU44" s="215"/>
      <c r="FV44" s="215"/>
      <c r="FW44" s="215"/>
      <c r="FX44" s="215"/>
      <c r="FY44" s="215"/>
      <c r="FZ44" s="215"/>
      <c r="GA44" s="215"/>
      <c r="GB44" s="215"/>
      <c r="GC44" s="215"/>
      <c r="GD44" s="215"/>
      <c r="GE44" s="215"/>
      <c r="GF44" s="215"/>
      <c r="GG44" s="215"/>
      <c r="GH44" s="215"/>
      <c r="GI44" s="215"/>
      <c r="GJ44" s="215"/>
      <c r="GK44" s="215"/>
      <c r="GL44" s="215"/>
      <c r="GM44" s="215"/>
      <c r="GN44" s="215"/>
      <c r="GO44" s="215"/>
      <c r="GP44" s="215"/>
      <c r="GQ44" s="215"/>
      <c r="GR44" s="215"/>
      <c r="GS44" s="215"/>
      <c r="GT44" s="215"/>
      <c r="GU44" s="215"/>
      <c r="GV44" s="215"/>
      <c r="GW44" s="215"/>
      <c r="GX44" s="215"/>
      <c r="GY44" s="215"/>
      <c r="GZ44" s="215"/>
      <c r="HA44" s="215"/>
      <c r="HB44" s="215"/>
      <c r="HC44" s="215"/>
      <c r="HD44" s="215"/>
      <c r="HE44" s="215"/>
      <c r="HF44" s="215"/>
      <c r="HG44" s="215"/>
      <c r="HH44" s="215"/>
      <c r="HI44" s="215"/>
      <c r="HJ44" s="215"/>
      <c r="HK44" s="215"/>
      <c r="HL44" s="215"/>
      <c r="HM44" s="215"/>
      <c r="HN44" s="215"/>
      <c r="HO44" s="215"/>
      <c r="HP44" s="215"/>
      <c r="HQ44" s="215"/>
      <c r="HR44" s="215"/>
      <c r="HS44" s="215"/>
      <c r="HT44" s="215"/>
      <c r="HU44" s="215"/>
      <c r="HV44" s="215"/>
      <c r="HW44" s="215"/>
      <c r="HX44" s="215"/>
      <c r="HY44" s="215"/>
      <c r="HZ44" s="215"/>
      <c r="IA44" s="215"/>
      <c r="IB44" s="215"/>
      <c r="IC44" s="215"/>
      <c r="ID44" s="215"/>
      <c r="IE44" s="215"/>
      <c r="IF44" s="215"/>
      <c r="IG44" s="215"/>
      <c r="IH44" s="215"/>
      <c r="II44" s="215"/>
      <c r="IJ44" s="215"/>
      <c r="IK44" s="215"/>
      <c r="IL44" s="215"/>
      <c r="IM44" s="215"/>
      <c r="IN44" s="215"/>
      <c r="IO44" s="215"/>
      <c r="IP44" s="215"/>
      <c r="IQ44" s="215"/>
      <c r="IR44" s="215"/>
      <c r="IS44" s="215"/>
      <c r="IT44" s="215"/>
      <c r="IU44" s="215"/>
      <c r="IV44" s="215"/>
      <c r="IW44" s="215"/>
      <c r="IX44" s="215"/>
      <c r="IY44" s="215"/>
      <c r="IZ44" s="215"/>
      <c r="JA44" s="215"/>
      <c r="JB44" s="215"/>
      <c r="JC44" s="215"/>
      <c r="JD44" s="215"/>
      <c r="JE44" s="215"/>
      <c r="JF44" s="215"/>
      <c r="JG44" s="215"/>
      <c r="JH44" s="215"/>
      <c r="JI44" s="215"/>
      <c r="JJ44" s="215"/>
      <c r="JK44" s="215"/>
      <c r="JL44" s="215"/>
      <c r="JM44" s="215"/>
      <c r="JN44" s="215"/>
      <c r="JO44" s="215"/>
      <c r="JP44" s="215"/>
      <c r="JQ44" s="215"/>
      <c r="JR44" s="215"/>
      <c r="JS44" s="215"/>
      <c r="JT44" s="215"/>
      <c r="JU44" s="215"/>
      <c r="JV44" s="215"/>
      <c r="JW44" s="215"/>
      <c r="JX44" s="215"/>
      <c r="JY44" s="215"/>
      <c r="JZ44" s="215"/>
      <c r="KA44" s="215"/>
      <c r="KB44" s="215"/>
      <c r="KC44" s="215"/>
      <c r="KD44" s="215"/>
      <c r="KE44" s="215"/>
      <c r="KF44" s="215"/>
      <c r="KG44" s="215"/>
      <c r="KH44" s="215"/>
      <c r="KI44" s="215"/>
      <c r="KJ44" s="215"/>
      <c r="KK44" s="215"/>
      <c r="KL44" s="215"/>
      <c r="KM44" s="215"/>
      <c r="KN44" s="215"/>
      <c r="KO44" s="215"/>
      <c r="KP44" s="215"/>
      <c r="KQ44" s="215"/>
      <c r="KR44" s="215"/>
      <c r="KS44" s="215"/>
      <c r="KT44" s="215"/>
      <c r="KU44" s="215"/>
      <c r="KV44" s="215"/>
      <c r="KW44" s="215"/>
      <c r="KX44" s="215"/>
      <c r="KY44" s="215"/>
      <c r="KZ44" s="215"/>
      <c r="LA44" s="215"/>
      <c r="LB44" s="215"/>
      <c r="LC44" s="215"/>
      <c r="LD44" s="215"/>
      <c r="LE44" s="215"/>
      <c r="LF44" s="215"/>
      <c r="LG44" s="215"/>
      <c r="LH44" s="215"/>
      <c r="LI44" s="215"/>
      <c r="LJ44" s="215"/>
      <c r="LK44" s="215"/>
    </row>
    <row r="45" spans="1:1113" s="256" customFormat="1" ht="30" hidden="1" customHeight="1" x14ac:dyDescent="0.25">
      <c r="A45" s="294"/>
      <c r="B45" s="295"/>
      <c r="C45" s="290"/>
      <c r="D45" s="295"/>
      <c r="E45" s="295"/>
      <c r="F45" s="295"/>
      <c r="G45" s="295"/>
      <c r="H45" s="295"/>
      <c r="I45" s="295"/>
      <c r="J45" s="295"/>
      <c r="K45" s="295"/>
      <c r="L45" s="295"/>
      <c r="M45" s="295"/>
      <c r="N45" s="295"/>
      <c r="O45" s="295"/>
      <c r="P45" s="295"/>
      <c r="Q45" s="295"/>
      <c r="R45" s="295"/>
      <c r="S45" s="295"/>
      <c r="T45" s="295"/>
      <c r="U45" s="295"/>
      <c r="V45" s="295"/>
      <c r="W45" s="295"/>
      <c r="X45" s="295"/>
      <c r="Y45" s="295"/>
      <c r="Z45" s="295"/>
      <c r="AA45" s="295"/>
      <c r="AB45" s="295"/>
      <c r="AC45" s="295"/>
      <c r="AD45" s="295"/>
      <c r="AE45" s="295"/>
      <c r="AF45" s="295"/>
      <c r="AG45" s="295"/>
      <c r="AH45" s="295"/>
      <c r="AI45" s="295"/>
      <c r="AJ45" s="295"/>
      <c r="AK45" s="295"/>
      <c r="AL45" s="295"/>
      <c r="AM45" s="296"/>
      <c r="AN45" s="297"/>
      <c r="AO45" s="297"/>
      <c r="AP45" s="297"/>
      <c r="AQ45" s="297"/>
      <c r="AR45" s="297"/>
      <c r="AS45" s="297"/>
      <c r="AT45" s="297"/>
      <c r="AU45" s="297"/>
      <c r="AV45" s="297"/>
      <c r="AW45" s="297"/>
      <c r="AX45" s="297"/>
      <c r="AY45" s="297"/>
      <c r="AZ45" s="297"/>
      <c r="BA45" s="217"/>
      <c r="BB45" s="217"/>
      <c r="BC45" s="217"/>
      <c r="BD45" s="217"/>
      <c r="BE45" s="217"/>
      <c r="BF45" s="217"/>
      <c r="BG45" s="217"/>
      <c r="BH45" s="217"/>
      <c r="BI45" s="217"/>
      <c r="BJ45" s="217"/>
      <c r="BK45" s="217"/>
      <c r="BL45" s="217"/>
      <c r="BM45" s="217"/>
      <c r="BN45" s="217"/>
      <c r="BO45" s="217"/>
      <c r="BP45" s="217"/>
      <c r="BQ45" s="217"/>
      <c r="BR45" s="215"/>
      <c r="BS45" s="215"/>
      <c r="BT45" s="215"/>
      <c r="BU45" s="215"/>
      <c r="BV45" s="215"/>
      <c r="BW45" s="215"/>
      <c r="BX45" s="215"/>
      <c r="BY45" s="215"/>
      <c r="BZ45" s="215"/>
      <c r="CA45" s="215"/>
      <c r="CB45" s="215"/>
      <c r="CC45" s="215"/>
      <c r="CD45" s="215"/>
      <c r="CE45" s="215"/>
      <c r="CF45" s="215"/>
      <c r="CG45" s="215"/>
      <c r="CH45" s="215"/>
      <c r="CI45" s="215"/>
      <c r="CJ45" s="215"/>
      <c r="CK45" s="215"/>
      <c r="CL45" s="215"/>
      <c r="CM45" s="215"/>
      <c r="CN45" s="215"/>
      <c r="CO45" s="215"/>
      <c r="CP45" s="215"/>
      <c r="CQ45" s="215"/>
      <c r="CR45" s="215"/>
      <c r="CS45" s="215"/>
      <c r="CT45" s="215"/>
      <c r="CU45" s="215"/>
      <c r="CV45" s="215"/>
      <c r="CW45" s="215"/>
      <c r="CX45" s="215"/>
      <c r="CY45" s="215"/>
      <c r="CZ45" s="215"/>
      <c r="DA45" s="215"/>
      <c r="DB45" s="215"/>
      <c r="DC45" s="215"/>
      <c r="DD45" s="215"/>
      <c r="DE45" s="215"/>
      <c r="DF45" s="215"/>
      <c r="DG45" s="215"/>
      <c r="DH45" s="215"/>
      <c r="DI45" s="215"/>
      <c r="DJ45" s="215"/>
      <c r="DK45" s="215"/>
      <c r="DL45" s="215"/>
      <c r="DM45" s="215"/>
      <c r="DN45" s="215"/>
      <c r="DO45" s="215"/>
      <c r="DP45" s="215"/>
      <c r="DQ45" s="215"/>
      <c r="DR45" s="215"/>
      <c r="DS45" s="215"/>
      <c r="DT45" s="215"/>
      <c r="DU45" s="215"/>
      <c r="DV45" s="215"/>
      <c r="DW45" s="215"/>
      <c r="DX45" s="215"/>
      <c r="DY45" s="215"/>
      <c r="DZ45" s="215"/>
      <c r="EA45" s="215"/>
      <c r="EB45" s="215"/>
      <c r="EC45" s="215"/>
      <c r="ED45" s="215"/>
      <c r="EE45" s="215"/>
      <c r="EF45" s="215"/>
      <c r="EG45" s="215"/>
      <c r="EH45" s="215"/>
      <c r="EI45" s="215"/>
      <c r="EJ45" s="215"/>
      <c r="EK45" s="215"/>
      <c r="EL45" s="215"/>
      <c r="EM45" s="215"/>
      <c r="EN45" s="215"/>
      <c r="EO45" s="215"/>
      <c r="EP45" s="215"/>
      <c r="EQ45" s="215"/>
      <c r="ER45" s="215"/>
      <c r="ES45" s="215"/>
      <c r="ET45" s="215"/>
      <c r="EU45" s="215"/>
      <c r="EV45" s="215"/>
      <c r="EW45" s="215"/>
      <c r="EX45" s="215"/>
      <c r="EY45" s="215"/>
      <c r="EZ45" s="215"/>
      <c r="FA45" s="215"/>
      <c r="FB45" s="215"/>
      <c r="FC45" s="215"/>
      <c r="FD45" s="215"/>
      <c r="FE45" s="215"/>
      <c r="FF45" s="215"/>
      <c r="FG45" s="215"/>
      <c r="FH45" s="215"/>
      <c r="FI45" s="215"/>
      <c r="FJ45" s="215"/>
      <c r="FK45" s="215"/>
      <c r="FL45" s="215"/>
      <c r="FM45" s="215"/>
      <c r="FN45" s="215"/>
      <c r="FO45" s="215"/>
      <c r="FP45" s="215"/>
      <c r="FQ45" s="215"/>
      <c r="FR45" s="215"/>
      <c r="FS45" s="215"/>
      <c r="FT45" s="215"/>
      <c r="FU45" s="215"/>
      <c r="FV45" s="215"/>
      <c r="FW45" s="215"/>
      <c r="FX45" s="215"/>
      <c r="FY45" s="215"/>
      <c r="FZ45" s="215"/>
      <c r="GA45" s="215"/>
      <c r="GB45" s="215"/>
      <c r="GC45" s="215"/>
      <c r="GD45" s="215"/>
      <c r="GE45" s="215"/>
      <c r="GF45" s="215"/>
      <c r="GG45" s="215"/>
      <c r="GH45" s="215"/>
      <c r="GI45" s="215"/>
      <c r="GJ45" s="215"/>
      <c r="GK45" s="215"/>
      <c r="GL45" s="215"/>
      <c r="GM45" s="215"/>
      <c r="GN45" s="215"/>
      <c r="GO45" s="215"/>
      <c r="GP45" s="215"/>
      <c r="GQ45" s="215"/>
      <c r="GR45" s="215"/>
      <c r="GS45" s="215"/>
      <c r="GT45" s="215"/>
      <c r="GU45" s="215"/>
      <c r="GV45" s="215"/>
      <c r="GW45" s="215"/>
      <c r="GX45" s="215"/>
      <c r="GY45" s="215"/>
      <c r="GZ45" s="215"/>
      <c r="HA45" s="215"/>
      <c r="HB45" s="215"/>
      <c r="HC45" s="215"/>
      <c r="HD45" s="215"/>
      <c r="HE45" s="215"/>
      <c r="HF45" s="215"/>
      <c r="HG45" s="215"/>
      <c r="HH45" s="215"/>
      <c r="HI45" s="215"/>
      <c r="HJ45" s="215"/>
      <c r="HK45" s="215"/>
      <c r="HL45" s="215"/>
      <c r="HM45" s="215"/>
      <c r="HN45" s="215"/>
      <c r="HO45" s="215"/>
      <c r="HP45" s="215"/>
      <c r="HQ45" s="215"/>
      <c r="HR45" s="215"/>
      <c r="HS45" s="215"/>
      <c r="HT45" s="215"/>
      <c r="HU45" s="215"/>
      <c r="HV45" s="215"/>
      <c r="HW45" s="215"/>
      <c r="HX45" s="215"/>
      <c r="HY45" s="215"/>
      <c r="HZ45" s="215"/>
      <c r="IA45" s="215"/>
      <c r="IB45" s="215"/>
      <c r="IC45" s="215"/>
      <c r="ID45" s="215"/>
      <c r="IE45" s="215"/>
      <c r="IF45" s="215"/>
      <c r="IG45" s="215"/>
      <c r="IH45" s="215"/>
      <c r="II45" s="215"/>
      <c r="IJ45" s="215"/>
      <c r="IK45" s="215"/>
      <c r="IL45" s="215"/>
      <c r="IM45" s="215"/>
      <c r="IN45" s="215"/>
      <c r="IO45" s="215"/>
      <c r="IP45" s="215"/>
      <c r="IQ45" s="215"/>
      <c r="IR45" s="215"/>
      <c r="IS45" s="215"/>
      <c r="IT45" s="215"/>
      <c r="IU45" s="215"/>
      <c r="IV45" s="215"/>
      <c r="IW45" s="215"/>
      <c r="IX45" s="215"/>
      <c r="IY45" s="215"/>
      <c r="IZ45" s="215"/>
      <c r="JA45" s="215"/>
      <c r="JB45" s="215"/>
      <c r="JC45" s="215"/>
      <c r="JD45" s="215"/>
      <c r="JE45" s="215"/>
      <c r="JF45" s="215"/>
      <c r="JG45" s="215"/>
      <c r="JH45" s="215"/>
      <c r="JI45" s="215"/>
      <c r="JJ45" s="215"/>
      <c r="JK45" s="215"/>
      <c r="JL45" s="215"/>
      <c r="JM45" s="215"/>
      <c r="JN45" s="215"/>
      <c r="JO45" s="215"/>
      <c r="JP45" s="215"/>
      <c r="JQ45" s="215"/>
      <c r="JR45" s="215"/>
      <c r="JS45" s="215"/>
      <c r="JT45" s="215"/>
      <c r="JU45" s="215"/>
      <c r="JV45" s="215"/>
      <c r="JW45" s="215"/>
      <c r="JX45" s="215"/>
      <c r="JY45" s="215"/>
      <c r="JZ45" s="215"/>
      <c r="KA45" s="215"/>
      <c r="KB45" s="215"/>
      <c r="KC45" s="215"/>
      <c r="KD45" s="215"/>
      <c r="KE45" s="215"/>
      <c r="KF45" s="215"/>
      <c r="KG45" s="215"/>
      <c r="KH45" s="215"/>
      <c r="KI45" s="215"/>
      <c r="KJ45" s="215"/>
      <c r="KK45" s="215"/>
      <c r="KL45" s="215"/>
      <c r="KM45" s="215"/>
      <c r="KN45" s="215"/>
      <c r="KO45" s="215"/>
      <c r="KP45" s="215"/>
      <c r="KQ45" s="215"/>
      <c r="KR45" s="215"/>
      <c r="KS45" s="215"/>
      <c r="KT45" s="215"/>
      <c r="KU45" s="215"/>
      <c r="KV45" s="215"/>
      <c r="KW45" s="215"/>
      <c r="KX45" s="215"/>
      <c r="KY45" s="215"/>
      <c r="KZ45" s="215"/>
      <c r="LA45" s="215"/>
      <c r="LB45" s="215"/>
      <c r="LC45" s="215"/>
      <c r="LD45" s="215"/>
      <c r="LE45" s="215"/>
      <c r="LF45" s="215"/>
      <c r="LG45" s="215"/>
      <c r="LH45" s="215"/>
      <c r="LI45" s="215"/>
      <c r="LJ45" s="215"/>
      <c r="LK45" s="215"/>
    </row>
    <row r="46" spans="1:1113" s="256" customFormat="1" ht="30" hidden="1" customHeight="1" x14ac:dyDescent="0.25">
      <c r="A46" s="294"/>
      <c r="B46" s="295"/>
      <c r="C46" s="290"/>
      <c r="D46" s="295"/>
      <c r="E46" s="295"/>
      <c r="F46" s="295"/>
      <c r="G46" s="295"/>
      <c r="H46" s="295"/>
      <c r="I46" s="295"/>
      <c r="J46" s="295"/>
      <c r="K46" s="295"/>
      <c r="L46" s="295"/>
      <c r="M46" s="295"/>
      <c r="N46" s="295"/>
      <c r="O46" s="295"/>
      <c r="P46" s="295"/>
      <c r="Q46" s="295"/>
      <c r="R46" s="295"/>
      <c r="S46" s="295"/>
      <c r="T46" s="295"/>
      <c r="U46" s="295"/>
      <c r="V46" s="295"/>
      <c r="W46" s="295"/>
      <c r="X46" s="295"/>
      <c r="Y46" s="295"/>
      <c r="Z46" s="295"/>
      <c r="AA46" s="295"/>
      <c r="AB46" s="295"/>
      <c r="AC46" s="295"/>
      <c r="AD46" s="295"/>
      <c r="AE46" s="295"/>
      <c r="AF46" s="295"/>
      <c r="AG46" s="295"/>
      <c r="AH46" s="295"/>
      <c r="AI46" s="295"/>
      <c r="AJ46" s="295"/>
      <c r="AK46" s="295"/>
      <c r="AL46" s="295"/>
      <c r="AM46" s="296"/>
      <c r="AN46" s="297"/>
      <c r="AO46" s="297"/>
      <c r="AP46" s="297"/>
      <c r="AQ46" s="297"/>
      <c r="AR46" s="297"/>
      <c r="AS46" s="297"/>
      <c r="AT46" s="297"/>
      <c r="AU46" s="297"/>
      <c r="AV46" s="297"/>
      <c r="AW46" s="297"/>
      <c r="AX46" s="297"/>
      <c r="AY46" s="297"/>
      <c r="AZ46" s="297"/>
      <c r="BA46" s="217"/>
      <c r="BB46" s="217"/>
      <c r="BC46" s="217"/>
      <c r="BD46" s="217"/>
      <c r="BE46" s="217"/>
      <c r="BF46" s="217"/>
      <c r="BG46" s="217"/>
      <c r="BH46" s="217"/>
      <c r="BI46" s="217"/>
      <c r="BJ46" s="217"/>
      <c r="BK46" s="217"/>
      <c r="BL46" s="217"/>
      <c r="BM46" s="217"/>
      <c r="BN46" s="217"/>
      <c r="BO46" s="217"/>
      <c r="BP46" s="217"/>
      <c r="BQ46" s="217"/>
      <c r="BR46" s="215"/>
      <c r="BS46" s="215"/>
      <c r="BT46" s="215"/>
      <c r="BU46" s="215"/>
      <c r="BV46" s="215"/>
      <c r="BW46" s="215"/>
      <c r="BX46" s="215"/>
      <c r="BY46" s="215"/>
      <c r="BZ46" s="215"/>
      <c r="CA46" s="215"/>
      <c r="CB46" s="215"/>
      <c r="CC46" s="215"/>
      <c r="CD46" s="215"/>
      <c r="CE46" s="215"/>
      <c r="CF46" s="215"/>
      <c r="CG46" s="215"/>
      <c r="CH46" s="215"/>
      <c r="CI46" s="215"/>
      <c r="CJ46" s="215"/>
      <c r="CK46" s="215"/>
      <c r="CL46" s="215"/>
      <c r="CM46" s="215"/>
      <c r="CN46" s="215"/>
      <c r="CO46" s="215"/>
      <c r="CP46" s="215"/>
      <c r="CQ46" s="215"/>
      <c r="CR46" s="215"/>
      <c r="CS46" s="215"/>
      <c r="CT46" s="215"/>
      <c r="CU46" s="215"/>
      <c r="CV46" s="215"/>
      <c r="CW46" s="215"/>
      <c r="CX46" s="215"/>
      <c r="CY46" s="215"/>
      <c r="CZ46" s="215"/>
      <c r="DA46" s="215"/>
      <c r="DB46" s="215"/>
      <c r="DC46" s="215"/>
      <c r="DD46" s="215"/>
      <c r="DE46" s="215"/>
      <c r="DF46" s="215"/>
      <c r="DG46" s="215"/>
      <c r="DH46" s="215"/>
      <c r="DI46" s="215"/>
      <c r="DJ46" s="215"/>
      <c r="DK46" s="215"/>
      <c r="DL46" s="215"/>
      <c r="DM46" s="215"/>
      <c r="DN46" s="215"/>
      <c r="DO46" s="215"/>
      <c r="DP46" s="215"/>
      <c r="DQ46" s="215"/>
      <c r="DR46" s="215"/>
      <c r="DS46" s="215"/>
      <c r="DT46" s="215"/>
      <c r="DU46" s="215"/>
      <c r="DV46" s="215"/>
      <c r="DW46" s="215"/>
      <c r="DX46" s="215"/>
      <c r="DY46" s="215"/>
      <c r="DZ46" s="215"/>
      <c r="EA46" s="215"/>
      <c r="EB46" s="215"/>
      <c r="EC46" s="215"/>
      <c r="ED46" s="215"/>
      <c r="EE46" s="215"/>
      <c r="EF46" s="215"/>
      <c r="EG46" s="215"/>
      <c r="EH46" s="215"/>
      <c r="EI46" s="215"/>
      <c r="EJ46" s="215"/>
      <c r="EK46" s="215"/>
      <c r="EL46" s="215"/>
      <c r="EM46" s="215"/>
      <c r="EN46" s="215"/>
      <c r="EO46" s="215"/>
      <c r="EP46" s="215"/>
      <c r="EQ46" s="215"/>
      <c r="ER46" s="215"/>
      <c r="ES46" s="215"/>
      <c r="ET46" s="215"/>
      <c r="EU46" s="215"/>
      <c r="EV46" s="215"/>
      <c r="EW46" s="215"/>
      <c r="EX46" s="215"/>
      <c r="EY46" s="215"/>
      <c r="EZ46" s="215"/>
      <c r="FA46" s="215"/>
      <c r="FB46" s="215"/>
      <c r="FC46" s="215"/>
      <c r="FD46" s="215"/>
      <c r="FE46" s="215"/>
      <c r="FF46" s="215"/>
      <c r="FG46" s="215"/>
      <c r="FH46" s="215"/>
      <c r="FI46" s="215"/>
      <c r="FJ46" s="215"/>
      <c r="FK46" s="215"/>
      <c r="FL46" s="215"/>
      <c r="FM46" s="215"/>
      <c r="FN46" s="215"/>
      <c r="FO46" s="215"/>
      <c r="FP46" s="215"/>
      <c r="FQ46" s="215"/>
      <c r="FR46" s="215"/>
      <c r="FS46" s="215"/>
      <c r="FT46" s="215"/>
      <c r="FU46" s="215"/>
      <c r="FV46" s="215"/>
      <c r="FW46" s="215"/>
      <c r="FX46" s="215"/>
      <c r="FY46" s="215"/>
      <c r="FZ46" s="215"/>
      <c r="GA46" s="215"/>
      <c r="GB46" s="215"/>
      <c r="GC46" s="215"/>
      <c r="GD46" s="215"/>
      <c r="GE46" s="215"/>
      <c r="GF46" s="215"/>
      <c r="GG46" s="215"/>
      <c r="GH46" s="215"/>
      <c r="GI46" s="215"/>
      <c r="GJ46" s="215"/>
      <c r="GK46" s="215"/>
      <c r="GL46" s="215"/>
      <c r="GM46" s="215"/>
      <c r="GN46" s="215"/>
      <c r="GO46" s="215"/>
      <c r="GP46" s="215"/>
      <c r="GQ46" s="215"/>
      <c r="GR46" s="215"/>
      <c r="GS46" s="215"/>
      <c r="GT46" s="215"/>
      <c r="GU46" s="215"/>
      <c r="GV46" s="215"/>
      <c r="GW46" s="215"/>
      <c r="GX46" s="215"/>
      <c r="GY46" s="215"/>
      <c r="GZ46" s="215"/>
      <c r="HA46" s="215"/>
      <c r="HB46" s="215"/>
      <c r="HC46" s="215"/>
      <c r="HD46" s="215"/>
      <c r="HE46" s="215"/>
      <c r="HF46" s="215"/>
      <c r="HG46" s="215"/>
      <c r="HH46" s="215"/>
      <c r="HI46" s="215"/>
      <c r="HJ46" s="215"/>
      <c r="HK46" s="215"/>
      <c r="HL46" s="215"/>
      <c r="HM46" s="215"/>
      <c r="HN46" s="215"/>
      <c r="HO46" s="215"/>
      <c r="HP46" s="215"/>
      <c r="HQ46" s="215"/>
      <c r="HR46" s="215"/>
      <c r="HS46" s="215"/>
      <c r="HT46" s="215"/>
      <c r="HU46" s="215"/>
      <c r="HV46" s="215"/>
      <c r="HW46" s="215"/>
      <c r="HX46" s="215"/>
      <c r="HY46" s="215"/>
      <c r="HZ46" s="215"/>
      <c r="IA46" s="215"/>
      <c r="IB46" s="215"/>
      <c r="IC46" s="215"/>
      <c r="ID46" s="215"/>
      <c r="IE46" s="215"/>
      <c r="IF46" s="215"/>
      <c r="IG46" s="215"/>
      <c r="IH46" s="215"/>
      <c r="II46" s="215"/>
      <c r="IJ46" s="215"/>
      <c r="IK46" s="215"/>
      <c r="IL46" s="215"/>
      <c r="IM46" s="215"/>
      <c r="IN46" s="215"/>
      <c r="IO46" s="215"/>
      <c r="IP46" s="215"/>
      <c r="IQ46" s="215"/>
      <c r="IR46" s="215"/>
      <c r="IS46" s="215"/>
      <c r="IT46" s="215"/>
      <c r="IU46" s="215"/>
      <c r="IV46" s="215"/>
      <c r="IW46" s="215"/>
      <c r="IX46" s="215"/>
      <c r="IY46" s="215"/>
      <c r="IZ46" s="215"/>
      <c r="JA46" s="215"/>
      <c r="JB46" s="215"/>
      <c r="JC46" s="215"/>
      <c r="JD46" s="215"/>
      <c r="JE46" s="215"/>
      <c r="JF46" s="215"/>
      <c r="JG46" s="215"/>
      <c r="JH46" s="215"/>
      <c r="JI46" s="215"/>
      <c r="JJ46" s="215"/>
      <c r="JK46" s="215"/>
      <c r="JL46" s="215"/>
      <c r="JM46" s="215"/>
      <c r="JN46" s="215"/>
      <c r="JO46" s="215"/>
      <c r="JP46" s="215"/>
      <c r="JQ46" s="215"/>
      <c r="JR46" s="215"/>
      <c r="JS46" s="215"/>
      <c r="JT46" s="215"/>
      <c r="JU46" s="215"/>
      <c r="JV46" s="215"/>
      <c r="JW46" s="215"/>
      <c r="JX46" s="215"/>
      <c r="JY46" s="215"/>
      <c r="JZ46" s="215"/>
      <c r="KA46" s="215"/>
      <c r="KB46" s="215"/>
      <c r="KC46" s="215"/>
      <c r="KD46" s="215"/>
      <c r="KE46" s="215"/>
      <c r="KF46" s="215"/>
      <c r="KG46" s="215"/>
      <c r="KH46" s="215"/>
      <c r="KI46" s="215"/>
      <c r="KJ46" s="215"/>
      <c r="KK46" s="215"/>
      <c r="KL46" s="215"/>
      <c r="KM46" s="215"/>
      <c r="KN46" s="215"/>
      <c r="KO46" s="215"/>
      <c r="KP46" s="215"/>
      <c r="KQ46" s="215"/>
      <c r="KR46" s="215"/>
      <c r="KS46" s="215"/>
      <c r="KT46" s="215"/>
      <c r="KU46" s="215"/>
      <c r="KV46" s="215"/>
      <c r="KW46" s="215"/>
      <c r="KX46" s="215"/>
      <c r="KY46" s="215"/>
      <c r="KZ46" s="215"/>
      <c r="LA46" s="215"/>
      <c r="LB46" s="215"/>
      <c r="LC46" s="215"/>
      <c r="LD46" s="215"/>
      <c r="LE46" s="215"/>
      <c r="LF46" s="215"/>
      <c r="LG46" s="215"/>
      <c r="LH46" s="215"/>
      <c r="LI46" s="215"/>
      <c r="LJ46" s="215"/>
      <c r="LK46" s="215"/>
    </row>
    <row r="47" spans="1:1113" s="232" customFormat="1" ht="30" hidden="1" customHeight="1" x14ac:dyDescent="0.25">
      <c r="A47" s="298"/>
      <c r="B47" s="16" t="s">
        <v>89</v>
      </c>
      <c r="C47" s="299"/>
      <c r="D47" s="300"/>
      <c r="E47" s="301"/>
      <c r="F47" s="301"/>
      <c r="G47" s="301"/>
      <c r="H47" s="301"/>
      <c r="I47" s="301"/>
      <c r="J47" s="301"/>
      <c r="K47" s="301"/>
      <c r="L47" s="301"/>
      <c r="M47" s="301"/>
      <c r="N47" s="301"/>
      <c r="O47" s="301"/>
      <c r="P47" s="301"/>
      <c r="Q47" s="301"/>
      <c r="R47" s="301"/>
      <c r="S47" s="301"/>
      <c r="T47" s="301"/>
      <c r="U47" s="301"/>
      <c r="V47" s="301"/>
      <c r="W47" s="301"/>
      <c r="X47" s="301"/>
      <c r="Y47" s="301"/>
      <c r="Z47" s="301"/>
      <c r="AA47" s="301"/>
      <c r="AB47" s="301"/>
      <c r="AC47" s="301"/>
      <c r="AD47" s="301"/>
      <c r="AE47" s="301"/>
      <c r="AF47" s="301"/>
      <c r="AG47" s="301"/>
      <c r="AH47" s="301"/>
      <c r="AI47" s="301"/>
      <c r="AJ47" s="301"/>
      <c r="AK47" s="302"/>
      <c r="AL47" s="302"/>
      <c r="AM47" s="303"/>
      <c r="AN47" s="215"/>
      <c r="AO47" s="215"/>
      <c r="AP47" s="215"/>
      <c r="AQ47" s="215"/>
      <c r="AR47" s="215"/>
      <c r="AS47" s="215"/>
      <c r="AT47" s="215"/>
      <c r="AU47" s="215"/>
      <c r="AV47" s="215"/>
      <c r="AW47" s="215"/>
      <c r="AX47" s="215"/>
      <c r="AY47" s="215"/>
      <c r="AZ47" s="291"/>
      <c r="BA47" s="215"/>
      <c r="BB47" s="215"/>
      <c r="BC47" s="215"/>
      <c r="BD47" s="215"/>
      <c r="BE47" s="215"/>
      <c r="BF47" s="215"/>
      <c r="BG47" s="215"/>
      <c r="BH47" s="215"/>
      <c r="BI47" s="215"/>
      <c r="BJ47" s="215"/>
      <c r="BK47" s="215"/>
      <c r="BL47" s="215"/>
      <c r="BM47" s="215"/>
      <c r="BN47" s="215"/>
      <c r="BO47" s="215"/>
      <c r="BP47" s="215"/>
      <c r="BQ47" s="215"/>
      <c r="BR47" s="215"/>
      <c r="BS47" s="215"/>
      <c r="BT47" s="215"/>
      <c r="BU47" s="215"/>
      <c r="BV47" s="215"/>
      <c r="BW47" s="215"/>
      <c r="BX47" s="215"/>
      <c r="BY47" s="215"/>
      <c r="BZ47" s="215"/>
      <c r="CA47" s="215"/>
      <c r="CB47" s="215"/>
      <c r="CC47" s="215"/>
      <c r="CD47" s="215"/>
      <c r="CE47" s="215"/>
      <c r="CF47" s="215"/>
      <c r="CG47" s="215"/>
      <c r="CH47" s="215"/>
      <c r="CI47" s="215"/>
      <c r="CJ47" s="215"/>
      <c r="CK47" s="215"/>
      <c r="CL47" s="215"/>
      <c r="CM47" s="215"/>
      <c r="CN47" s="215"/>
      <c r="CO47" s="215"/>
      <c r="CP47" s="215"/>
      <c r="CQ47" s="215"/>
      <c r="CR47" s="215"/>
      <c r="CS47" s="215"/>
      <c r="CT47" s="215"/>
      <c r="CU47" s="215"/>
      <c r="CV47" s="215"/>
      <c r="CW47" s="215"/>
      <c r="CX47" s="215"/>
      <c r="CY47" s="215"/>
      <c r="CZ47" s="215"/>
      <c r="DA47" s="215"/>
      <c r="DB47" s="215"/>
      <c r="DC47" s="215"/>
      <c r="DD47" s="215"/>
      <c r="DE47" s="215"/>
      <c r="DF47" s="215"/>
      <c r="DG47" s="215"/>
      <c r="DH47" s="215"/>
      <c r="DI47" s="215"/>
      <c r="DJ47" s="215"/>
      <c r="DK47" s="215"/>
      <c r="DL47" s="215"/>
      <c r="DM47" s="215"/>
      <c r="DN47" s="215"/>
      <c r="DO47" s="215"/>
      <c r="DP47" s="215"/>
      <c r="DQ47" s="215"/>
      <c r="DR47" s="215"/>
      <c r="DS47" s="215"/>
      <c r="DT47" s="215"/>
      <c r="DU47" s="215"/>
      <c r="DV47" s="215"/>
      <c r="DW47" s="215"/>
      <c r="DX47" s="215"/>
      <c r="DY47" s="215"/>
      <c r="DZ47" s="215"/>
      <c r="EA47" s="215"/>
      <c r="EB47" s="215"/>
      <c r="EC47" s="215"/>
      <c r="ED47" s="215"/>
      <c r="EE47" s="215"/>
      <c r="EF47" s="215"/>
      <c r="EG47" s="215"/>
      <c r="EH47" s="215"/>
      <c r="EI47" s="215"/>
      <c r="EJ47" s="215"/>
      <c r="EK47" s="215"/>
      <c r="EL47" s="215"/>
      <c r="EM47" s="215"/>
      <c r="EN47" s="215"/>
      <c r="EO47" s="215"/>
      <c r="EP47" s="215"/>
      <c r="EQ47" s="215"/>
      <c r="ER47" s="215"/>
      <c r="ES47" s="215"/>
      <c r="ET47" s="215"/>
      <c r="EU47" s="215"/>
      <c r="EV47" s="215"/>
      <c r="EW47" s="215"/>
      <c r="EX47" s="215"/>
      <c r="EY47" s="215"/>
      <c r="EZ47" s="215"/>
      <c r="FA47" s="215"/>
      <c r="FB47" s="215"/>
      <c r="FC47" s="215"/>
      <c r="FD47" s="215"/>
      <c r="FE47" s="215"/>
      <c r="FF47" s="215"/>
      <c r="FG47" s="215"/>
      <c r="FH47" s="215"/>
      <c r="FI47" s="215"/>
      <c r="FJ47" s="215"/>
      <c r="FK47" s="215"/>
      <c r="FL47" s="215"/>
      <c r="FM47" s="215"/>
      <c r="FN47" s="215"/>
      <c r="FO47" s="215"/>
      <c r="FP47" s="215"/>
      <c r="FQ47" s="215"/>
      <c r="FR47" s="215"/>
      <c r="FS47" s="215"/>
      <c r="FT47" s="215"/>
      <c r="FU47" s="215"/>
      <c r="FV47" s="215"/>
      <c r="FW47" s="215"/>
      <c r="FX47" s="215"/>
      <c r="FY47" s="215"/>
      <c r="FZ47" s="215"/>
      <c r="GA47" s="215"/>
      <c r="GB47" s="215"/>
      <c r="GC47" s="215"/>
      <c r="GD47" s="215"/>
      <c r="GE47" s="215"/>
      <c r="GF47" s="215"/>
      <c r="GG47" s="215"/>
      <c r="GH47" s="215"/>
      <c r="GI47" s="215"/>
      <c r="GJ47" s="215"/>
      <c r="GK47" s="215"/>
      <c r="GL47" s="215"/>
      <c r="GM47" s="215"/>
      <c r="GN47" s="215"/>
      <c r="GO47" s="215"/>
      <c r="GP47" s="215"/>
      <c r="GQ47" s="215"/>
      <c r="GR47" s="215"/>
      <c r="GS47" s="215"/>
      <c r="GT47" s="215"/>
      <c r="GU47" s="215"/>
      <c r="GV47" s="215"/>
      <c r="GW47" s="215"/>
      <c r="GX47" s="215"/>
      <c r="GY47" s="215"/>
      <c r="GZ47" s="215"/>
      <c r="HA47" s="215"/>
      <c r="HB47" s="215"/>
      <c r="HC47" s="215"/>
      <c r="HD47" s="215"/>
      <c r="HE47" s="215"/>
      <c r="HF47" s="215"/>
      <c r="HG47" s="215"/>
      <c r="HH47" s="215"/>
      <c r="HI47" s="215"/>
      <c r="HJ47" s="215"/>
      <c r="HK47" s="215"/>
      <c r="HL47" s="215"/>
      <c r="HM47" s="215"/>
      <c r="HN47" s="215"/>
      <c r="HO47" s="215"/>
      <c r="HP47" s="215"/>
      <c r="HQ47" s="215"/>
      <c r="HR47" s="215"/>
      <c r="HS47" s="215"/>
      <c r="HT47" s="215"/>
      <c r="HU47" s="215"/>
      <c r="HV47" s="215"/>
      <c r="HW47" s="215"/>
      <c r="HX47" s="215"/>
      <c r="HY47" s="215"/>
      <c r="HZ47" s="215"/>
      <c r="IA47" s="215"/>
      <c r="IB47" s="215"/>
      <c r="IC47" s="215"/>
      <c r="ID47" s="215"/>
      <c r="IE47" s="215"/>
      <c r="IF47" s="215"/>
      <c r="IG47" s="215"/>
      <c r="IH47" s="215"/>
      <c r="II47" s="215"/>
      <c r="IJ47" s="215"/>
      <c r="IK47" s="215"/>
      <c r="IL47" s="215"/>
      <c r="IM47" s="215"/>
      <c r="IN47" s="215"/>
      <c r="IO47" s="215"/>
      <c r="IP47" s="215"/>
      <c r="IQ47" s="215"/>
      <c r="IR47" s="215"/>
      <c r="IS47" s="215"/>
      <c r="IT47" s="215"/>
      <c r="IU47" s="215"/>
      <c r="IV47" s="215"/>
      <c r="IW47" s="215"/>
      <c r="IX47" s="215"/>
      <c r="IY47" s="215"/>
      <c r="IZ47" s="215"/>
      <c r="JA47" s="215"/>
      <c r="JB47" s="215"/>
      <c r="JC47" s="215"/>
      <c r="JD47" s="215"/>
      <c r="JE47" s="215"/>
      <c r="JF47" s="215"/>
      <c r="JG47" s="215"/>
      <c r="JH47" s="215"/>
      <c r="JI47" s="215"/>
      <c r="JJ47" s="215"/>
      <c r="JK47" s="215"/>
      <c r="JL47" s="215"/>
      <c r="JM47" s="215"/>
      <c r="JN47" s="215"/>
      <c r="JO47" s="215"/>
      <c r="JP47" s="215"/>
      <c r="JQ47" s="215"/>
      <c r="JR47" s="215"/>
      <c r="JS47" s="215"/>
      <c r="JT47" s="215"/>
      <c r="JU47" s="215"/>
      <c r="JV47" s="215"/>
      <c r="JW47" s="215"/>
      <c r="JX47" s="215"/>
      <c r="JY47" s="215"/>
      <c r="JZ47" s="215"/>
      <c r="KA47" s="215"/>
      <c r="KB47" s="215"/>
      <c r="KC47" s="215"/>
      <c r="KD47" s="215"/>
      <c r="KE47" s="215"/>
      <c r="KF47" s="215"/>
      <c r="KG47" s="215"/>
      <c r="KH47" s="215"/>
      <c r="KI47" s="215"/>
      <c r="KJ47" s="215"/>
      <c r="KK47" s="215"/>
      <c r="KL47" s="215"/>
      <c r="KM47" s="215"/>
      <c r="KN47" s="215"/>
      <c r="KO47" s="215"/>
      <c r="KP47" s="215"/>
      <c r="KQ47" s="215"/>
      <c r="KR47" s="215"/>
      <c r="KS47" s="215"/>
      <c r="KT47" s="215"/>
      <c r="KU47" s="215"/>
      <c r="KV47" s="215"/>
      <c r="KW47" s="215"/>
      <c r="KX47" s="215"/>
      <c r="KY47" s="215"/>
      <c r="KZ47" s="215"/>
      <c r="LA47" s="215"/>
      <c r="LB47" s="215"/>
      <c r="LC47" s="215"/>
      <c r="LD47" s="215"/>
      <c r="LE47" s="215"/>
      <c r="LF47" s="215"/>
      <c r="LG47" s="215"/>
      <c r="LH47" s="215"/>
      <c r="LI47" s="215"/>
      <c r="LJ47" s="215"/>
      <c r="LK47" s="215"/>
    </row>
    <row r="48" spans="1:1113" s="232" customFormat="1" ht="30" hidden="1" customHeight="1" x14ac:dyDescent="0.25">
      <c r="A48" s="289"/>
      <c r="B48" s="15" t="s">
        <v>12</v>
      </c>
      <c r="C48" s="290"/>
      <c r="D48" s="10"/>
      <c r="E48" s="291"/>
      <c r="F48" s="291"/>
      <c r="G48" s="292"/>
      <c r="H48" s="291"/>
      <c r="I48" s="291"/>
      <c r="J48" s="291"/>
      <c r="K48" s="291"/>
      <c r="L48" s="291"/>
      <c r="M48" s="291"/>
      <c r="N48" s="291"/>
      <c r="O48" s="291"/>
      <c r="P48" s="291"/>
      <c r="Q48" s="291"/>
      <c r="R48" s="291"/>
      <c r="S48" s="291"/>
      <c r="T48" s="291"/>
      <c r="U48" s="291"/>
      <c r="V48" s="291"/>
      <c r="W48" s="291"/>
      <c r="X48" s="291"/>
      <c r="Y48" s="291"/>
      <c r="Z48" s="291"/>
      <c r="AA48" s="291"/>
      <c r="AB48" s="291"/>
      <c r="AC48" s="291"/>
      <c r="AD48" s="291"/>
      <c r="AE48" s="291"/>
      <c r="AF48" s="291"/>
      <c r="AG48" s="291"/>
      <c r="AH48" s="291"/>
      <c r="AI48" s="291"/>
      <c r="AJ48" s="291"/>
      <c r="AM48" s="293"/>
      <c r="AN48" s="215"/>
      <c r="AO48" s="215"/>
      <c r="AP48" s="215"/>
      <c r="AQ48" s="215"/>
      <c r="AR48" s="215"/>
      <c r="AS48" s="215"/>
      <c r="AT48" s="215"/>
      <c r="AU48" s="215"/>
      <c r="AV48" s="215"/>
      <c r="AW48" s="215"/>
      <c r="AX48" s="215"/>
      <c r="AY48" s="215"/>
      <c r="AZ48" s="291"/>
      <c r="BA48" s="215"/>
      <c r="BB48" s="215"/>
      <c r="BC48" s="215"/>
      <c r="BD48" s="215"/>
      <c r="BE48" s="215"/>
      <c r="BF48" s="215"/>
      <c r="BG48" s="215"/>
      <c r="BH48" s="215"/>
      <c r="BI48" s="215"/>
      <c r="BJ48" s="215"/>
      <c r="BK48" s="215"/>
      <c r="BL48" s="215"/>
      <c r="BM48" s="215"/>
      <c r="BN48" s="215"/>
      <c r="BO48" s="215"/>
      <c r="BP48" s="215"/>
      <c r="BQ48" s="215"/>
      <c r="BR48" s="215"/>
      <c r="BS48" s="215"/>
      <c r="BT48" s="215"/>
      <c r="BU48" s="215"/>
      <c r="BV48" s="215"/>
      <c r="BW48" s="215"/>
      <c r="BX48" s="215"/>
      <c r="BY48" s="215"/>
      <c r="BZ48" s="215"/>
      <c r="CA48" s="215"/>
      <c r="CB48" s="215"/>
      <c r="CC48" s="215"/>
      <c r="CD48" s="215"/>
      <c r="CE48" s="215"/>
      <c r="CF48" s="215"/>
      <c r="CG48" s="215"/>
      <c r="CH48" s="215"/>
      <c r="CI48" s="215"/>
      <c r="CJ48" s="215"/>
      <c r="CK48" s="215"/>
      <c r="CL48" s="215"/>
      <c r="CM48" s="215"/>
      <c r="CN48" s="215"/>
      <c r="CO48" s="215"/>
      <c r="CP48" s="215"/>
      <c r="CQ48" s="215"/>
      <c r="CR48" s="215"/>
      <c r="CS48" s="215"/>
      <c r="CT48" s="215"/>
      <c r="CU48" s="215"/>
      <c r="CV48" s="215"/>
      <c r="CW48" s="215"/>
      <c r="CX48" s="215"/>
      <c r="CY48" s="215"/>
      <c r="CZ48" s="215"/>
      <c r="DA48" s="215"/>
      <c r="DB48" s="215"/>
      <c r="DC48" s="215"/>
      <c r="DD48" s="215"/>
      <c r="DE48" s="215"/>
      <c r="DF48" s="215"/>
      <c r="DG48" s="215"/>
      <c r="DH48" s="215"/>
      <c r="DI48" s="215"/>
      <c r="DJ48" s="215"/>
      <c r="DK48" s="215"/>
      <c r="DL48" s="215"/>
      <c r="DM48" s="215"/>
      <c r="DN48" s="215"/>
      <c r="DO48" s="215"/>
      <c r="DP48" s="215"/>
      <c r="DQ48" s="215"/>
      <c r="DR48" s="215"/>
      <c r="DS48" s="215"/>
      <c r="DT48" s="215"/>
      <c r="DU48" s="215"/>
      <c r="DV48" s="215"/>
      <c r="DW48" s="215"/>
      <c r="DX48" s="215"/>
      <c r="DY48" s="215"/>
      <c r="DZ48" s="215"/>
      <c r="EA48" s="215"/>
      <c r="EB48" s="215"/>
      <c r="EC48" s="215"/>
      <c r="ED48" s="215"/>
      <c r="EE48" s="215"/>
      <c r="EF48" s="215"/>
      <c r="EG48" s="215"/>
      <c r="EH48" s="215"/>
      <c r="EI48" s="215"/>
      <c r="EJ48" s="215"/>
      <c r="EK48" s="215"/>
      <c r="EL48" s="215"/>
      <c r="EM48" s="215"/>
      <c r="EN48" s="215"/>
      <c r="EO48" s="215"/>
      <c r="EP48" s="215"/>
      <c r="EQ48" s="215"/>
      <c r="ER48" s="215"/>
      <c r="ES48" s="215"/>
      <c r="ET48" s="215"/>
      <c r="EU48" s="215"/>
      <c r="EV48" s="215"/>
      <c r="EW48" s="215"/>
      <c r="EX48" s="215"/>
      <c r="EY48" s="215"/>
      <c r="EZ48" s="215"/>
      <c r="FA48" s="215"/>
      <c r="FB48" s="215"/>
      <c r="FC48" s="215"/>
      <c r="FD48" s="215"/>
      <c r="FE48" s="215"/>
      <c r="FF48" s="215"/>
      <c r="FG48" s="215"/>
      <c r="FH48" s="215"/>
      <c r="FI48" s="215"/>
      <c r="FJ48" s="215"/>
      <c r="FK48" s="215"/>
      <c r="FL48" s="215"/>
      <c r="FM48" s="215"/>
      <c r="FN48" s="215"/>
      <c r="FO48" s="215"/>
      <c r="FP48" s="215"/>
      <c r="FQ48" s="215"/>
      <c r="FR48" s="215"/>
      <c r="FS48" s="215"/>
      <c r="FT48" s="215"/>
      <c r="FU48" s="215"/>
      <c r="FV48" s="215"/>
      <c r="FW48" s="215"/>
      <c r="FX48" s="215"/>
      <c r="FY48" s="215"/>
      <c r="FZ48" s="215"/>
      <c r="GA48" s="215"/>
      <c r="GB48" s="215"/>
      <c r="GC48" s="215"/>
      <c r="GD48" s="215"/>
      <c r="GE48" s="215"/>
      <c r="GF48" s="215"/>
      <c r="GG48" s="215"/>
      <c r="GH48" s="215"/>
      <c r="GI48" s="215"/>
      <c r="GJ48" s="215"/>
      <c r="GK48" s="215"/>
      <c r="GL48" s="215"/>
      <c r="GM48" s="215"/>
      <c r="GN48" s="215"/>
      <c r="GO48" s="215"/>
      <c r="GP48" s="215"/>
      <c r="GQ48" s="215"/>
      <c r="GR48" s="215"/>
      <c r="GS48" s="215"/>
      <c r="GT48" s="215"/>
      <c r="GU48" s="215"/>
      <c r="GV48" s="215"/>
      <c r="GW48" s="215"/>
      <c r="GX48" s="215"/>
      <c r="GY48" s="215"/>
      <c r="GZ48" s="215"/>
      <c r="HA48" s="215"/>
      <c r="HB48" s="215"/>
      <c r="HC48" s="215"/>
      <c r="HD48" s="215"/>
      <c r="HE48" s="215"/>
      <c r="HF48" s="215"/>
      <c r="HG48" s="215"/>
      <c r="HH48" s="215"/>
      <c r="HI48" s="215"/>
      <c r="HJ48" s="215"/>
      <c r="HK48" s="215"/>
      <c r="HL48" s="215"/>
      <c r="HM48" s="215"/>
      <c r="HN48" s="215"/>
      <c r="HO48" s="215"/>
      <c r="HP48" s="215"/>
      <c r="HQ48" s="215"/>
      <c r="HR48" s="215"/>
      <c r="HS48" s="215"/>
      <c r="HT48" s="215"/>
      <c r="HU48" s="215"/>
      <c r="HV48" s="215"/>
      <c r="HW48" s="215"/>
      <c r="HX48" s="215"/>
      <c r="HY48" s="215"/>
      <c r="HZ48" s="215"/>
      <c r="IA48" s="215"/>
      <c r="IB48" s="215"/>
      <c r="IC48" s="215"/>
      <c r="ID48" s="215"/>
      <c r="IE48" s="215"/>
      <c r="IF48" s="215"/>
      <c r="IG48" s="215"/>
      <c r="IH48" s="215"/>
      <c r="II48" s="215"/>
      <c r="IJ48" s="215"/>
      <c r="IK48" s="215"/>
      <c r="IL48" s="215"/>
      <c r="IM48" s="215"/>
      <c r="IN48" s="215"/>
      <c r="IO48" s="215"/>
      <c r="IP48" s="215"/>
      <c r="IQ48" s="215"/>
      <c r="IR48" s="215"/>
      <c r="IS48" s="215"/>
      <c r="IT48" s="215"/>
      <c r="IU48" s="215"/>
      <c r="IV48" s="215"/>
      <c r="IW48" s="215"/>
      <c r="IX48" s="215"/>
      <c r="IY48" s="215"/>
      <c r="IZ48" s="215"/>
      <c r="JA48" s="215"/>
      <c r="JB48" s="215"/>
      <c r="JC48" s="215"/>
      <c r="JD48" s="215"/>
      <c r="JE48" s="215"/>
      <c r="JF48" s="215"/>
      <c r="JG48" s="215"/>
      <c r="JH48" s="215"/>
      <c r="JI48" s="215"/>
      <c r="JJ48" s="215"/>
      <c r="JK48" s="215"/>
      <c r="JL48" s="215"/>
      <c r="JM48" s="215"/>
      <c r="JN48" s="215"/>
      <c r="JO48" s="215"/>
      <c r="JP48" s="215"/>
      <c r="JQ48" s="215"/>
      <c r="JR48" s="215"/>
      <c r="JS48" s="215"/>
      <c r="JT48" s="215"/>
      <c r="JU48" s="215"/>
      <c r="JV48" s="215"/>
      <c r="JW48" s="215"/>
      <c r="JX48" s="215"/>
      <c r="JY48" s="215"/>
      <c r="JZ48" s="215"/>
      <c r="KA48" s="215"/>
      <c r="KB48" s="215"/>
      <c r="KC48" s="215"/>
      <c r="KD48" s="215"/>
      <c r="KE48" s="215"/>
      <c r="KF48" s="215"/>
      <c r="KG48" s="215"/>
      <c r="KH48" s="215"/>
      <c r="KI48" s="215"/>
      <c r="KJ48" s="215"/>
      <c r="KK48" s="215"/>
      <c r="KL48" s="215"/>
      <c r="KM48" s="215"/>
      <c r="KN48" s="215"/>
      <c r="KO48" s="215"/>
      <c r="KP48" s="215"/>
      <c r="KQ48" s="215"/>
      <c r="KR48" s="215"/>
      <c r="KS48" s="215"/>
      <c r="KT48" s="215"/>
      <c r="KU48" s="215"/>
      <c r="KV48" s="215"/>
      <c r="KW48" s="215"/>
      <c r="KX48" s="215"/>
      <c r="KY48" s="215"/>
      <c r="KZ48" s="215"/>
      <c r="LA48" s="215"/>
      <c r="LB48" s="215"/>
      <c r="LC48" s="215"/>
      <c r="LD48" s="215"/>
      <c r="LE48" s="215"/>
      <c r="LF48" s="215"/>
      <c r="LG48" s="215"/>
      <c r="LH48" s="215"/>
      <c r="LI48" s="215"/>
      <c r="LJ48" s="215"/>
      <c r="LK48" s="215"/>
    </row>
    <row r="49" spans="1:323" s="232" customFormat="1" ht="30" hidden="1" customHeight="1" x14ac:dyDescent="0.25">
      <c r="A49" s="289">
        <f>A37+1</f>
        <v>1</v>
      </c>
      <c r="B49" s="11" t="s">
        <v>453</v>
      </c>
      <c r="C49" s="290"/>
      <c r="D49" s="10"/>
      <c r="E49" s="291"/>
      <c r="F49" s="291"/>
      <c r="G49" s="292">
        <f>$P$10-$P$18</f>
        <v>0</v>
      </c>
      <c r="H49" s="291" t="e">
        <f>+D49*E49*F49*(G49-#REF!)</f>
        <v>#REF!</v>
      </c>
      <c r="I49" s="291">
        <f>+IF(+AND(E49&gt;0.3,E49&lt;=0.75,F49&gt;0.3),($D49*($E49+$F49)*2*($G49-#REF!)),0)</f>
        <v>0</v>
      </c>
      <c r="J49" s="291">
        <f>+IF(+AND(E49&gt;0.3,E49&lt;=0.75,F49&lt;=0.3),($D49*($E49+$F49)*2*($G49-#REF!)),0)</f>
        <v>0</v>
      </c>
      <c r="K49" s="291">
        <f>+IF(+AND(E49&gt;0.75,E49&lt;=1.2,F49&gt;0),($D49*($E49+$F49)*2*($G49-#REF!)),0)</f>
        <v>0</v>
      </c>
      <c r="L49" s="291">
        <f>+IF(+AND(E49&gt;1.2,F49&gt;0),($D49*($E49+$F49)*2*($G49-#REF!)),0)</f>
        <v>0</v>
      </c>
      <c r="M49" s="291">
        <f t="shared" ref="M49:M54" si="37">SUM(I49:L49)</f>
        <v>0</v>
      </c>
      <c r="N49" s="291">
        <f t="shared" ref="N49:N54" si="38">ROUNDUP(E49/0.6,0)*ROUNDUP(G49/0.6,0)*D49</f>
        <v>0</v>
      </c>
      <c r="O49" s="291">
        <f t="shared" ref="O49:Q54" si="39">D49</f>
        <v>0</v>
      </c>
      <c r="P49" s="291">
        <f t="shared" si="39"/>
        <v>0</v>
      </c>
      <c r="Q49" s="291">
        <f t="shared" si="39"/>
        <v>0</v>
      </c>
      <c r="R49" s="291">
        <f t="shared" ref="R49:R54" si="40">$P$9-$P$10</f>
        <v>4</v>
      </c>
      <c r="S49" s="291">
        <f t="shared" ref="S49:S54" si="41">+O49*P49*Q49*R49</f>
        <v>0</v>
      </c>
      <c r="T49" s="291">
        <f t="shared" ref="T49:T54" si="42">+IF(+AND(P49&gt;0.3,P49&lt;=0.75,Q49&gt;0.3),(O49*(P49+Q49)*2*(R49-$E$11)),0)</f>
        <v>0</v>
      </c>
      <c r="U49" s="291">
        <f t="shared" ref="U49:U54" si="43">+IF(+AND(P49&gt;0.3,P49&lt;=0.75,Q49&lt;=0.3),(O49*(P49+Q49)*2*(R49-$E$11)),0)</f>
        <v>0</v>
      </c>
      <c r="V49" s="291">
        <f t="shared" ref="V49:V54" si="44">+IF(+AND(P49&gt;0.75,P49&lt;=1.2,Q49&gt;0),(O49*(P49+Q49)*2*(R49-$E$11)),0)</f>
        <v>0</v>
      </c>
      <c r="W49" s="291">
        <f t="shared" ref="W49:W54" si="45">+IF(+AND(P49&gt;1.2,Q49&gt;0),(O49*(P49+Q49)*2*(R49-$E$11)),0)</f>
        <v>0</v>
      </c>
      <c r="X49" s="291">
        <f t="shared" ref="X49" si="46">SUM(T49:W49)</f>
        <v>0</v>
      </c>
      <c r="Y49" s="291">
        <f t="shared" ref="Y49:Y54" si="47">ROUNDUP(P49/0.6,0)*ROUNDUP(R49/0.6,0)*O49</f>
        <v>0</v>
      </c>
      <c r="Z49" s="291">
        <f>O49</f>
        <v>0</v>
      </c>
      <c r="AA49" s="291">
        <f t="shared" ref="AA49:AB54" si="48">+E49</f>
        <v>0</v>
      </c>
      <c r="AB49" s="291">
        <f t="shared" si="48"/>
        <v>0</v>
      </c>
      <c r="AC49" s="291">
        <f t="shared" ref="AC49:AC54" si="49">$P$13-$P$9</f>
        <v>7.7</v>
      </c>
      <c r="AD49" s="291">
        <f t="shared" ref="AD49:AD54" si="50">+Z49*AA49*AB49*AC49</f>
        <v>0</v>
      </c>
      <c r="AE49" s="291">
        <f t="shared" ref="AE49:AE54" si="51">+IF(+AND(AA49&gt;0.3,AA49&lt;=0.75,AB49&gt;0.3),(Z49*(AA49+AB49)*2*(AC49-$E$11)),0)</f>
        <v>0</v>
      </c>
      <c r="AF49" s="291">
        <f t="shared" ref="AF49:AF54" si="52">+IF(+AND(AA49&gt;0.3,AA49&lt;=0.75,AB49&lt;=0.3),(Z49*(AA49+AB49)*2*(AC49-$E$11)),0)</f>
        <v>0</v>
      </c>
      <c r="AG49" s="291">
        <f t="shared" ref="AG49:AG54" si="53">+IF(+AND(AA49&gt;0.75,AA49&lt;=1.2,AB49&gt;0),(Z49*(AA49+AB49)*2*(AC49-$E$11)),0)</f>
        <v>0</v>
      </c>
      <c r="AH49" s="291">
        <f t="shared" ref="AH49:AH54" si="54">+IF(+AND(AA49&gt;1.2,AB49&gt;0),(Z49*(AA49+AB49)*2*(AC49-$E$11)),0)</f>
        <v>0</v>
      </c>
      <c r="AI49" s="291">
        <f t="shared" ref="AI49:AI54" si="55">SUM(AE49:AH49)</f>
        <v>0</v>
      </c>
      <c r="AJ49" s="291">
        <f t="shared" ref="AJ49:AJ54" si="56">ROUNDUP(AA49/0.6,0)*ROUNDUP(AC49/0.6,0)*Z49</f>
        <v>0</v>
      </c>
      <c r="AL49" s="232">
        <f t="shared" ref="AL49:AL54" si="57">+ROUNDUP((D49)/4,0)</f>
        <v>0</v>
      </c>
      <c r="AM49" s="293">
        <f t="shared" ref="AM49:AM54" si="58">AL49*(2*(P49+Q49)*2.44)</f>
        <v>0</v>
      </c>
      <c r="AN49" s="215"/>
      <c r="AO49" s="215">
        <v>0.6</v>
      </c>
      <c r="AP49" s="215"/>
      <c r="AQ49" s="215"/>
      <c r="AR49" s="215"/>
      <c r="AS49" s="215"/>
      <c r="AT49" s="215"/>
      <c r="AU49" s="215"/>
      <c r="AV49" s="215"/>
      <c r="AW49" s="215"/>
      <c r="AX49" s="215"/>
      <c r="AY49" s="215"/>
      <c r="AZ49" s="291"/>
      <c r="BA49" s="215"/>
      <c r="BB49" s="215"/>
      <c r="BC49" s="215"/>
      <c r="BD49" s="215"/>
      <c r="BE49" s="215"/>
      <c r="BF49" s="215"/>
      <c r="BG49" s="215"/>
      <c r="BH49" s="215"/>
      <c r="BI49" s="215"/>
      <c r="BJ49" s="215"/>
      <c r="BK49" s="215"/>
      <c r="BL49" s="215"/>
      <c r="BM49" s="215"/>
      <c r="BN49" s="215"/>
      <c r="BO49" s="215"/>
      <c r="BP49" s="215"/>
      <c r="BQ49" s="215"/>
      <c r="BR49" s="215"/>
      <c r="BS49" s="215"/>
      <c r="BT49" s="215"/>
      <c r="BU49" s="215"/>
      <c r="BV49" s="215"/>
      <c r="BW49" s="215"/>
      <c r="BX49" s="215"/>
      <c r="BY49" s="215"/>
      <c r="BZ49" s="215"/>
      <c r="CA49" s="215"/>
      <c r="CB49" s="215"/>
      <c r="CC49" s="215"/>
      <c r="CD49" s="215"/>
      <c r="CE49" s="215"/>
      <c r="CF49" s="215"/>
      <c r="CG49" s="215"/>
      <c r="CH49" s="215"/>
      <c r="CI49" s="215"/>
      <c r="CJ49" s="215"/>
      <c r="CK49" s="215"/>
      <c r="CL49" s="215"/>
      <c r="CM49" s="215"/>
      <c r="CN49" s="215"/>
      <c r="CO49" s="215"/>
      <c r="CP49" s="215"/>
      <c r="CQ49" s="215"/>
      <c r="CR49" s="215"/>
      <c r="CS49" s="215"/>
      <c r="CT49" s="215"/>
      <c r="CU49" s="215"/>
      <c r="CV49" s="215"/>
      <c r="CW49" s="215"/>
      <c r="CX49" s="215"/>
      <c r="CY49" s="215"/>
      <c r="CZ49" s="215"/>
      <c r="DA49" s="215"/>
      <c r="DB49" s="215"/>
      <c r="DC49" s="215"/>
      <c r="DD49" s="215"/>
      <c r="DE49" s="215"/>
      <c r="DF49" s="215"/>
      <c r="DG49" s="215"/>
      <c r="DH49" s="215"/>
      <c r="DI49" s="215"/>
      <c r="DJ49" s="215"/>
      <c r="DK49" s="215"/>
      <c r="DL49" s="215"/>
      <c r="DM49" s="215"/>
      <c r="DN49" s="215"/>
      <c r="DO49" s="215"/>
      <c r="DP49" s="215"/>
      <c r="DQ49" s="215"/>
      <c r="DR49" s="215"/>
      <c r="DS49" s="215"/>
      <c r="DT49" s="215"/>
      <c r="DU49" s="215"/>
      <c r="DV49" s="215"/>
      <c r="DW49" s="215"/>
      <c r="DX49" s="215"/>
      <c r="DY49" s="215"/>
      <c r="DZ49" s="215"/>
      <c r="EA49" s="215"/>
      <c r="EB49" s="215"/>
      <c r="EC49" s="215"/>
      <c r="ED49" s="215"/>
      <c r="EE49" s="215"/>
      <c r="EF49" s="215"/>
      <c r="EG49" s="215"/>
      <c r="EH49" s="215"/>
      <c r="EI49" s="215"/>
      <c r="EJ49" s="215"/>
      <c r="EK49" s="215"/>
      <c r="EL49" s="215"/>
      <c r="EM49" s="215"/>
      <c r="EN49" s="215"/>
      <c r="EO49" s="215"/>
      <c r="EP49" s="215"/>
      <c r="EQ49" s="215"/>
      <c r="ER49" s="215"/>
      <c r="ES49" s="215"/>
      <c r="ET49" s="215"/>
      <c r="EU49" s="215"/>
      <c r="EV49" s="215"/>
      <c r="EW49" s="215"/>
      <c r="EX49" s="215"/>
      <c r="EY49" s="215"/>
      <c r="EZ49" s="215"/>
      <c r="FA49" s="215"/>
      <c r="FB49" s="215"/>
      <c r="FC49" s="215"/>
      <c r="FD49" s="215"/>
      <c r="FE49" s="215"/>
      <c r="FF49" s="215"/>
      <c r="FG49" s="215"/>
      <c r="FH49" s="215"/>
      <c r="FI49" s="215"/>
      <c r="FJ49" s="215"/>
      <c r="FK49" s="215"/>
      <c r="FL49" s="215"/>
      <c r="FM49" s="215"/>
      <c r="FN49" s="215"/>
      <c r="FO49" s="215"/>
      <c r="FP49" s="215"/>
      <c r="FQ49" s="215"/>
      <c r="FR49" s="215"/>
      <c r="FS49" s="215"/>
      <c r="FT49" s="215"/>
      <c r="FU49" s="215"/>
      <c r="FV49" s="215"/>
      <c r="FW49" s="215"/>
      <c r="FX49" s="215"/>
      <c r="FY49" s="215"/>
      <c r="FZ49" s="215"/>
      <c r="GA49" s="215"/>
      <c r="GB49" s="215"/>
      <c r="GC49" s="215"/>
      <c r="GD49" s="215"/>
      <c r="GE49" s="215"/>
      <c r="GF49" s="215"/>
      <c r="GG49" s="215"/>
      <c r="GH49" s="215"/>
      <c r="GI49" s="215"/>
      <c r="GJ49" s="215"/>
      <c r="GK49" s="215"/>
      <c r="GL49" s="215"/>
      <c r="GM49" s="215"/>
      <c r="GN49" s="215"/>
      <c r="GO49" s="215"/>
      <c r="GP49" s="215"/>
      <c r="GQ49" s="215"/>
      <c r="GR49" s="215"/>
      <c r="GS49" s="215"/>
      <c r="GT49" s="215"/>
      <c r="GU49" s="215"/>
      <c r="GV49" s="215"/>
      <c r="GW49" s="215"/>
      <c r="GX49" s="215"/>
      <c r="GY49" s="215"/>
      <c r="GZ49" s="215"/>
      <c r="HA49" s="215"/>
      <c r="HB49" s="215"/>
      <c r="HC49" s="215"/>
      <c r="HD49" s="215"/>
      <c r="HE49" s="215"/>
      <c r="HF49" s="215"/>
      <c r="HG49" s="215"/>
      <c r="HH49" s="215"/>
      <c r="HI49" s="215"/>
      <c r="HJ49" s="215"/>
      <c r="HK49" s="215"/>
      <c r="HL49" s="215"/>
      <c r="HM49" s="215"/>
      <c r="HN49" s="215"/>
      <c r="HO49" s="215"/>
      <c r="HP49" s="215"/>
      <c r="HQ49" s="215"/>
      <c r="HR49" s="215"/>
      <c r="HS49" s="215"/>
      <c r="HT49" s="215"/>
      <c r="HU49" s="215"/>
      <c r="HV49" s="215"/>
      <c r="HW49" s="215"/>
      <c r="HX49" s="215"/>
      <c r="HY49" s="215"/>
      <c r="HZ49" s="215"/>
      <c r="IA49" s="215"/>
      <c r="IB49" s="215"/>
      <c r="IC49" s="215"/>
      <c r="ID49" s="215"/>
      <c r="IE49" s="215"/>
      <c r="IF49" s="215"/>
      <c r="IG49" s="215"/>
      <c r="IH49" s="215"/>
      <c r="II49" s="215"/>
      <c r="IJ49" s="215"/>
      <c r="IK49" s="215"/>
      <c r="IL49" s="215"/>
      <c r="IM49" s="215"/>
      <c r="IN49" s="215"/>
      <c r="IO49" s="215"/>
      <c r="IP49" s="215"/>
      <c r="IQ49" s="215"/>
      <c r="IR49" s="215"/>
      <c r="IS49" s="215"/>
      <c r="IT49" s="215"/>
      <c r="IU49" s="215"/>
      <c r="IV49" s="215"/>
      <c r="IW49" s="215"/>
      <c r="IX49" s="215"/>
      <c r="IY49" s="215"/>
      <c r="IZ49" s="215"/>
      <c r="JA49" s="215"/>
      <c r="JB49" s="215"/>
      <c r="JC49" s="215"/>
      <c r="JD49" s="215"/>
      <c r="JE49" s="215"/>
      <c r="JF49" s="215"/>
      <c r="JG49" s="215"/>
      <c r="JH49" s="215"/>
      <c r="JI49" s="215"/>
      <c r="JJ49" s="215"/>
      <c r="JK49" s="215"/>
      <c r="JL49" s="215"/>
      <c r="JM49" s="215"/>
      <c r="JN49" s="215"/>
      <c r="JO49" s="215"/>
      <c r="JP49" s="215"/>
      <c r="JQ49" s="215"/>
      <c r="JR49" s="215"/>
      <c r="JS49" s="215"/>
      <c r="JT49" s="215"/>
      <c r="JU49" s="215"/>
      <c r="JV49" s="215"/>
      <c r="JW49" s="215"/>
      <c r="JX49" s="215"/>
      <c r="JY49" s="215"/>
      <c r="JZ49" s="215"/>
      <c r="KA49" s="215"/>
      <c r="KB49" s="215"/>
      <c r="KC49" s="215"/>
      <c r="KD49" s="215"/>
      <c r="KE49" s="215"/>
      <c r="KF49" s="215"/>
      <c r="KG49" s="215"/>
      <c r="KH49" s="215"/>
      <c r="KI49" s="215"/>
      <c r="KJ49" s="215"/>
      <c r="KK49" s="215"/>
      <c r="KL49" s="215"/>
      <c r="KM49" s="215"/>
      <c r="KN49" s="215"/>
      <c r="KO49" s="215"/>
      <c r="KP49" s="215"/>
      <c r="KQ49" s="215"/>
      <c r="KR49" s="215"/>
      <c r="KS49" s="215"/>
      <c r="KT49" s="215"/>
      <c r="KU49" s="215"/>
      <c r="KV49" s="215"/>
      <c r="KW49" s="215"/>
      <c r="KX49" s="215"/>
      <c r="KY49" s="215"/>
      <c r="KZ49" s="215"/>
      <c r="LA49" s="215"/>
      <c r="LB49" s="215"/>
      <c r="LC49" s="215"/>
      <c r="LD49" s="215"/>
      <c r="LE49" s="215"/>
      <c r="LF49" s="215"/>
      <c r="LG49" s="215"/>
      <c r="LH49" s="215"/>
      <c r="LI49" s="215"/>
      <c r="LJ49" s="215"/>
      <c r="LK49" s="215"/>
    </row>
    <row r="50" spans="1:323" s="232" customFormat="1" ht="30" hidden="1" customHeight="1" x14ac:dyDescent="0.25">
      <c r="A50" s="289">
        <f>A49+1</f>
        <v>2</v>
      </c>
      <c r="B50" s="11" t="s">
        <v>454</v>
      </c>
      <c r="C50" s="290"/>
      <c r="D50" s="10"/>
      <c r="E50" s="291"/>
      <c r="F50" s="291"/>
      <c r="G50" s="292">
        <f t="shared" ref="G50:G51" si="59">$P$10-$P$18</f>
        <v>0</v>
      </c>
      <c r="H50" s="291" t="e">
        <f>+D50*E50*F50*(G50-#REF!)</f>
        <v>#REF!</v>
      </c>
      <c r="I50" s="291">
        <f>+IF(+AND(E50&gt;0.3,E50&lt;=0.75,F50&gt;0.3),($D50*($E50+$F50)*2*($G50-#REF!)),0)</f>
        <v>0</v>
      </c>
      <c r="J50" s="291">
        <f>+IF(+AND(E50&gt;0.3,E50&lt;=0.75,F50&lt;=0.3),($D50*($E50+$F50)*2*($G50-#REF!)),0)</f>
        <v>0</v>
      </c>
      <c r="K50" s="291">
        <f>+IF(+AND(E50&gt;0.75,E50&lt;=1.2,F50&gt;0),($D50*($E50+$F50)*2*($G50-#REF!)),0)</f>
        <v>0</v>
      </c>
      <c r="L50" s="291">
        <f>+IF(+AND(E50&gt;1.2,F50&gt;0),($D50*($E50+$F50)*2*($G50-#REF!)),0)</f>
        <v>0</v>
      </c>
      <c r="M50" s="291">
        <f t="shared" si="37"/>
        <v>0</v>
      </c>
      <c r="N50" s="291">
        <f t="shared" si="38"/>
        <v>0</v>
      </c>
      <c r="O50" s="291">
        <f t="shared" si="39"/>
        <v>0</v>
      </c>
      <c r="P50" s="291">
        <f t="shared" si="39"/>
        <v>0</v>
      </c>
      <c r="Q50" s="291">
        <f t="shared" si="39"/>
        <v>0</v>
      </c>
      <c r="R50" s="291">
        <f t="shared" si="40"/>
        <v>4</v>
      </c>
      <c r="S50" s="291">
        <f t="shared" si="41"/>
        <v>0</v>
      </c>
      <c r="T50" s="291">
        <f t="shared" si="42"/>
        <v>0</v>
      </c>
      <c r="U50" s="291">
        <f t="shared" si="43"/>
        <v>0</v>
      </c>
      <c r="V50" s="291">
        <f t="shared" si="44"/>
        <v>0</v>
      </c>
      <c r="W50" s="291">
        <f t="shared" si="45"/>
        <v>0</v>
      </c>
      <c r="X50" s="291">
        <f t="shared" ref="X50:X51" si="60">SUM(T50:W50)</f>
        <v>0</v>
      </c>
      <c r="Y50" s="291">
        <f t="shared" si="47"/>
        <v>0</v>
      </c>
      <c r="Z50" s="291">
        <f t="shared" ref="Z50:Z54" si="61">O50</f>
        <v>0</v>
      </c>
      <c r="AA50" s="291">
        <f t="shared" si="48"/>
        <v>0</v>
      </c>
      <c r="AB50" s="291">
        <f t="shared" si="48"/>
        <v>0</v>
      </c>
      <c r="AC50" s="291">
        <f t="shared" si="49"/>
        <v>7.7</v>
      </c>
      <c r="AD50" s="291">
        <f t="shared" si="50"/>
        <v>0</v>
      </c>
      <c r="AE50" s="291">
        <f t="shared" si="51"/>
        <v>0</v>
      </c>
      <c r="AF50" s="291">
        <f t="shared" si="52"/>
        <v>0</v>
      </c>
      <c r="AG50" s="291">
        <f t="shared" si="53"/>
        <v>0</v>
      </c>
      <c r="AH50" s="291">
        <f t="shared" si="54"/>
        <v>0</v>
      </c>
      <c r="AI50" s="291">
        <f t="shared" si="55"/>
        <v>0</v>
      </c>
      <c r="AJ50" s="291">
        <f t="shared" si="56"/>
        <v>0</v>
      </c>
      <c r="AL50" s="232">
        <f t="shared" si="57"/>
        <v>0</v>
      </c>
      <c r="AM50" s="293">
        <f t="shared" si="58"/>
        <v>0</v>
      </c>
      <c r="AN50" s="215"/>
      <c r="AO50" s="215">
        <v>0.6</v>
      </c>
      <c r="AP50" s="215"/>
      <c r="AQ50" s="215"/>
      <c r="AR50" s="215"/>
      <c r="AS50" s="215"/>
      <c r="AT50" s="215"/>
      <c r="AU50" s="215"/>
      <c r="AV50" s="215"/>
      <c r="AW50" s="215"/>
      <c r="AX50" s="215"/>
      <c r="AY50" s="215"/>
      <c r="AZ50" s="291"/>
      <c r="BA50" s="215"/>
      <c r="BB50" s="215"/>
      <c r="BC50" s="215"/>
      <c r="BD50" s="215"/>
      <c r="BE50" s="215"/>
      <c r="BF50" s="215"/>
      <c r="BG50" s="215"/>
      <c r="BH50" s="215"/>
      <c r="BI50" s="215"/>
      <c r="BJ50" s="215"/>
      <c r="BK50" s="215"/>
      <c r="BL50" s="215"/>
      <c r="BM50" s="215"/>
      <c r="BN50" s="215"/>
      <c r="BO50" s="215"/>
      <c r="BP50" s="215"/>
      <c r="BQ50" s="215"/>
      <c r="BR50" s="215"/>
      <c r="BS50" s="215"/>
      <c r="BT50" s="215"/>
      <c r="BU50" s="215"/>
      <c r="BV50" s="215"/>
      <c r="BW50" s="215"/>
      <c r="BX50" s="215"/>
      <c r="BY50" s="215"/>
      <c r="BZ50" s="215"/>
      <c r="CA50" s="215"/>
      <c r="CB50" s="215"/>
      <c r="CC50" s="215"/>
      <c r="CD50" s="215"/>
      <c r="CE50" s="215"/>
      <c r="CF50" s="215"/>
      <c r="CG50" s="215"/>
      <c r="CH50" s="215"/>
      <c r="CI50" s="215"/>
      <c r="CJ50" s="215"/>
      <c r="CK50" s="215"/>
      <c r="CL50" s="215"/>
      <c r="CM50" s="215"/>
      <c r="CN50" s="215"/>
      <c r="CO50" s="215"/>
      <c r="CP50" s="215"/>
      <c r="CQ50" s="215"/>
      <c r="CR50" s="215"/>
      <c r="CS50" s="215"/>
      <c r="CT50" s="215"/>
      <c r="CU50" s="215"/>
      <c r="CV50" s="215"/>
      <c r="CW50" s="215"/>
      <c r="CX50" s="215"/>
      <c r="CY50" s="215"/>
      <c r="CZ50" s="215"/>
      <c r="DA50" s="215"/>
      <c r="DB50" s="215"/>
      <c r="DC50" s="215"/>
      <c r="DD50" s="215"/>
      <c r="DE50" s="215"/>
      <c r="DF50" s="215"/>
      <c r="DG50" s="215"/>
      <c r="DH50" s="215"/>
      <c r="DI50" s="215"/>
      <c r="DJ50" s="215"/>
      <c r="DK50" s="215"/>
      <c r="DL50" s="215"/>
      <c r="DM50" s="215"/>
      <c r="DN50" s="215"/>
      <c r="DO50" s="215"/>
      <c r="DP50" s="215"/>
      <c r="DQ50" s="215"/>
      <c r="DR50" s="215"/>
      <c r="DS50" s="215"/>
      <c r="DT50" s="215"/>
      <c r="DU50" s="215"/>
      <c r="DV50" s="215"/>
      <c r="DW50" s="215"/>
      <c r="DX50" s="215"/>
      <c r="DY50" s="215"/>
      <c r="DZ50" s="215"/>
      <c r="EA50" s="215"/>
      <c r="EB50" s="215"/>
      <c r="EC50" s="215"/>
      <c r="ED50" s="215"/>
      <c r="EE50" s="215"/>
      <c r="EF50" s="215"/>
      <c r="EG50" s="215"/>
      <c r="EH50" s="215"/>
      <c r="EI50" s="215"/>
      <c r="EJ50" s="215"/>
      <c r="EK50" s="215"/>
      <c r="EL50" s="215"/>
      <c r="EM50" s="215"/>
      <c r="EN50" s="215"/>
      <c r="EO50" s="215"/>
      <c r="EP50" s="215"/>
      <c r="EQ50" s="215"/>
      <c r="ER50" s="215"/>
      <c r="ES50" s="215"/>
      <c r="ET50" s="215"/>
      <c r="EU50" s="215"/>
      <c r="EV50" s="215"/>
      <c r="EW50" s="215"/>
      <c r="EX50" s="215"/>
      <c r="EY50" s="215"/>
      <c r="EZ50" s="215"/>
      <c r="FA50" s="215"/>
      <c r="FB50" s="215"/>
      <c r="FC50" s="215"/>
      <c r="FD50" s="215"/>
      <c r="FE50" s="215"/>
      <c r="FF50" s="215"/>
      <c r="FG50" s="215"/>
      <c r="FH50" s="215"/>
      <c r="FI50" s="215"/>
      <c r="FJ50" s="215"/>
      <c r="FK50" s="215"/>
      <c r="FL50" s="215"/>
      <c r="FM50" s="215"/>
      <c r="FN50" s="215"/>
      <c r="FO50" s="215"/>
      <c r="FP50" s="215"/>
      <c r="FQ50" s="215"/>
      <c r="FR50" s="215"/>
      <c r="FS50" s="215"/>
      <c r="FT50" s="215"/>
      <c r="FU50" s="215"/>
      <c r="FV50" s="215"/>
      <c r="FW50" s="215"/>
      <c r="FX50" s="215"/>
      <c r="FY50" s="215"/>
      <c r="FZ50" s="215"/>
      <c r="GA50" s="215"/>
      <c r="GB50" s="215"/>
      <c r="GC50" s="215"/>
      <c r="GD50" s="215"/>
      <c r="GE50" s="215"/>
      <c r="GF50" s="215"/>
      <c r="GG50" s="215"/>
      <c r="GH50" s="215"/>
      <c r="GI50" s="215"/>
      <c r="GJ50" s="215"/>
      <c r="GK50" s="215"/>
      <c r="GL50" s="215"/>
      <c r="GM50" s="215"/>
      <c r="GN50" s="215"/>
      <c r="GO50" s="215"/>
      <c r="GP50" s="215"/>
      <c r="GQ50" s="215"/>
      <c r="GR50" s="215"/>
      <c r="GS50" s="215"/>
      <c r="GT50" s="215"/>
      <c r="GU50" s="215"/>
      <c r="GV50" s="215"/>
      <c r="GW50" s="215"/>
      <c r="GX50" s="215"/>
      <c r="GY50" s="215"/>
      <c r="GZ50" s="215"/>
      <c r="HA50" s="215"/>
      <c r="HB50" s="215"/>
      <c r="HC50" s="215"/>
      <c r="HD50" s="215"/>
      <c r="HE50" s="215"/>
      <c r="HF50" s="215"/>
      <c r="HG50" s="215"/>
      <c r="HH50" s="215"/>
      <c r="HI50" s="215"/>
      <c r="HJ50" s="215"/>
      <c r="HK50" s="215"/>
      <c r="HL50" s="215"/>
      <c r="HM50" s="215"/>
      <c r="HN50" s="215"/>
      <c r="HO50" s="215"/>
      <c r="HP50" s="215"/>
      <c r="HQ50" s="215"/>
      <c r="HR50" s="215"/>
      <c r="HS50" s="215"/>
      <c r="HT50" s="215"/>
      <c r="HU50" s="215"/>
      <c r="HV50" s="215"/>
      <c r="HW50" s="215"/>
      <c r="HX50" s="215"/>
      <c r="HY50" s="215"/>
      <c r="HZ50" s="215"/>
      <c r="IA50" s="215"/>
      <c r="IB50" s="215"/>
      <c r="IC50" s="215"/>
      <c r="ID50" s="215"/>
      <c r="IE50" s="215"/>
      <c r="IF50" s="215"/>
      <c r="IG50" s="215"/>
      <c r="IH50" s="215"/>
      <c r="II50" s="215"/>
      <c r="IJ50" s="215"/>
      <c r="IK50" s="215"/>
      <c r="IL50" s="215"/>
      <c r="IM50" s="215"/>
      <c r="IN50" s="215"/>
      <c r="IO50" s="215"/>
      <c r="IP50" s="215"/>
      <c r="IQ50" s="215"/>
      <c r="IR50" s="215"/>
      <c r="IS50" s="215"/>
      <c r="IT50" s="215"/>
      <c r="IU50" s="215"/>
      <c r="IV50" s="215"/>
      <c r="IW50" s="215"/>
      <c r="IX50" s="215"/>
      <c r="IY50" s="215"/>
      <c r="IZ50" s="215"/>
      <c r="JA50" s="215"/>
      <c r="JB50" s="215"/>
      <c r="JC50" s="215"/>
      <c r="JD50" s="215"/>
      <c r="JE50" s="215"/>
      <c r="JF50" s="215"/>
      <c r="JG50" s="215"/>
      <c r="JH50" s="215"/>
      <c r="JI50" s="215"/>
      <c r="JJ50" s="215"/>
      <c r="JK50" s="215"/>
      <c r="JL50" s="215"/>
      <c r="JM50" s="215"/>
      <c r="JN50" s="215"/>
      <c r="JO50" s="215"/>
      <c r="JP50" s="215"/>
      <c r="JQ50" s="215"/>
      <c r="JR50" s="215"/>
      <c r="JS50" s="215"/>
      <c r="JT50" s="215"/>
      <c r="JU50" s="215"/>
      <c r="JV50" s="215"/>
      <c r="JW50" s="215"/>
      <c r="JX50" s="215"/>
      <c r="JY50" s="215"/>
      <c r="JZ50" s="215"/>
      <c r="KA50" s="215"/>
      <c r="KB50" s="215"/>
      <c r="KC50" s="215"/>
      <c r="KD50" s="215"/>
      <c r="KE50" s="215"/>
      <c r="KF50" s="215"/>
      <c r="KG50" s="215"/>
      <c r="KH50" s="215"/>
      <c r="KI50" s="215"/>
      <c r="KJ50" s="215"/>
      <c r="KK50" s="215"/>
      <c r="KL50" s="215"/>
      <c r="KM50" s="215"/>
      <c r="KN50" s="215"/>
      <c r="KO50" s="215"/>
      <c r="KP50" s="215"/>
      <c r="KQ50" s="215"/>
      <c r="KR50" s="215"/>
      <c r="KS50" s="215"/>
      <c r="KT50" s="215"/>
      <c r="KU50" s="215"/>
      <c r="KV50" s="215"/>
      <c r="KW50" s="215"/>
      <c r="KX50" s="215"/>
      <c r="KY50" s="215"/>
      <c r="KZ50" s="215"/>
      <c r="LA50" s="215"/>
      <c r="LB50" s="215"/>
      <c r="LC50" s="215"/>
      <c r="LD50" s="215"/>
      <c r="LE50" s="215"/>
      <c r="LF50" s="215"/>
      <c r="LG50" s="215"/>
      <c r="LH50" s="215"/>
      <c r="LI50" s="215"/>
      <c r="LJ50" s="215"/>
      <c r="LK50" s="215"/>
    </row>
    <row r="51" spans="1:323" s="232" customFormat="1" ht="30" hidden="1" customHeight="1" x14ac:dyDescent="0.25">
      <c r="A51" s="289">
        <f t="shared" ref="A51:A54" si="62">A50+1</f>
        <v>3</v>
      </c>
      <c r="B51" s="11" t="s">
        <v>455</v>
      </c>
      <c r="C51" s="290"/>
      <c r="D51" s="10"/>
      <c r="E51" s="291"/>
      <c r="F51" s="291"/>
      <c r="G51" s="292">
        <f t="shared" si="59"/>
        <v>0</v>
      </c>
      <c r="H51" s="291" t="e">
        <f>+D51*E51*F51*(G51-#REF!)</f>
        <v>#REF!</v>
      </c>
      <c r="I51" s="291">
        <f>+IF(+AND(E51&gt;0.3,E51&lt;=0.75,F51&gt;0.3),($D51*($E51+$F51)*2*($G51-#REF!)),0)</f>
        <v>0</v>
      </c>
      <c r="J51" s="291">
        <f>+IF(+AND(E51&gt;0.3,E51&lt;=0.75,F51&lt;=0.3),($D51*($E51+$F51)*2*($G51-#REF!)),0)</f>
        <v>0</v>
      </c>
      <c r="K51" s="291">
        <f>+IF(+AND(E51&gt;0.75,E51&lt;=1.2,F51&gt;0),($D51*($E51+$F51)*2*($G51-#REF!)),0)</f>
        <v>0</v>
      </c>
      <c r="L51" s="291">
        <f>+IF(+AND(E51&gt;1.2,F51&gt;0),($D51*($E51+$F51)*2*($G51-#REF!)),0)</f>
        <v>0</v>
      </c>
      <c r="M51" s="291">
        <f t="shared" si="37"/>
        <v>0</v>
      </c>
      <c r="N51" s="291">
        <f t="shared" si="38"/>
        <v>0</v>
      </c>
      <c r="O51" s="291">
        <f t="shared" si="39"/>
        <v>0</v>
      </c>
      <c r="P51" s="291">
        <f t="shared" si="39"/>
        <v>0</v>
      </c>
      <c r="Q51" s="291">
        <f t="shared" si="39"/>
        <v>0</v>
      </c>
      <c r="R51" s="291">
        <f t="shared" si="40"/>
        <v>4</v>
      </c>
      <c r="S51" s="291">
        <f t="shared" si="41"/>
        <v>0</v>
      </c>
      <c r="T51" s="291">
        <f t="shared" si="42"/>
        <v>0</v>
      </c>
      <c r="U51" s="291">
        <f t="shared" si="43"/>
        <v>0</v>
      </c>
      <c r="V51" s="291">
        <f t="shared" si="44"/>
        <v>0</v>
      </c>
      <c r="W51" s="291">
        <f t="shared" si="45"/>
        <v>0</v>
      </c>
      <c r="X51" s="291">
        <f t="shared" si="60"/>
        <v>0</v>
      </c>
      <c r="Y51" s="291">
        <f t="shared" si="47"/>
        <v>0</v>
      </c>
      <c r="Z51" s="291">
        <f t="shared" si="61"/>
        <v>0</v>
      </c>
      <c r="AA51" s="291">
        <f t="shared" si="48"/>
        <v>0</v>
      </c>
      <c r="AB51" s="291">
        <f t="shared" si="48"/>
        <v>0</v>
      </c>
      <c r="AC51" s="291">
        <f t="shared" si="49"/>
        <v>7.7</v>
      </c>
      <c r="AD51" s="291">
        <f t="shared" si="50"/>
        <v>0</v>
      </c>
      <c r="AE51" s="291">
        <f t="shared" si="51"/>
        <v>0</v>
      </c>
      <c r="AF51" s="291">
        <f t="shared" si="52"/>
        <v>0</v>
      </c>
      <c r="AG51" s="291">
        <f t="shared" si="53"/>
        <v>0</v>
      </c>
      <c r="AH51" s="291">
        <f t="shared" si="54"/>
        <v>0</v>
      </c>
      <c r="AI51" s="291">
        <f t="shared" si="55"/>
        <v>0</v>
      </c>
      <c r="AJ51" s="291">
        <f t="shared" si="56"/>
        <v>0</v>
      </c>
      <c r="AL51" s="232">
        <f t="shared" si="57"/>
        <v>0</v>
      </c>
      <c r="AM51" s="293">
        <f t="shared" si="58"/>
        <v>0</v>
      </c>
      <c r="AN51" s="215"/>
      <c r="AO51" s="215">
        <v>0.6</v>
      </c>
      <c r="AP51" s="215"/>
      <c r="AQ51" s="215"/>
      <c r="AR51" s="215"/>
      <c r="AS51" s="215"/>
      <c r="AT51" s="215"/>
      <c r="AU51" s="215"/>
      <c r="AV51" s="215"/>
      <c r="AW51" s="215"/>
      <c r="AX51" s="215"/>
      <c r="AY51" s="215"/>
      <c r="AZ51" s="291"/>
      <c r="BA51" s="215"/>
      <c r="BB51" s="215"/>
      <c r="BC51" s="215"/>
      <c r="BD51" s="215"/>
      <c r="BE51" s="215"/>
      <c r="BF51" s="215"/>
      <c r="BG51" s="215"/>
      <c r="BH51" s="215"/>
      <c r="BI51" s="215"/>
      <c r="BJ51" s="215"/>
      <c r="BK51" s="215"/>
      <c r="BL51" s="215"/>
      <c r="BM51" s="215"/>
      <c r="BN51" s="215"/>
      <c r="BO51" s="215"/>
      <c r="BP51" s="215"/>
      <c r="BQ51" s="215"/>
      <c r="BR51" s="215"/>
      <c r="BS51" s="215"/>
      <c r="BT51" s="215"/>
      <c r="BU51" s="215"/>
      <c r="BV51" s="215"/>
      <c r="BW51" s="215"/>
      <c r="BX51" s="215"/>
      <c r="BY51" s="215"/>
      <c r="BZ51" s="215"/>
      <c r="CA51" s="215"/>
      <c r="CB51" s="215"/>
      <c r="CC51" s="215"/>
      <c r="CD51" s="215"/>
      <c r="CE51" s="215"/>
      <c r="CF51" s="215"/>
      <c r="CG51" s="215"/>
      <c r="CH51" s="215"/>
      <c r="CI51" s="215"/>
      <c r="CJ51" s="215"/>
      <c r="CK51" s="215"/>
      <c r="CL51" s="215"/>
      <c r="CM51" s="215"/>
      <c r="CN51" s="215"/>
      <c r="CO51" s="215"/>
      <c r="CP51" s="215"/>
      <c r="CQ51" s="215"/>
      <c r="CR51" s="215"/>
      <c r="CS51" s="215"/>
      <c r="CT51" s="215"/>
      <c r="CU51" s="215"/>
      <c r="CV51" s="215"/>
      <c r="CW51" s="215"/>
      <c r="CX51" s="215"/>
      <c r="CY51" s="215"/>
      <c r="CZ51" s="215"/>
      <c r="DA51" s="215"/>
      <c r="DB51" s="215"/>
      <c r="DC51" s="215"/>
      <c r="DD51" s="215"/>
      <c r="DE51" s="215"/>
      <c r="DF51" s="215"/>
      <c r="DG51" s="215"/>
      <c r="DH51" s="215"/>
      <c r="DI51" s="215"/>
      <c r="DJ51" s="215"/>
      <c r="DK51" s="215"/>
      <c r="DL51" s="215"/>
      <c r="DM51" s="215"/>
      <c r="DN51" s="215"/>
      <c r="DO51" s="215"/>
      <c r="DP51" s="215"/>
      <c r="DQ51" s="215"/>
      <c r="DR51" s="215"/>
      <c r="DS51" s="215"/>
      <c r="DT51" s="215"/>
      <c r="DU51" s="215"/>
      <c r="DV51" s="215"/>
      <c r="DW51" s="215"/>
      <c r="DX51" s="215"/>
      <c r="DY51" s="215"/>
      <c r="DZ51" s="215"/>
      <c r="EA51" s="215"/>
      <c r="EB51" s="215"/>
      <c r="EC51" s="215"/>
      <c r="ED51" s="215"/>
      <c r="EE51" s="215"/>
      <c r="EF51" s="215"/>
      <c r="EG51" s="215"/>
      <c r="EH51" s="215"/>
      <c r="EI51" s="215"/>
      <c r="EJ51" s="215"/>
      <c r="EK51" s="215"/>
      <c r="EL51" s="215"/>
      <c r="EM51" s="215"/>
      <c r="EN51" s="215"/>
      <c r="EO51" s="215"/>
      <c r="EP51" s="215"/>
      <c r="EQ51" s="215"/>
      <c r="ER51" s="215"/>
      <c r="ES51" s="215"/>
      <c r="ET51" s="215"/>
      <c r="EU51" s="215"/>
      <c r="EV51" s="215"/>
      <c r="EW51" s="215"/>
      <c r="EX51" s="215"/>
      <c r="EY51" s="215"/>
      <c r="EZ51" s="215"/>
      <c r="FA51" s="215"/>
      <c r="FB51" s="215"/>
      <c r="FC51" s="215"/>
      <c r="FD51" s="215"/>
      <c r="FE51" s="215"/>
      <c r="FF51" s="215"/>
      <c r="FG51" s="215"/>
      <c r="FH51" s="215"/>
      <c r="FI51" s="215"/>
      <c r="FJ51" s="215"/>
      <c r="FK51" s="215"/>
      <c r="FL51" s="215"/>
      <c r="FM51" s="215"/>
      <c r="FN51" s="215"/>
      <c r="FO51" s="215"/>
      <c r="FP51" s="215"/>
      <c r="FQ51" s="215"/>
      <c r="FR51" s="215"/>
      <c r="FS51" s="215"/>
      <c r="FT51" s="215"/>
      <c r="FU51" s="215"/>
      <c r="FV51" s="215"/>
      <c r="FW51" s="215"/>
      <c r="FX51" s="215"/>
      <c r="FY51" s="215"/>
      <c r="FZ51" s="215"/>
      <c r="GA51" s="215"/>
      <c r="GB51" s="215"/>
      <c r="GC51" s="215"/>
      <c r="GD51" s="215"/>
      <c r="GE51" s="215"/>
      <c r="GF51" s="215"/>
      <c r="GG51" s="215"/>
      <c r="GH51" s="215"/>
      <c r="GI51" s="215"/>
      <c r="GJ51" s="215"/>
      <c r="GK51" s="215"/>
      <c r="GL51" s="215"/>
      <c r="GM51" s="215"/>
      <c r="GN51" s="215"/>
      <c r="GO51" s="215"/>
      <c r="GP51" s="215"/>
      <c r="GQ51" s="215"/>
      <c r="GR51" s="215"/>
      <c r="GS51" s="215"/>
      <c r="GT51" s="215"/>
      <c r="GU51" s="215"/>
      <c r="GV51" s="215"/>
      <c r="GW51" s="215"/>
      <c r="GX51" s="215"/>
      <c r="GY51" s="215"/>
      <c r="GZ51" s="215"/>
      <c r="HA51" s="215"/>
      <c r="HB51" s="215"/>
      <c r="HC51" s="215"/>
      <c r="HD51" s="215"/>
      <c r="HE51" s="215"/>
      <c r="HF51" s="215"/>
      <c r="HG51" s="215"/>
      <c r="HH51" s="215"/>
      <c r="HI51" s="215"/>
      <c r="HJ51" s="215"/>
      <c r="HK51" s="215"/>
      <c r="HL51" s="215"/>
      <c r="HM51" s="215"/>
      <c r="HN51" s="215"/>
      <c r="HO51" s="215"/>
      <c r="HP51" s="215"/>
      <c r="HQ51" s="215"/>
      <c r="HR51" s="215"/>
      <c r="HS51" s="215"/>
      <c r="HT51" s="215"/>
      <c r="HU51" s="215"/>
      <c r="HV51" s="215"/>
      <c r="HW51" s="215"/>
      <c r="HX51" s="215"/>
      <c r="HY51" s="215"/>
      <c r="HZ51" s="215"/>
      <c r="IA51" s="215"/>
      <c r="IB51" s="215"/>
      <c r="IC51" s="215"/>
      <c r="ID51" s="215"/>
      <c r="IE51" s="215"/>
      <c r="IF51" s="215"/>
      <c r="IG51" s="215"/>
      <c r="IH51" s="215"/>
      <c r="II51" s="215"/>
      <c r="IJ51" s="215"/>
      <c r="IK51" s="215"/>
      <c r="IL51" s="215"/>
      <c r="IM51" s="215"/>
      <c r="IN51" s="215"/>
      <c r="IO51" s="215"/>
      <c r="IP51" s="215"/>
      <c r="IQ51" s="215"/>
      <c r="IR51" s="215"/>
      <c r="IS51" s="215"/>
      <c r="IT51" s="215"/>
      <c r="IU51" s="215"/>
      <c r="IV51" s="215"/>
      <c r="IW51" s="215"/>
      <c r="IX51" s="215"/>
      <c r="IY51" s="215"/>
      <c r="IZ51" s="215"/>
      <c r="JA51" s="215"/>
      <c r="JB51" s="215"/>
      <c r="JC51" s="215"/>
      <c r="JD51" s="215"/>
      <c r="JE51" s="215"/>
      <c r="JF51" s="215"/>
      <c r="JG51" s="215"/>
      <c r="JH51" s="215"/>
      <c r="JI51" s="215"/>
      <c r="JJ51" s="215"/>
      <c r="JK51" s="215"/>
      <c r="JL51" s="215"/>
      <c r="JM51" s="215"/>
      <c r="JN51" s="215"/>
      <c r="JO51" s="215"/>
      <c r="JP51" s="215"/>
      <c r="JQ51" s="215"/>
      <c r="JR51" s="215"/>
      <c r="JS51" s="215"/>
      <c r="JT51" s="215"/>
      <c r="JU51" s="215"/>
      <c r="JV51" s="215"/>
      <c r="JW51" s="215"/>
      <c r="JX51" s="215"/>
      <c r="JY51" s="215"/>
      <c r="JZ51" s="215"/>
      <c r="KA51" s="215"/>
      <c r="KB51" s="215"/>
      <c r="KC51" s="215"/>
      <c r="KD51" s="215"/>
      <c r="KE51" s="215"/>
      <c r="KF51" s="215"/>
      <c r="KG51" s="215"/>
      <c r="KH51" s="215"/>
      <c r="KI51" s="215"/>
      <c r="KJ51" s="215"/>
      <c r="KK51" s="215"/>
      <c r="KL51" s="215"/>
      <c r="KM51" s="215"/>
      <c r="KN51" s="215"/>
      <c r="KO51" s="215"/>
      <c r="KP51" s="215"/>
      <c r="KQ51" s="215"/>
      <c r="KR51" s="215"/>
      <c r="KS51" s="215"/>
      <c r="KT51" s="215"/>
      <c r="KU51" s="215"/>
      <c r="KV51" s="215"/>
      <c r="KW51" s="215"/>
      <c r="KX51" s="215"/>
      <c r="KY51" s="215"/>
      <c r="KZ51" s="215"/>
      <c r="LA51" s="215"/>
      <c r="LB51" s="215"/>
      <c r="LC51" s="215"/>
      <c r="LD51" s="215"/>
      <c r="LE51" s="215"/>
      <c r="LF51" s="215"/>
      <c r="LG51" s="215"/>
      <c r="LH51" s="215"/>
      <c r="LI51" s="215"/>
      <c r="LJ51" s="215"/>
      <c r="LK51" s="215"/>
    </row>
    <row r="52" spans="1:323" s="232" customFormat="1" ht="30" hidden="1" customHeight="1" x14ac:dyDescent="0.25">
      <c r="A52" s="289">
        <f t="shared" si="62"/>
        <v>4</v>
      </c>
      <c r="B52" s="11"/>
      <c r="C52" s="290"/>
      <c r="D52" s="10"/>
      <c r="E52" s="291"/>
      <c r="F52" s="291"/>
      <c r="G52" s="292"/>
      <c r="H52" s="291" t="e">
        <f>+D52*E52*F52*(G52-#REF!)</f>
        <v>#REF!</v>
      </c>
      <c r="I52" s="291">
        <f>+IF(+AND(E52&gt;0.3,E52&lt;=0.75,F52&gt;0.3),($D52*($E52+$F52)*2*($G52-#REF!)),0)</f>
        <v>0</v>
      </c>
      <c r="J52" s="291">
        <f>+IF(+AND(E52&gt;0.3,E52&lt;=0.75,F52&lt;=0.3),($D52*($E52+$F52)*2*($G52-#REF!)),0)</f>
        <v>0</v>
      </c>
      <c r="K52" s="291">
        <f>+IF(+AND(E52&gt;0.75,E52&lt;=1.2,F52&gt;0),($D52*($E52+$F52)*2*($G52-#REF!)),0)</f>
        <v>0</v>
      </c>
      <c r="L52" s="291">
        <f>+IF(+AND(E52&gt;1.2,F52&gt;0),($D52*($E52+$F52)*2*($G52-#REF!)),0)</f>
        <v>0</v>
      </c>
      <c r="M52" s="291">
        <f t="shared" si="37"/>
        <v>0</v>
      </c>
      <c r="N52" s="291">
        <f t="shared" si="38"/>
        <v>0</v>
      </c>
      <c r="O52" s="291">
        <f t="shared" si="39"/>
        <v>0</v>
      </c>
      <c r="P52" s="291">
        <f t="shared" si="39"/>
        <v>0</v>
      </c>
      <c r="Q52" s="291">
        <f t="shared" si="39"/>
        <v>0</v>
      </c>
      <c r="R52" s="291">
        <f t="shared" si="40"/>
        <v>4</v>
      </c>
      <c r="S52" s="291">
        <f t="shared" si="41"/>
        <v>0</v>
      </c>
      <c r="T52" s="291">
        <f t="shared" si="42"/>
        <v>0</v>
      </c>
      <c r="U52" s="291">
        <f t="shared" si="43"/>
        <v>0</v>
      </c>
      <c r="V52" s="291">
        <f t="shared" si="44"/>
        <v>0</v>
      </c>
      <c r="W52" s="291">
        <f t="shared" si="45"/>
        <v>0</v>
      </c>
      <c r="X52" s="291">
        <f t="shared" ref="X52:X54" si="63">SUM(T52:W52)</f>
        <v>0</v>
      </c>
      <c r="Y52" s="291">
        <f t="shared" si="47"/>
        <v>0</v>
      </c>
      <c r="Z52" s="291">
        <f t="shared" si="61"/>
        <v>0</v>
      </c>
      <c r="AA52" s="291">
        <f t="shared" si="48"/>
        <v>0</v>
      </c>
      <c r="AB52" s="291">
        <f t="shared" si="48"/>
        <v>0</v>
      </c>
      <c r="AC52" s="291">
        <f t="shared" si="49"/>
        <v>7.7</v>
      </c>
      <c r="AD52" s="291">
        <f t="shared" si="50"/>
        <v>0</v>
      </c>
      <c r="AE52" s="291">
        <f t="shared" si="51"/>
        <v>0</v>
      </c>
      <c r="AF52" s="291">
        <f t="shared" si="52"/>
        <v>0</v>
      </c>
      <c r="AG52" s="291">
        <f t="shared" si="53"/>
        <v>0</v>
      </c>
      <c r="AH52" s="291">
        <f t="shared" si="54"/>
        <v>0</v>
      </c>
      <c r="AI52" s="291">
        <f t="shared" si="55"/>
        <v>0</v>
      </c>
      <c r="AJ52" s="291">
        <f t="shared" si="56"/>
        <v>0</v>
      </c>
      <c r="AL52" s="232">
        <f t="shared" si="57"/>
        <v>0</v>
      </c>
      <c r="AM52" s="293">
        <f t="shared" si="58"/>
        <v>0</v>
      </c>
      <c r="AN52" s="215"/>
      <c r="AO52" s="215">
        <v>0.6</v>
      </c>
      <c r="AP52" s="215"/>
      <c r="AQ52" s="215"/>
      <c r="AR52" s="215"/>
      <c r="AS52" s="215"/>
      <c r="AT52" s="215"/>
      <c r="AU52" s="215"/>
      <c r="AV52" s="215"/>
      <c r="AW52" s="215"/>
      <c r="AX52" s="215"/>
      <c r="AY52" s="215"/>
      <c r="AZ52" s="291"/>
      <c r="BA52" s="215"/>
      <c r="BB52" s="215"/>
      <c r="BC52" s="215"/>
      <c r="BD52" s="215"/>
      <c r="BE52" s="215"/>
      <c r="BF52" s="215"/>
      <c r="BG52" s="215"/>
      <c r="BH52" s="215"/>
      <c r="BI52" s="215"/>
      <c r="BJ52" s="215"/>
      <c r="BK52" s="215"/>
      <c r="BL52" s="215"/>
      <c r="BM52" s="215"/>
      <c r="BN52" s="215"/>
      <c r="BO52" s="215"/>
      <c r="BP52" s="215"/>
      <c r="BQ52" s="215"/>
      <c r="BR52" s="215"/>
      <c r="BS52" s="215"/>
      <c r="BT52" s="215"/>
      <c r="BU52" s="215"/>
      <c r="BV52" s="215"/>
      <c r="BW52" s="215"/>
      <c r="BX52" s="215"/>
      <c r="BY52" s="215"/>
      <c r="BZ52" s="215"/>
      <c r="CA52" s="215"/>
      <c r="CB52" s="215"/>
      <c r="CC52" s="215"/>
      <c r="CD52" s="215"/>
      <c r="CE52" s="215"/>
      <c r="CF52" s="215"/>
      <c r="CG52" s="215"/>
      <c r="CH52" s="215"/>
      <c r="CI52" s="215"/>
      <c r="CJ52" s="215"/>
      <c r="CK52" s="215"/>
      <c r="CL52" s="215"/>
      <c r="CM52" s="215"/>
      <c r="CN52" s="215"/>
      <c r="CO52" s="215"/>
      <c r="CP52" s="215"/>
      <c r="CQ52" s="215"/>
      <c r="CR52" s="215"/>
      <c r="CS52" s="215"/>
      <c r="CT52" s="215"/>
      <c r="CU52" s="215"/>
      <c r="CV52" s="215"/>
      <c r="CW52" s="215"/>
      <c r="CX52" s="215"/>
      <c r="CY52" s="215"/>
      <c r="CZ52" s="215"/>
      <c r="DA52" s="215"/>
      <c r="DB52" s="215"/>
      <c r="DC52" s="215"/>
      <c r="DD52" s="215"/>
      <c r="DE52" s="215"/>
      <c r="DF52" s="215"/>
      <c r="DG52" s="215"/>
      <c r="DH52" s="215"/>
      <c r="DI52" s="215"/>
      <c r="DJ52" s="215"/>
      <c r="DK52" s="215"/>
      <c r="DL52" s="215"/>
      <c r="DM52" s="215"/>
      <c r="DN52" s="215"/>
      <c r="DO52" s="215"/>
      <c r="DP52" s="215"/>
      <c r="DQ52" s="215"/>
      <c r="DR52" s="215"/>
      <c r="DS52" s="215"/>
      <c r="DT52" s="215"/>
      <c r="DU52" s="215"/>
      <c r="DV52" s="215"/>
      <c r="DW52" s="215"/>
      <c r="DX52" s="215"/>
      <c r="DY52" s="215"/>
      <c r="DZ52" s="215"/>
      <c r="EA52" s="215"/>
      <c r="EB52" s="215"/>
      <c r="EC52" s="215"/>
      <c r="ED52" s="215"/>
      <c r="EE52" s="215"/>
      <c r="EF52" s="215"/>
      <c r="EG52" s="215"/>
      <c r="EH52" s="215"/>
      <c r="EI52" s="215"/>
      <c r="EJ52" s="215"/>
      <c r="EK52" s="215"/>
      <c r="EL52" s="215"/>
      <c r="EM52" s="215"/>
      <c r="EN52" s="215"/>
      <c r="EO52" s="215"/>
      <c r="EP52" s="215"/>
      <c r="EQ52" s="215"/>
      <c r="ER52" s="215"/>
      <c r="ES52" s="215"/>
      <c r="ET52" s="215"/>
      <c r="EU52" s="215"/>
      <c r="EV52" s="215"/>
      <c r="EW52" s="215"/>
      <c r="EX52" s="215"/>
      <c r="EY52" s="215"/>
      <c r="EZ52" s="215"/>
      <c r="FA52" s="215"/>
      <c r="FB52" s="215"/>
      <c r="FC52" s="215"/>
      <c r="FD52" s="215"/>
      <c r="FE52" s="215"/>
      <c r="FF52" s="215"/>
      <c r="FG52" s="215"/>
      <c r="FH52" s="215"/>
      <c r="FI52" s="215"/>
      <c r="FJ52" s="215"/>
      <c r="FK52" s="215"/>
      <c r="FL52" s="215"/>
      <c r="FM52" s="215"/>
      <c r="FN52" s="215"/>
      <c r="FO52" s="215"/>
      <c r="FP52" s="215"/>
      <c r="FQ52" s="215"/>
      <c r="FR52" s="215"/>
      <c r="FS52" s="215"/>
      <c r="FT52" s="215"/>
      <c r="FU52" s="215"/>
      <c r="FV52" s="215"/>
      <c r="FW52" s="215"/>
      <c r="FX52" s="215"/>
      <c r="FY52" s="215"/>
      <c r="FZ52" s="215"/>
      <c r="GA52" s="215"/>
      <c r="GB52" s="215"/>
      <c r="GC52" s="215"/>
      <c r="GD52" s="215"/>
      <c r="GE52" s="215"/>
      <c r="GF52" s="215"/>
      <c r="GG52" s="215"/>
      <c r="GH52" s="215"/>
      <c r="GI52" s="215"/>
      <c r="GJ52" s="215"/>
      <c r="GK52" s="215"/>
      <c r="GL52" s="215"/>
      <c r="GM52" s="215"/>
      <c r="GN52" s="215"/>
      <c r="GO52" s="215"/>
      <c r="GP52" s="215"/>
      <c r="GQ52" s="215"/>
      <c r="GR52" s="215"/>
      <c r="GS52" s="215"/>
      <c r="GT52" s="215"/>
      <c r="GU52" s="215"/>
      <c r="GV52" s="215"/>
      <c r="GW52" s="215"/>
      <c r="GX52" s="215"/>
      <c r="GY52" s="215"/>
      <c r="GZ52" s="215"/>
      <c r="HA52" s="215"/>
      <c r="HB52" s="215"/>
      <c r="HC52" s="215"/>
      <c r="HD52" s="215"/>
      <c r="HE52" s="215"/>
      <c r="HF52" s="215"/>
      <c r="HG52" s="215"/>
      <c r="HH52" s="215"/>
      <c r="HI52" s="215"/>
      <c r="HJ52" s="215"/>
      <c r="HK52" s="215"/>
      <c r="HL52" s="215"/>
      <c r="HM52" s="215"/>
      <c r="HN52" s="215"/>
      <c r="HO52" s="215"/>
      <c r="HP52" s="215"/>
      <c r="HQ52" s="215"/>
      <c r="HR52" s="215"/>
      <c r="HS52" s="215"/>
      <c r="HT52" s="215"/>
      <c r="HU52" s="215"/>
      <c r="HV52" s="215"/>
      <c r="HW52" s="215"/>
      <c r="HX52" s="215"/>
      <c r="HY52" s="215"/>
      <c r="HZ52" s="215"/>
      <c r="IA52" s="215"/>
      <c r="IB52" s="215"/>
      <c r="IC52" s="215"/>
      <c r="ID52" s="215"/>
      <c r="IE52" s="215"/>
      <c r="IF52" s="215"/>
      <c r="IG52" s="215"/>
      <c r="IH52" s="215"/>
      <c r="II52" s="215"/>
      <c r="IJ52" s="215"/>
      <c r="IK52" s="215"/>
      <c r="IL52" s="215"/>
      <c r="IM52" s="215"/>
      <c r="IN52" s="215"/>
      <c r="IO52" s="215"/>
      <c r="IP52" s="215"/>
      <c r="IQ52" s="215"/>
      <c r="IR52" s="215"/>
      <c r="IS52" s="215"/>
      <c r="IT52" s="215"/>
      <c r="IU52" s="215"/>
      <c r="IV52" s="215"/>
      <c r="IW52" s="215"/>
      <c r="IX52" s="215"/>
      <c r="IY52" s="215"/>
      <c r="IZ52" s="215"/>
      <c r="JA52" s="215"/>
      <c r="JB52" s="215"/>
      <c r="JC52" s="215"/>
      <c r="JD52" s="215"/>
      <c r="JE52" s="215"/>
      <c r="JF52" s="215"/>
      <c r="JG52" s="215"/>
      <c r="JH52" s="215"/>
      <c r="JI52" s="215"/>
      <c r="JJ52" s="215"/>
      <c r="JK52" s="215"/>
      <c r="JL52" s="215"/>
      <c r="JM52" s="215"/>
      <c r="JN52" s="215"/>
      <c r="JO52" s="215"/>
      <c r="JP52" s="215"/>
      <c r="JQ52" s="215"/>
      <c r="JR52" s="215"/>
      <c r="JS52" s="215"/>
      <c r="JT52" s="215"/>
      <c r="JU52" s="215"/>
      <c r="JV52" s="215"/>
      <c r="JW52" s="215"/>
      <c r="JX52" s="215"/>
      <c r="JY52" s="215"/>
      <c r="JZ52" s="215"/>
      <c r="KA52" s="215"/>
      <c r="KB52" s="215"/>
      <c r="KC52" s="215"/>
      <c r="KD52" s="215"/>
      <c r="KE52" s="215"/>
      <c r="KF52" s="215"/>
      <c r="KG52" s="215"/>
      <c r="KH52" s="215"/>
      <c r="KI52" s="215"/>
      <c r="KJ52" s="215"/>
      <c r="KK52" s="215"/>
      <c r="KL52" s="215"/>
      <c r="KM52" s="215"/>
      <c r="KN52" s="215"/>
      <c r="KO52" s="215"/>
      <c r="KP52" s="215"/>
      <c r="KQ52" s="215"/>
      <c r="KR52" s="215"/>
      <c r="KS52" s="215"/>
      <c r="KT52" s="215"/>
      <c r="KU52" s="215"/>
      <c r="KV52" s="215"/>
      <c r="KW52" s="215"/>
      <c r="KX52" s="215"/>
      <c r="KY52" s="215"/>
      <c r="KZ52" s="215"/>
      <c r="LA52" s="215"/>
      <c r="LB52" s="215"/>
      <c r="LC52" s="215"/>
      <c r="LD52" s="215"/>
      <c r="LE52" s="215"/>
      <c r="LF52" s="215"/>
      <c r="LG52" s="215"/>
      <c r="LH52" s="215"/>
      <c r="LI52" s="215"/>
      <c r="LJ52" s="215"/>
      <c r="LK52" s="215"/>
    </row>
    <row r="53" spans="1:323" s="232" customFormat="1" ht="30" hidden="1" customHeight="1" x14ac:dyDescent="0.25">
      <c r="A53" s="289">
        <f t="shared" si="62"/>
        <v>5</v>
      </c>
      <c r="B53" s="11"/>
      <c r="C53" s="290"/>
      <c r="D53" s="10"/>
      <c r="E53" s="291"/>
      <c r="F53" s="291"/>
      <c r="G53" s="292"/>
      <c r="H53" s="291" t="e">
        <f>+D53*E53*F53*(G53-#REF!)</f>
        <v>#REF!</v>
      </c>
      <c r="I53" s="291">
        <f>+IF(+AND(E53&gt;0.3,E53&lt;=0.75,F53&gt;0.3),($D53*($E53+$F53)*2*($G53-#REF!)),0)</f>
        <v>0</v>
      </c>
      <c r="J53" s="291">
        <f>+IF(+AND(E53&gt;0.3,E53&lt;=0.75,F53&lt;=0.3),($D53*($E53+$F53)*2*($G53-#REF!)),0)</f>
        <v>0</v>
      </c>
      <c r="K53" s="291">
        <f>+IF(+AND(E53&gt;0.75,E53&lt;=1.2,F53&gt;0),($D53*($E53+$F53)*2*($G53-#REF!)),0)</f>
        <v>0</v>
      </c>
      <c r="L53" s="291">
        <f>+IF(+AND(E53&gt;1.2,F53&gt;0),($D53*($E53+$F53)*2*($G53-#REF!)),0)</f>
        <v>0</v>
      </c>
      <c r="M53" s="291">
        <f t="shared" si="37"/>
        <v>0</v>
      </c>
      <c r="N53" s="291">
        <f t="shared" si="38"/>
        <v>0</v>
      </c>
      <c r="O53" s="291">
        <f t="shared" si="39"/>
        <v>0</v>
      </c>
      <c r="P53" s="291">
        <f t="shared" si="39"/>
        <v>0</v>
      </c>
      <c r="Q53" s="291">
        <f t="shared" si="39"/>
        <v>0</v>
      </c>
      <c r="R53" s="291">
        <f t="shared" si="40"/>
        <v>4</v>
      </c>
      <c r="S53" s="291">
        <f t="shared" si="41"/>
        <v>0</v>
      </c>
      <c r="T53" s="291">
        <f t="shared" si="42"/>
        <v>0</v>
      </c>
      <c r="U53" s="291">
        <f t="shared" si="43"/>
        <v>0</v>
      </c>
      <c r="V53" s="291">
        <f t="shared" si="44"/>
        <v>0</v>
      </c>
      <c r="W53" s="291">
        <f t="shared" si="45"/>
        <v>0</v>
      </c>
      <c r="X53" s="291">
        <f t="shared" si="63"/>
        <v>0</v>
      </c>
      <c r="Y53" s="291">
        <f t="shared" si="47"/>
        <v>0</v>
      </c>
      <c r="Z53" s="291">
        <f t="shared" si="61"/>
        <v>0</v>
      </c>
      <c r="AA53" s="291">
        <f t="shared" si="48"/>
        <v>0</v>
      </c>
      <c r="AB53" s="291">
        <f t="shared" si="48"/>
        <v>0</v>
      </c>
      <c r="AC53" s="291">
        <f t="shared" si="49"/>
        <v>7.7</v>
      </c>
      <c r="AD53" s="291">
        <f t="shared" si="50"/>
        <v>0</v>
      </c>
      <c r="AE53" s="291">
        <f t="shared" si="51"/>
        <v>0</v>
      </c>
      <c r="AF53" s="291">
        <f t="shared" si="52"/>
        <v>0</v>
      </c>
      <c r="AG53" s="291">
        <f t="shared" si="53"/>
        <v>0</v>
      </c>
      <c r="AH53" s="291">
        <f t="shared" si="54"/>
        <v>0</v>
      </c>
      <c r="AI53" s="291">
        <f t="shared" si="55"/>
        <v>0</v>
      </c>
      <c r="AJ53" s="291">
        <f t="shared" si="56"/>
        <v>0</v>
      </c>
      <c r="AL53" s="232">
        <f t="shared" si="57"/>
        <v>0</v>
      </c>
      <c r="AM53" s="293">
        <f t="shared" si="58"/>
        <v>0</v>
      </c>
      <c r="AN53" s="215"/>
      <c r="AO53" s="215">
        <v>0.6</v>
      </c>
      <c r="AP53" s="215"/>
      <c r="AQ53" s="215"/>
      <c r="AR53" s="215"/>
      <c r="AS53" s="215"/>
      <c r="AT53" s="215"/>
      <c r="AU53" s="215"/>
      <c r="AV53" s="215"/>
      <c r="AW53" s="215"/>
      <c r="AX53" s="215"/>
      <c r="AY53" s="215"/>
      <c r="AZ53" s="291"/>
      <c r="BA53" s="215"/>
      <c r="BB53" s="215"/>
      <c r="BC53" s="215"/>
      <c r="BD53" s="215"/>
      <c r="BE53" s="215"/>
      <c r="BF53" s="215"/>
      <c r="BG53" s="215"/>
      <c r="BH53" s="215"/>
      <c r="BI53" s="215"/>
      <c r="BJ53" s="215"/>
      <c r="BK53" s="215"/>
      <c r="BL53" s="215"/>
      <c r="BM53" s="215"/>
      <c r="BN53" s="215"/>
      <c r="BO53" s="215"/>
      <c r="BP53" s="215"/>
      <c r="BQ53" s="215"/>
      <c r="BR53" s="215"/>
      <c r="BS53" s="215"/>
      <c r="BT53" s="215"/>
      <c r="BU53" s="215"/>
      <c r="BV53" s="215"/>
      <c r="BW53" s="215"/>
      <c r="BX53" s="215"/>
      <c r="BY53" s="215"/>
      <c r="BZ53" s="215"/>
      <c r="CA53" s="215"/>
      <c r="CB53" s="215"/>
      <c r="CC53" s="215"/>
      <c r="CD53" s="215"/>
      <c r="CE53" s="215"/>
      <c r="CF53" s="215"/>
      <c r="CG53" s="215"/>
      <c r="CH53" s="215"/>
      <c r="CI53" s="215"/>
      <c r="CJ53" s="215"/>
      <c r="CK53" s="215"/>
      <c r="CL53" s="215"/>
      <c r="CM53" s="215"/>
      <c r="CN53" s="215"/>
      <c r="CO53" s="215"/>
      <c r="CP53" s="215"/>
      <c r="CQ53" s="215"/>
      <c r="CR53" s="215"/>
      <c r="CS53" s="215"/>
      <c r="CT53" s="215"/>
      <c r="CU53" s="215"/>
      <c r="CV53" s="215"/>
      <c r="CW53" s="215"/>
      <c r="CX53" s="215"/>
      <c r="CY53" s="215"/>
      <c r="CZ53" s="215"/>
      <c r="DA53" s="215"/>
      <c r="DB53" s="215"/>
      <c r="DC53" s="215"/>
      <c r="DD53" s="215"/>
      <c r="DE53" s="215"/>
      <c r="DF53" s="215"/>
      <c r="DG53" s="215"/>
      <c r="DH53" s="215"/>
      <c r="DI53" s="215"/>
      <c r="DJ53" s="215"/>
      <c r="DK53" s="215"/>
      <c r="DL53" s="215"/>
      <c r="DM53" s="215"/>
      <c r="DN53" s="215"/>
      <c r="DO53" s="215"/>
      <c r="DP53" s="215"/>
      <c r="DQ53" s="215"/>
      <c r="DR53" s="215"/>
      <c r="DS53" s="215"/>
      <c r="DT53" s="215"/>
      <c r="DU53" s="215"/>
      <c r="DV53" s="215"/>
      <c r="DW53" s="215"/>
      <c r="DX53" s="215"/>
      <c r="DY53" s="215"/>
      <c r="DZ53" s="215"/>
      <c r="EA53" s="215"/>
      <c r="EB53" s="215"/>
      <c r="EC53" s="215"/>
      <c r="ED53" s="215"/>
      <c r="EE53" s="215"/>
      <c r="EF53" s="215"/>
      <c r="EG53" s="215"/>
      <c r="EH53" s="215"/>
      <c r="EI53" s="215"/>
      <c r="EJ53" s="215"/>
      <c r="EK53" s="215"/>
      <c r="EL53" s="215"/>
      <c r="EM53" s="215"/>
      <c r="EN53" s="215"/>
      <c r="EO53" s="215"/>
      <c r="EP53" s="215"/>
      <c r="EQ53" s="215"/>
      <c r="ER53" s="215"/>
      <c r="ES53" s="215"/>
      <c r="ET53" s="215"/>
      <c r="EU53" s="215"/>
      <c r="EV53" s="215"/>
      <c r="EW53" s="215"/>
      <c r="EX53" s="215"/>
      <c r="EY53" s="215"/>
      <c r="EZ53" s="215"/>
      <c r="FA53" s="215"/>
      <c r="FB53" s="215"/>
      <c r="FC53" s="215"/>
      <c r="FD53" s="215"/>
      <c r="FE53" s="215"/>
      <c r="FF53" s="215"/>
      <c r="FG53" s="215"/>
      <c r="FH53" s="215"/>
      <c r="FI53" s="215"/>
      <c r="FJ53" s="215"/>
      <c r="FK53" s="215"/>
      <c r="FL53" s="215"/>
      <c r="FM53" s="215"/>
      <c r="FN53" s="215"/>
      <c r="FO53" s="215"/>
      <c r="FP53" s="215"/>
      <c r="FQ53" s="215"/>
      <c r="FR53" s="215"/>
      <c r="FS53" s="215"/>
      <c r="FT53" s="215"/>
      <c r="FU53" s="215"/>
      <c r="FV53" s="215"/>
      <c r="FW53" s="215"/>
      <c r="FX53" s="215"/>
      <c r="FY53" s="215"/>
      <c r="FZ53" s="215"/>
      <c r="GA53" s="215"/>
      <c r="GB53" s="215"/>
      <c r="GC53" s="215"/>
      <c r="GD53" s="215"/>
      <c r="GE53" s="215"/>
      <c r="GF53" s="215"/>
      <c r="GG53" s="215"/>
      <c r="GH53" s="215"/>
      <c r="GI53" s="215"/>
      <c r="GJ53" s="215"/>
      <c r="GK53" s="215"/>
      <c r="GL53" s="215"/>
      <c r="GM53" s="215"/>
      <c r="GN53" s="215"/>
      <c r="GO53" s="215"/>
      <c r="GP53" s="215"/>
      <c r="GQ53" s="215"/>
      <c r="GR53" s="215"/>
      <c r="GS53" s="215"/>
      <c r="GT53" s="215"/>
      <c r="GU53" s="215"/>
      <c r="GV53" s="215"/>
      <c r="GW53" s="215"/>
      <c r="GX53" s="215"/>
      <c r="GY53" s="215"/>
      <c r="GZ53" s="215"/>
      <c r="HA53" s="215"/>
      <c r="HB53" s="215"/>
      <c r="HC53" s="215"/>
      <c r="HD53" s="215"/>
      <c r="HE53" s="215"/>
      <c r="HF53" s="215"/>
      <c r="HG53" s="215"/>
      <c r="HH53" s="215"/>
      <c r="HI53" s="215"/>
      <c r="HJ53" s="215"/>
      <c r="HK53" s="215"/>
      <c r="HL53" s="215"/>
      <c r="HM53" s="215"/>
      <c r="HN53" s="215"/>
      <c r="HO53" s="215"/>
      <c r="HP53" s="215"/>
      <c r="HQ53" s="215"/>
      <c r="HR53" s="215"/>
      <c r="HS53" s="215"/>
      <c r="HT53" s="215"/>
      <c r="HU53" s="215"/>
      <c r="HV53" s="215"/>
      <c r="HW53" s="215"/>
      <c r="HX53" s="215"/>
      <c r="HY53" s="215"/>
      <c r="HZ53" s="215"/>
      <c r="IA53" s="215"/>
      <c r="IB53" s="215"/>
      <c r="IC53" s="215"/>
      <c r="ID53" s="215"/>
      <c r="IE53" s="215"/>
      <c r="IF53" s="215"/>
      <c r="IG53" s="215"/>
      <c r="IH53" s="215"/>
      <c r="II53" s="215"/>
      <c r="IJ53" s="215"/>
      <c r="IK53" s="215"/>
      <c r="IL53" s="215"/>
      <c r="IM53" s="215"/>
      <c r="IN53" s="215"/>
      <c r="IO53" s="215"/>
      <c r="IP53" s="215"/>
      <c r="IQ53" s="215"/>
      <c r="IR53" s="215"/>
      <c r="IS53" s="215"/>
      <c r="IT53" s="215"/>
      <c r="IU53" s="215"/>
      <c r="IV53" s="215"/>
      <c r="IW53" s="215"/>
      <c r="IX53" s="215"/>
      <c r="IY53" s="215"/>
      <c r="IZ53" s="215"/>
      <c r="JA53" s="215"/>
      <c r="JB53" s="215"/>
      <c r="JC53" s="215"/>
      <c r="JD53" s="215"/>
      <c r="JE53" s="215"/>
      <c r="JF53" s="215"/>
      <c r="JG53" s="215"/>
      <c r="JH53" s="215"/>
      <c r="JI53" s="215"/>
      <c r="JJ53" s="215"/>
      <c r="JK53" s="215"/>
      <c r="JL53" s="215"/>
      <c r="JM53" s="215"/>
      <c r="JN53" s="215"/>
      <c r="JO53" s="215"/>
      <c r="JP53" s="215"/>
      <c r="JQ53" s="215"/>
      <c r="JR53" s="215"/>
      <c r="JS53" s="215"/>
      <c r="JT53" s="215"/>
      <c r="JU53" s="215"/>
      <c r="JV53" s="215"/>
      <c r="JW53" s="215"/>
      <c r="JX53" s="215"/>
      <c r="JY53" s="215"/>
      <c r="JZ53" s="215"/>
      <c r="KA53" s="215"/>
      <c r="KB53" s="215"/>
      <c r="KC53" s="215"/>
      <c r="KD53" s="215"/>
      <c r="KE53" s="215"/>
      <c r="KF53" s="215"/>
      <c r="KG53" s="215"/>
      <c r="KH53" s="215"/>
      <c r="KI53" s="215"/>
      <c r="KJ53" s="215"/>
      <c r="KK53" s="215"/>
      <c r="KL53" s="215"/>
      <c r="KM53" s="215"/>
      <c r="KN53" s="215"/>
      <c r="KO53" s="215"/>
      <c r="KP53" s="215"/>
      <c r="KQ53" s="215"/>
      <c r="KR53" s="215"/>
      <c r="KS53" s="215"/>
      <c r="KT53" s="215"/>
      <c r="KU53" s="215"/>
      <c r="KV53" s="215"/>
      <c r="KW53" s="215"/>
      <c r="KX53" s="215"/>
      <c r="KY53" s="215"/>
      <c r="KZ53" s="215"/>
      <c r="LA53" s="215"/>
      <c r="LB53" s="215"/>
      <c r="LC53" s="215"/>
      <c r="LD53" s="215"/>
      <c r="LE53" s="215"/>
      <c r="LF53" s="215"/>
      <c r="LG53" s="215"/>
      <c r="LH53" s="215"/>
      <c r="LI53" s="215"/>
      <c r="LJ53" s="215"/>
      <c r="LK53" s="215"/>
    </row>
    <row r="54" spans="1:323" s="232" customFormat="1" ht="30" hidden="1" customHeight="1" x14ac:dyDescent="0.25">
      <c r="A54" s="289">
        <f t="shared" si="62"/>
        <v>6</v>
      </c>
      <c r="B54" s="11"/>
      <c r="C54" s="290"/>
      <c r="D54" s="10"/>
      <c r="E54" s="291"/>
      <c r="F54" s="291"/>
      <c r="G54" s="292"/>
      <c r="H54" s="291" t="e">
        <f>+D54*E54*F54*(G54-#REF!)</f>
        <v>#REF!</v>
      </c>
      <c r="I54" s="291">
        <f>+IF(+AND(E54&gt;0.3,E54&lt;=0.75,F54&gt;0.3),($D54*($E54+$F54)*2*($G54-#REF!)),0)</f>
        <v>0</v>
      </c>
      <c r="J54" s="291">
        <f>+IF(+AND(E54&gt;0.3,E54&lt;=0.75,F54&lt;=0.3),($D54*($E54+$F54)*2*($G54-#REF!)),0)</f>
        <v>0</v>
      </c>
      <c r="K54" s="291">
        <f>+IF(+AND(E54&gt;0.75,E54&lt;=1.2,F54&gt;0),($D54*($E54+$F54)*2*($G54-#REF!)),0)</f>
        <v>0</v>
      </c>
      <c r="L54" s="291">
        <f>+IF(+AND(E54&gt;1.2,F54&gt;0),($D54*($E54+$F54)*2*($G54-#REF!)),0)</f>
        <v>0</v>
      </c>
      <c r="M54" s="291">
        <f t="shared" si="37"/>
        <v>0</v>
      </c>
      <c r="N54" s="291">
        <f t="shared" si="38"/>
        <v>0</v>
      </c>
      <c r="O54" s="291">
        <f t="shared" si="39"/>
        <v>0</v>
      </c>
      <c r="P54" s="291">
        <f t="shared" si="39"/>
        <v>0</v>
      </c>
      <c r="Q54" s="291">
        <f t="shared" si="39"/>
        <v>0</v>
      </c>
      <c r="R54" s="291">
        <f t="shared" si="40"/>
        <v>4</v>
      </c>
      <c r="S54" s="291">
        <f t="shared" si="41"/>
        <v>0</v>
      </c>
      <c r="T54" s="291">
        <f t="shared" si="42"/>
        <v>0</v>
      </c>
      <c r="U54" s="291">
        <f t="shared" si="43"/>
        <v>0</v>
      </c>
      <c r="V54" s="291">
        <f t="shared" si="44"/>
        <v>0</v>
      </c>
      <c r="W54" s="291">
        <f t="shared" si="45"/>
        <v>0</v>
      </c>
      <c r="X54" s="291">
        <f t="shared" si="63"/>
        <v>0</v>
      </c>
      <c r="Y54" s="291">
        <f t="shared" si="47"/>
        <v>0</v>
      </c>
      <c r="Z54" s="291">
        <f t="shared" si="61"/>
        <v>0</v>
      </c>
      <c r="AA54" s="291">
        <f t="shared" si="48"/>
        <v>0</v>
      </c>
      <c r="AB54" s="291">
        <f t="shared" si="48"/>
        <v>0</v>
      </c>
      <c r="AC54" s="291">
        <f t="shared" si="49"/>
        <v>7.7</v>
      </c>
      <c r="AD54" s="291">
        <f t="shared" si="50"/>
        <v>0</v>
      </c>
      <c r="AE54" s="291">
        <f t="shared" si="51"/>
        <v>0</v>
      </c>
      <c r="AF54" s="291">
        <f t="shared" si="52"/>
        <v>0</v>
      </c>
      <c r="AG54" s="291">
        <f t="shared" si="53"/>
        <v>0</v>
      </c>
      <c r="AH54" s="291">
        <f t="shared" si="54"/>
        <v>0</v>
      </c>
      <c r="AI54" s="291">
        <f t="shared" si="55"/>
        <v>0</v>
      </c>
      <c r="AJ54" s="291">
        <f t="shared" si="56"/>
        <v>0</v>
      </c>
      <c r="AL54" s="232">
        <f t="shared" si="57"/>
        <v>0</v>
      </c>
      <c r="AM54" s="293">
        <f t="shared" si="58"/>
        <v>0</v>
      </c>
      <c r="AN54" s="215"/>
      <c r="AO54" s="215">
        <v>0.6</v>
      </c>
      <c r="AP54" s="215"/>
      <c r="AQ54" s="215"/>
      <c r="AR54" s="215"/>
      <c r="AS54" s="215"/>
      <c r="AT54" s="215"/>
      <c r="AU54" s="215"/>
      <c r="AV54" s="215"/>
      <c r="AW54" s="215"/>
      <c r="AX54" s="215"/>
      <c r="AY54" s="215"/>
      <c r="AZ54" s="291"/>
      <c r="BA54" s="215"/>
      <c r="BB54" s="215"/>
      <c r="BC54" s="215"/>
      <c r="BD54" s="215"/>
      <c r="BE54" s="215"/>
      <c r="BF54" s="215"/>
      <c r="BG54" s="215"/>
      <c r="BH54" s="215"/>
      <c r="BI54" s="215"/>
      <c r="BJ54" s="215"/>
      <c r="BK54" s="215"/>
      <c r="BL54" s="215"/>
      <c r="BM54" s="215"/>
      <c r="BN54" s="215"/>
      <c r="BO54" s="215"/>
      <c r="BP54" s="215"/>
      <c r="BQ54" s="215"/>
      <c r="BR54" s="215"/>
      <c r="BS54" s="215"/>
      <c r="BT54" s="215"/>
      <c r="BU54" s="215"/>
      <c r="BV54" s="215"/>
      <c r="BW54" s="215"/>
      <c r="BX54" s="215"/>
      <c r="BY54" s="215"/>
      <c r="BZ54" s="215"/>
      <c r="CA54" s="215"/>
      <c r="CB54" s="215"/>
      <c r="CC54" s="215"/>
      <c r="CD54" s="215"/>
      <c r="CE54" s="215"/>
      <c r="CF54" s="215"/>
      <c r="CG54" s="215"/>
      <c r="CH54" s="215"/>
      <c r="CI54" s="215"/>
      <c r="CJ54" s="215"/>
      <c r="CK54" s="215"/>
      <c r="CL54" s="215"/>
      <c r="CM54" s="215"/>
      <c r="CN54" s="215"/>
      <c r="CO54" s="215"/>
      <c r="CP54" s="215"/>
      <c r="CQ54" s="215"/>
      <c r="CR54" s="215"/>
      <c r="CS54" s="215"/>
      <c r="CT54" s="215"/>
      <c r="CU54" s="215"/>
      <c r="CV54" s="215"/>
      <c r="CW54" s="215"/>
      <c r="CX54" s="215"/>
      <c r="CY54" s="215"/>
      <c r="CZ54" s="215"/>
      <c r="DA54" s="215"/>
      <c r="DB54" s="215"/>
      <c r="DC54" s="215"/>
      <c r="DD54" s="215"/>
      <c r="DE54" s="215"/>
      <c r="DF54" s="215"/>
      <c r="DG54" s="215"/>
      <c r="DH54" s="215"/>
      <c r="DI54" s="215"/>
      <c r="DJ54" s="215"/>
      <c r="DK54" s="215"/>
      <c r="DL54" s="215"/>
      <c r="DM54" s="215"/>
      <c r="DN54" s="215"/>
      <c r="DO54" s="215"/>
      <c r="DP54" s="215"/>
      <c r="DQ54" s="215"/>
      <c r="DR54" s="215"/>
      <c r="DS54" s="215"/>
      <c r="DT54" s="215"/>
      <c r="DU54" s="215"/>
      <c r="DV54" s="215"/>
      <c r="DW54" s="215"/>
      <c r="DX54" s="215"/>
      <c r="DY54" s="215"/>
      <c r="DZ54" s="215"/>
      <c r="EA54" s="215"/>
      <c r="EB54" s="215"/>
      <c r="EC54" s="215"/>
      <c r="ED54" s="215"/>
      <c r="EE54" s="215"/>
      <c r="EF54" s="215"/>
      <c r="EG54" s="215"/>
      <c r="EH54" s="215"/>
      <c r="EI54" s="215"/>
      <c r="EJ54" s="215"/>
      <c r="EK54" s="215"/>
      <c r="EL54" s="215"/>
      <c r="EM54" s="215"/>
      <c r="EN54" s="215"/>
      <c r="EO54" s="215"/>
      <c r="EP54" s="215"/>
      <c r="EQ54" s="215"/>
      <c r="ER54" s="215"/>
      <c r="ES54" s="215"/>
      <c r="ET54" s="215"/>
      <c r="EU54" s="215"/>
      <c r="EV54" s="215"/>
      <c r="EW54" s="215"/>
      <c r="EX54" s="215"/>
      <c r="EY54" s="215"/>
      <c r="EZ54" s="215"/>
      <c r="FA54" s="215"/>
      <c r="FB54" s="215"/>
      <c r="FC54" s="215"/>
      <c r="FD54" s="215"/>
      <c r="FE54" s="215"/>
      <c r="FF54" s="215"/>
      <c r="FG54" s="215"/>
      <c r="FH54" s="215"/>
      <c r="FI54" s="215"/>
      <c r="FJ54" s="215"/>
      <c r="FK54" s="215"/>
      <c r="FL54" s="215"/>
      <c r="FM54" s="215"/>
      <c r="FN54" s="215"/>
      <c r="FO54" s="215"/>
      <c r="FP54" s="215"/>
      <c r="FQ54" s="215"/>
      <c r="FR54" s="215"/>
      <c r="FS54" s="215"/>
      <c r="FT54" s="215"/>
      <c r="FU54" s="215"/>
      <c r="FV54" s="215"/>
      <c r="FW54" s="215"/>
      <c r="FX54" s="215"/>
      <c r="FY54" s="215"/>
      <c r="FZ54" s="215"/>
      <c r="GA54" s="215"/>
      <c r="GB54" s="215"/>
      <c r="GC54" s="215"/>
      <c r="GD54" s="215"/>
      <c r="GE54" s="215"/>
      <c r="GF54" s="215"/>
      <c r="GG54" s="215"/>
      <c r="GH54" s="215"/>
      <c r="GI54" s="215"/>
      <c r="GJ54" s="215"/>
      <c r="GK54" s="215"/>
      <c r="GL54" s="215"/>
      <c r="GM54" s="215"/>
      <c r="GN54" s="215"/>
      <c r="GO54" s="215"/>
      <c r="GP54" s="215"/>
      <c r="GQ54" s="215"/>
      <c r="GR54" s="215"/>
      <c r="GS54" s="215"/>
      <c r="GT54" s="215"/>
      <c r="GU54" s="215"/>
      <c r="GV54" s="215"/>
      <c r="GW54" s="215"/>
      <c r="GX54" s="215"/>
      <c r="GY54" s="215"/>
      <c r="GZ54" s="215"/>
      <c r="HA54" s="215"/>
      <c r="HB54" s="215"/>
      <c r="HC54" s="215"/>
      <c r="HD54" s="215"/>
      <c r="HE54" s="215"/>
      <c r="HF54" s="215"/>
      <c r="HG54" s="215"/>
      <c r="HH54" s="215"/>
      <c r="HI54" s="215"/>
      <c r="HJ54" s="215"/>
      <c r="HK54" s="215"/>
      <c r="HL54" s="215"/>
      <c r="HM54" s="215"/>
      <c r="HN54" s="215"/>
      <c r="HO54" s="215"/>
      <c r="HP54" s="215"/>
      <c r="HQ54" s="215"/>
      <c r="HR54" s="215"/>
      <c r="HS54" s="215"/>
      <c r="HT54" s="215"/>
      <c r="HU54" s="215"/>
      <c r="HV54" s="215"/>
      <c r="HW54" s="215"/>
      <c r="HX54" s="215"/>
      <c r="HY54" s="215"/>
      <c r="HZ54" s="215"/>
      <c r="IA54" s="215"/>
      <c r="IB54" s="215"/>
      <c r="IC54" s="215"/>
      <c r="ID54" s="215"/>
      <c r="IE54" s="215"/>
      <c r="IF54" s="215"/>
      <c r="IG54" s="215"/>
      <c r="IH54" s="215"/>
      <c r="II54" s="215"/>
      <c r="IJ54" s="215"/>
      <c r="IK54" s="215"/>
      <c r="IL54" s="215"/>
      <c r="IM54" s="215"/>
      <c r="IN54" s="215"/>
      <c r="IO54" s="215"/>
      <c r="IP54" s="215"/>
      <c r="IQ54" s="215"/>
      <c r="IR54" s="215"/>
      <c r="IS54" s="215"/>
      <c r="IT54" s="215"/>
      <c r="IU54" s="215"/>
      <c r="IV54" s="215"/>
      <c r="IW54" s="215"/>
      <c r="IX54" s="215"/>
      <c r="IY54" s="215"/>
      <c r="IZ54" s="215"/>
      <c r="JA54" s="215"/>
      <c r="JB54" s="215"/>
      <c r="JC54" s="215"/>
      <c r="JD54" s="215"/>
      <c r="JE54" s="215"/>
      <c r="JF54" s="215"/>
      <c r="JG54" s="215"/>
      <c r="JH54" s="215"/>
      <c r="JI54" s="215"/>
      <c r="JJ54" s="215"/>
      <c r="JK54" s="215"/>
      <c r="JL54" s="215"/>
      <c r="JM54" s="215"/>
      <c r="JN54" s="215"/>
      <c r="JO54" s="215"/>
      <c r="JP54" s="215"/>
      <c r="JQ54" s="215"/>
      <c r="JR54" s="215"/>
      <c r="JS54" s="215"/>
      <c r="JT54" s="215"/>
      <c r="JU54" s="215"/>
      <c r="JV54" s="215"/>
      <c r="JW54" s="215"/>
      <c r="JX54" s="215"/>
      <c r="JY54" s="215"/>
      <c r="JZ54" s="215"/>
      <c r="KA54" s="215"/>
      <c r="KB54" s="215"/>
      <c r="KC54" s="215"/>
      <c r="KD54" s="215"/>
      <c r="KE54" s="215"/>
      <c r="KF54" s="215"/>
      <c r="KG54" s="215"/>
      <c r="KH54" s="215"/>
      <c r="KI54" s="215"/>
      <c r="KJ54" s="215"/>
      <c r="KK54" s="215"/>
      <c r="KL54" s="215"/>
      <c r="KM54" s="215"/>
      <c r="KN54" s="215"/>
      <c r="KO54" s="215"/>
      <c r="KP54" s="215"/>
      <c r="KQ54" s="215"/>
      <c r="KR54" s="215"/>
      <c r="KS54" s="215"/>
      <c r="KT54" s="215"/>
      <c r="KU54" s="215"/>
      <c r="KV54" s="215"/>
      <c r="KW54" s="215"/>
      <c r="KX54" s="215"/>
      <c r="KY54" s="215"/>
      <c r="KZ54" s="215"/>
      <c r="LA54" s="215"/>
      <c r="LB54" s="215"/>
      <c r="LC54" s="215"/>
      <c r="LD54" s="215"/>
      <c r="LE54" s="215"/>
      <c r="LF54" s="215"/>
      <c r="LG54" s="215"/>
      <c r="LH54" s="215"/>
      <c r="LI54" s="215"/>
      <c r="LJ54" s="215"/>
      <c r="LK54" s="215"/>
    </row>
    <row r="55" spans="1:323" s="232" customFormat="1" ht="30" hidden="1" customHeight="1" x14ac:dyDescent="0.25">
      <c r="A55" s="289"/>
      <c r="B55" s="11"/>
      <c r="C55" s="290"/>
      <c r="D55" s="10"/>
      <c r="E55" s="291"/>
      <c r="F55" s="291"/>
      <c r="G55" s="292"/>
      <c r="H55" s="291"/>
      <c r="I55" s="291"/>
      <c r="J55" s="291"/>
      <c r="K55" s="291"/>
      <c r="L55" s="291"/>
      <c r="M55" s="291"/>
      <c r="N55" s="291"/>
      <c r="O55" s="291"/>
      <c r="P55" s="291"/>
      <c r="Q55" s="291"/>
      <c r="R55" s="291"/>
      <c r="S55" s="291"/>
      <c r="T55" s="291"/>
      <c r="U55" s="291"/>
      <c r="V55" s="291"/>
      <c r="W55" s="291"/>
      <c r="X55" s="291"/>
      <c r="Y55" s="291"/>
      <c r="Z55" s="291"/>
      <c r="AA55" s="291"/>
      <c r="AB55" s="291"/>
      <c r="AC55" s="291"/>
      <c r="AD55" s="291"/>
      <c r="AE55" s="291"/>
      <c r="AF55" s="291"/>
      <c r="AG55" s="291"/>
      <c r="AH55" s="291"/>
      <c r="AI55" s="291"/>
      <c r="AJ55" s="291"/>
      <c r="AM55" s="293"/>
      <c r="AN55" s="215"/>
      <c r="AO55" s="215"/>
      <c r="AP55" s="215"/>
      <c r="AQ55" s="215"/>
      <c r="AR55" s="215"/>
      <c r="AS55" s="215"/>
      <c r="AT55" s="215"/>
      <c r="AU55" s="215"/>
      <c r="AV55" s="215"/>
      <c r="AW55" s="215"/>
      <c r="AX55" s="215"/>
      <c r="AY55" s="215"/>
      <c r="AZ55" s="291"/>
      <c r="BA55" s="215"/>
      <c r="BB55" s="215"/>
      <c r="BC55" s="215"/>
      <c r="BD55" s="215"/>
      <c r="BE55" s="215"/>
      <c r="BF55" s="215"/>
      <c r="BG55" s="215"/>
      <c r="BH55" s="215"/>
      <c r="BI55" s="215"/>
      <c r="BJ55" s="215"/>
      <c r="BK55" s="215"/>
      <c r="BL55" s="215"/>
      <c r="BM55" s="215"/>
      <c r="BN55" s="215"/>
      <c r="BO55" s="215"/>
      <c r="BP55" s="215"/>
      <c r="BQ55" s="215"/>
      <c r="BR55" s="215"/>
      <c r="BS55" s="215"/>
      <c r="BT55" s="215"/>
      <c r="BU55" s="215"/>
      <c r="BV55" s="215"/>
      <c r="BW55" s="215"/>
      <c r="BX55" s="215"/>
      <c r="BY55" s="215"/>
      <c r="BZ55" s="215"/>
      <c r="CA55" s="215"/>
      <c r="CB55" s="215"/>
      <c r="CC55" s="215"/>
      <c r="CD55" s="215"/>
      <c r="CE55" s="215"/>
      <c r="CF55" s="215"/>
      <c r="CG55" s="215"/>
      <c r="CH55" s="215"/>
      <c r="CI55" s="215"/>
      <c r="CJ55" s="215"/>
      <c r="CK55" s="215"/>
      <c r="CL55" s="215"/>
      <c r="CM55" s="215"/>
      <c r="CN55" s="215"/>
      <c r="CO55" s="215"/>
      <c r="CP55" s="215"/>
      <c r="CQ55" s="215"/>
      <c r="CR55" s="215"/>
      <c r="CS55" s="215"/>
      <c r="CT55" s="215"/>
      <c r="CU55" s="215"/>
      <c r="CV55" s="215"/>
      <c r="CW55" s="215"/>
      <c r="CX55" s="215"/>
      <c r="CY55" s="215"/>
      <c r="CZ55" s="215"/>
      <c r="DA55" s="215"/>
      <c r="DB55" s="215"/>
      <c r="DC55" s="215"/>
      <c r="DD55" s="215"/>
      <c r="DE55" s="215"/>
      <c r="DF55" s="215"/>
      <c r="DG55" s="215"/>
      <c r="DH55" s="215"/>
      <c r="DI55" s="215"/>
      <c r="DJ55" s="215"/>
      <c r="DK55" s="215"/>
      <c r="DL55" s="215"/>
      <c r="DM55" s="215"/>
      <c r="DN55" s="215"/>
      <c r="DO55" s="215"/>
      <c r="DP55" s="215"/>
      <c r="DQ55" s="215"/>
      <c r="DR55" s="215"/>
      <c r="DS55" s="215"/>
      <c r="DT55" s="215"/>
      <c r="DU55" s="215"/>
      <c r="DV55" s="215"/>
      <c r="DW55" s="215"/>
      <c r="DX55" s="215"/>
      <c r="DY55" s="215"/>
      <c r="DZ55" s="215"/>
      <c r="EA55" s="215"/>
      <c r="EB55" s="215"/>
      <c r="EC55" s="215"/>
      <c r="ED55" s="215"/>
      <c r="EE55" s="215"/>
      <c r="EF55" s="215"/>
      <c r="EG55" s="215"/>
      <c r="EH55" s="215"/>
      <c r="EI55" s="215"/>
      <c r="EJ55" s="215"/>
      <c r="EK55" s="215"/>
      <c r="EL55" s="215"/>
      <c r="EM55" s="215"/>
      <c r="EN55" s="215"/>
      <c r="EO55" s="215"/>
      <c r="EP55" s="215"/>
      <c r="EQ55" s="215"/>
      <c r="ER55" s="215"/>
      <c r="ES55" s="215"/>
      <c r="ET55" s="215"/>
      <c r="EU55" s="215"/>
      <c r="EV55" s="215"/>
      <c r="EW55" s="215"/>
      <c r="EX55" s="215"/>
      <c r="EY55" s="215"/>
      <c r="EZ55" s="215"/>
      <c r="FA55" s="215"/>
      <c r="FB55" s="215"/>
      <c r="FC55" s="215"/>
      <c r="FD55" s="215"/>
      <c r="FE55" s="215"/>
      <c r="FF55" s="215"/>
      <c r="FG55" s="215"/>
      <c r="FH55" s="215"/>
      <c r="FI55" s="215"/>
      <c r="FJ55" s="215"/>
      <c r="FK55" s="215"/>
      <c r="FL55" s="215"/>
      <c r="FM55" s="215"/>
      <c r="FN55" s="215"/>
      <c r="FO55" s="215"/>
      <c r="FP55" s="215"/>
      <c r="FQ55" s="215"/>
      <c r="FR55" s="215"/>
      <c r="FS55" s="215"/>
      <c r="FT55" s="215"/>
      <c r="FU55" s="215"/>
      <c r="FV55" s="215"/>
      <c r="FW55" s="215"/>
      <c r="FX55" s="215"/>
      <c r="FY55" s="215"/>
      <c r="FZ55" s="215"/>
      <c r="GA55" s="215"/>
      <c r="GB55" s="215"/>
      <c r="GC55" s="215"/>
      <c r="GD55" s="215"/>
      <c r="GE55" s="215"/>
      <c r="GF55" s="215"/>
      <c r="GG55" s="215"/>
      <c r="GH55" s="215"/>
      <c r="GI55" s="215"/>
      <c r="GJ55" s="215"/>
      <c r="GK55" s="215"/>
      <c r="GL55" s="215"/>
      <c r="GM55" s="215"/>
      <c r="GN55" s="215"/>
      <c r="GO55" s="215"/>
      <c r="GP55" s="215"/>
      <c r="GQ55" s="215"/>
      <c r="GR55" s="215"/>
      <c r="GS55" s="215"/>
      <c r="GT55" s="215"/>
      <c r="GU55" s="215"/>
      <c r="GV55" s="215"/>
      <c r="GW55" s="215"/>
      <c r="GX55" s="215"/>
      <c r="GY55" s="215"/>
      <c r="GZ55" s="215"/>
      <c r="HA55" s="215"/>
      <c r="HB55" s="215"/>
      <c r="HC55" s="215"/>
      <c r="HD55" s="215"/>
      <c r="HE55" s="215"/>
      <c r="HF55" s="215"/>
      <c r="HG55" s="215"/>
      <c r="HH55" s="215"/>
      <c r="HI55" s="215"/>
      <c r="HJ55" s="215"/>
      <c r="HK55" s="215"/>
      <c r="HL55" s="215"/>
      <c r="HM55" s="215"/>
      <c r="HN55" s="215"/>
      <c r="HO55" s="215"/>
      <c r="HP55" s="215"/>
      <c r="HQ55" s="215"/>
      <c r="HR55" s="215"/>
      <c r="HS55" s="215"/>
      <c r="HT55" s="215"/>
      <c r="HU55" s="215"/>
      <c r="HV55" s="215"/>
      <c r="HW55" s="215"/>
      <c r="HX55" s="215"/>
      <c r="HY55" s="215"/>
      <c r="HZ55" s="215"/>
      <c r="IA55" s="215"/>
      <c r="IB55" s="215"/>
      <c r="IC55" s="215"/>
      <c r="ID55" s="215"/>
      <c r="IE55" s="215"/>
      <c r="IF55" s="215"/>
      <c r="IG55" s="215"/>
      <c r="IH55" s="215"/>
      <c r="II55" s="215"/>
      <c r="IJ55" s="215"/>
      <c r="IK55" s="215"/>
      <c r="IL55" s="215"/>
      <c r="IM55" s="215"/>
      <c r="IN55" s="215"/>
      <c r="IO55" s="215"/>
      <c r="IP55" s="215"/>
      <c r="IQ55" s="215"/>
      <c r="IR55" s="215"/>
      <c r="IS55" s="215"/>
      <c r="IT55" s="215"/>
      <c r="IU55" s="215"/>
      <c r="IV55" s="215"/>
      <c r="IW55" s="215"/>
      <c r="IX55" s="215"/>
      <c r="IY55" s="215"/>
      <c r="IZ55" s="215"/>
      <c r="JA55" s="215"/>
      <c r="JB55" s="215"/>
      <c r="JC55" s="215"/>
      <c r="JD55" s="215"/>
      <c r="JE55" s="215"/>
      <c r="JF55" s="215"/>
      <c r="JG55" s="215"/>
      <c r="JH55" s="215"/>
      <c r="JI55" s="215"/>
      <c r="JJ55" s="215"/>
      <c r="JK55" s="215"/>
      <c r="JL55" s="215"/>
      <c r="JM55" s="215"/>
      <c r="JN55" s="215"/>
      <c r="JO55" s="215"/>
      <c r="JP55" s="215"/>
      <c r="JQ55" s="215"/>
      <c r="JR55" s="215"/>
      <c r="JS55" s="215"/>
      <c r="JT55" s="215"/>
      <c r="JU55" s="215"/>
      <c r="JV55" s="215"/>
      <c r="JW55" s="215"/>
      <c r="JX55" s="215"/>
      <c r="JY55" s="215"/>
      <c r="JZ55" s="215"/>
      <c r="KA55" s="215"/>
      <c r="KB55" s="215"/>
      <c r="KC55" s="215"/>
      <c r="KD55" s="215"/>
      <c r="KE55" s="215"/>
      <c r="KF55" s="215"/>
      <c r="KG55" s="215"/>
      <c r="KH55" s="215"/>
      <c r="KI55" s="215"/>
      <c r="KJ55" s="215"/>
      <c r="KK55" s="215"/>
      <c r="KL55" s="215"/>
      <c r="KM55" s="215"/>
      <c r="KN55" s="215"/>
      <c r="KO55" s="215"/>
      <c r="KP55" s="215"/>
      <c r="KQ55" s="215"/>
      <c r="KR55" s="215"/>
      <c r="KS55" s="215"/>
      <c r="KT55" s="215"/>
      <c r="KU55" s="215"/>
      <c r="KV55" s="215"/>
      <c r="KW55" s="215"/>
      <c r="KX55" s="215"/>
      <c r="KY55" s="215"/>
      <c r="KZ55" s="215"/>
      <c r="LA55" s="215"/>
      <c r="LB55" s="215"/>
      <c r="LC55" s="215"/>
      <c r="LD55" s="215"/>
      <c r="LE55" s="215"/>
      <c r="LF55" s="215"/>
      <c r="LG55" s="215"/>
      <c r="LH55" s="215"/>
      <c r="LI55" s="215"/>
      <c r="LJ55" s="215"/>
      <c r="LK55" s="215"/>
    </row>
    <row r="56" spans="1:323" s="256" customFormat="1" ht="30" hidden="1" customHeight="1" x14ac:dyDescent="0.25">
      <c r="A56" s="294"/>
      <c r="B56" s="295" t="s">
        <v>456</v>
      </c>
      <c r="C56" s="290"/>
      <c r="D56" s="295">
        <f>SUM(D49:D55)</f>
        <v>0</v>
      </c>
      <c r="E56" s="295"/>
      <c r="F56" s="295"/>
      <c r="G56" s="295"/>
      <c r="H56" s="295" t="e">
        <f>SUM(H49:H55)</f>
        <v>#REF!</v>
      </c>
      <c r="I56" s="295">
        <f t="shared" ref="I56:AM56" si="64">SUM(I49:I55)</f>
        <v>0</v>
      </c>
      <c r="J56" s="295">
        <f t="shared" si="64"/>
        <v>0</v>
      </c>
      <c r="K56" s="295">
        <f t="shared" si="64"/>
        <v>0</v>
      </c>
      <c r="L56" s="295">
        <f t="shared" si="64"/>
        <v>0</v>
      </c>
      <c r="M56" s="295">
        <f t="shared" si="64"/>
        <v>0</v>
      </c>
      <c r="N56" s="295">
        <f t="shared" si="64"/>
        <v>0</v>
      </c>
      <c r="O56" s="295">
        <f t="shared" si="64"/>
        <v>0</v>
      </c>
      <c r="P56" s="295">
        <f t="shared" si="64"/>
        <v>0</v>
      </c>
      <c r="Q56" s="295">
        <f t="shared" si="64"/>
        <v>0</v>
      </c>
      <c r="R56" s="295">
        <f t="shared" si="64"/>
        <v>24</v>
      </c>
      <c r="S56" s="295">
        <f t="shared" si="64"/>
        <v>0</v>
      </c>
      <c r="T56" s="295">
        <f t="shared" si="64"/>
        <v>0</v>
      </c>
      <c r="U56" s="295">
        <f t="shared" si="64"/>
        <v>0</v>
      </c>
      <c r="V56" s="295">
        <f t="shared" si="64"/>
        <v>0</v>
      </c>
      <c r="W56" s="295">
        <f t="shared" si="64"/>
        <v>0</v>
      </c>
      <c r="X56" s="295">
        <f t="shared" si="64"/>
        <v>0</v>
      </c>
      <c r="Y56" s="295">
        <f t="shared" si="64"/>
        <v>0</v>
      </c>
      <c r="Z56" s="295">
        <f t="shared" si="64"/>
        <v>0</v>
      </c>
      <c r="AA56" s="295">
        <f t="shared" si="64"/>
        <v>0</v>
      </c>
      <c r="AB56" s="295">
        <f t="shared" si="64"/>
        <v>0</v>
      </c>
      <c r="AC56" s="295">
        <f t="shared" si="64"/>
        <v>46.2</v>
      </c>
      <c r="AD56" s="295">
        <f>SUM(AD49:AD55)</f>
        <v>0</v>
      </c>
      <c r="AE56" s="295">
        <f t="shared" si="64"/>
        <v>0</v>
      </c>
      <c r="AF56" s="295">
        <f t="shared" si="64"/>
        <v>0</v>
      </c>
      <c r="AG56" s="295">
        <f t="shared" si="64"/>
        <v>0</v>
      </c>
      <c r="AH56" s="295">
        <f t="shared" si="64"/>
        <v>0</v>
      </c>
      <c r="AI56" s="295">
        <f t="shared" si="64"/>
        <v>0</v>
      </c>
      <c r="AJ56" s="295">
        <f t="shared" si="64"/>
        <v>0</v>
      </c>
      <c r="AK56" s="295">
        <f t="shared" si="64"/>
        <v>0</v>
      </c>
      <c r="AL56" s="295">
        <f t="shared" si="64"/>
        <v>0</v>
      </c>
      <c r="AM56" s="296">
        <f t="shared" si="64"/>
        <v>0</v>
      </c>
      <c r="AN56" s="297"/>
      <c r="AO56" s="297"/>
      <c r="AP56" s="297"/>
      <c r="AQ56" s="297" t="e">
        <f>SUM(H56:AM56)</f>
        <v>#REF!</v>
      </c>
      <c r="AR56" s="297"/>
      <c r="AS56" s="297"/>
      <c r="AT56" s="297"/>
      <c r="AU56" s="297"/>
      <c r="AV56" s="297"/>
      <c r="AW56" s="297"/>
      <c r="AX56" s="297"/>
      <c r="AY56" s="297"/>
      <c r="AZ56" s="297"/>
      <c r="BA56" s="217"/>
      <c r="BB56" s="217"/>
      <c r="BC56" s="217"/>
      <c r="BD56" s="217"/>
      <c r="BE56" s="217"/>
      <c r="BF56" s="217"/>
      <c r="BG56" s="217"/>
      <c r="BH56" s="217"/>
      <c r="BI56" s="217"/>
      <c r="BJ56" s="217"/>
      <c r="BK56" s="217"/>
      <c r="BL56" s="217"/>
      <c r="BM56" s="217"/>
      <c r="BN56" s="217"/>
      <c r="BO56" s="217"/>
      <c r="BP56" s="217"/>
      <c r="BQ56" s="217"/>
      <c r="BR56" s="215"/>
      <c r="BS56" s="215"/>
      <c r="BT56" s="215"/>
      <c r="BU56" s="215"/>
      <c r="BV56" s="215"/>
      <c r="BW56" s="215"/>
      <c r="BX56" s="215"/>
      <c r="BY56" s="215"/>
      <c r="BZ56" s="215"/>
      <c r="CA56" s="215"/>
      <c r="CB56" s="215"/>
      <c r="CC56" s="215"/>
      <c r="CD56" s="215"/>
      <c r="CE56" s="215"/>
      <c r="CF56" s="215"/>
      <c r="CG56" s="215"/>
      <c r="CH56" s="215"/>
      <c r="CI56" s="215"/>
      <c r="CJ56" s="215"/>
      <c r="CK56" s="215"/>
      <c r="CL56" s="215"/>
      <c r="CM56" s="215"/>
      <c r="CN56" s="215"/>
      <c r="CO56" s="215"/>
      <c r="CP56" s="215"/>
      <c r="CQ56" s="215"/>
      <c r="CR56" s="215"/>
      <c r="CS56" s="215"/>
      <c r="CT56" s="215"/>
      <c r="CU56" s="215"/>
      <c r="CV56" s="215"/>
      <c r="CW56" s="215"/>
      <c r="CX56" s="215"/>
      <c r="CY56" s="215"/>
      <c r="CZ56" s="215"/>
      <c r="DA56" s="215"/>
      <c r="DB56" s="215"/>
      <c r="DC56" s="215"/>
      <c r="DD56" s="215"/>
      <c r="DE56" s="215"/>
      <c r="DF56" s="215"/>
      <c r="DG56" s="215"/>
      <c r="DH56" s="215"/>
      <c r="DI56" s="215"/>
      <c r="DJ56" s="215"/>
      <c r="DK56" s="215"/>
      <c r="DL56" s="215"/>
      <c r="DM56" s="215"/>
      <c r="DN56" s="215"/>
      <c r="DO56" s="215"/>
      <c r="DP56" s="215"/>
      <c r="DQ56" s="215"/>
      <c r="DR56" s="215"/>
      <c r="DS56" s="215"/>
      <c r="DT56" s="215"/>
      <c r="DU56" s="215"/>
      <c r="DV56" s="215"/>
      <c r="DW56" s="215"/>
      <c r="DX56" s="215"/>
      <c r="DY56" s="215"/>
      <c r="DZ56" s="215"/>
      <c r="EA56" s="215"/>
      <c r="EB56" s="215"/>
      <c r="EC56" s="215"/>
      <c r="ED56" s="215"/>
      <c r="EE56" s="215"/>
      <c r="EF56" s="215"/>
      <c r="EG56" s="215"/>
      <c r="EH56" s="215"/>
      <c r="EI56" s="215"/>
      <c r="EJ56" s="215"/>
      <c r="EK56" s="215"/>
      <c r="EL56" s="215"/>
      <c r="EM56" s="215"/>
      <c r="EN56" s="215"/>
      <c r="EO56" s="215"/>
      <c r="EP56" s="215"/>
      <c r="EQ56" s="215"/>
      <c r="ER56" s="215"/>
      <c r="ES56" s="215"/>
      <c r="ET56" s="215"/>
      <c r="EU56" s="215"/>
      <c r="EV56" s="215"/>
      <c r="EW56" s="215"/>
      <c r="EX56" s="215"/>
      <c r="EY56" s="215"/>
      <c r="EZ56" s="215"/>
      <c r="FA56" s="215"/>
      <c r="FB56" s="215"/>
      <c r="FC56" s="215"/>
      <c r="FD56" s="215"/>
      <c r="FE56" s="215"/>
      <c r="FF56" s="215"/>
      <c r="FG56" s="215"/>
      <c r="FH56" s="215"/>
      <c r="FI56" s="215"/>
      <c r="FJ56" s="215"/>
      <c r="FK56" s="215"/>
      <c r="FL56" s="215"/>
      <c r="FM56" s="215"/>
      <c r="FN56" s="215"/>
      <c r="FO56" s="215"/>
      <c r="FP56" s="215"/>
      <c r="FQ56" s="215"/>
      <c r="FR56" s="215"/>
      <c r="FS56" s="215"/>
      <c r="FT56" s="215"/>
      <c r="FU56" s="215"/>
      <c r="FV56" s="215"/>
      <c r="FW56" s="215"/>
      <c r="FX56" s="215"/>
      <c r="FY56" s="215"/>
      <c r="FZ56" s="215"/>
      <c r="GA56" s="215"/>
      <c r="GB56" s="215"/>
      <c r="GC56" s="215"/>
      <c r="GD56" s="215"/>
      <c r="GE56" s="215"/>
      <c r="GF56" s="215"/>
      <c r="GG56" s="215"/>
      <c r="GH56" s="215"/>
      <c r="GI56" s="215"/>
      <c r="GJ56" s="215"/>
      <c r="GK56" s="215"/>
      <c r="GL56" s="215"/>
      <c r="GM56" s="215"/>
      <c r="GN56" s="215"/>
      <c r="GO56" s="215"/>
      <c r="GP56" s="215"/>
      <c r="GQ56" s="215"/>
      <c r="GR56" s="215"/>
      <c r="GS56" s="215"/>
      <c r="GT56" s="215"/>
      <c r="GU56" s="215"/>
      <c r="GV56" s="215"/>
      <c r="GW56" s="215"/>
      <c r="GX56" s="215"/>
      <c r="GY56" s="215"/>
      <c r="GZ56" s="215"/>
      <c r="HA56" s="215"/>
      <c r="HB56" s="215"/>
      <c r="HC56" s="215"/>
      <c r="HD56" s="215"/>
      <c r="HE56" s="215"/>
      <c r="HF56" s="215"/>
      <c r="HG56" s="215"/>
      <c r="HH56" s="215"/>
      <c r="HI56" s="215"/>
      <c r="HJ56" s="215"/>
      <c r="HK56" s="215"/>
      <c r="HL56" s="215"/>
      <c r="HM56" s="215"/>
      <c r="HN56" s="215"/>
      <c r="HO56" s="215"/>
      <c r="HP56" s="215"/>
      <c r="HQ56" s="215"/>
      <c r="HR56" s="215"/>
      <c r="HS56" s="215"/>
      <c r="HT56" s="215"/>
      <c r="HU56" s="215"/>
      <c r="HV56" s="215"/>
      <c r="HW56" s="215"/>
      <c r="HX56" s="215"/>
      <c r="HY56" s="215"/>
      <c r="HZ56" s="215"/>
      <c r="IA56" s="215"/>
      <c r="IB56" s="215"/>
      <c r="IC56" s="215"/>
      <c r="ID56" s="215"/>
      <c r="IE56" s="215"/>
      <c r="IF56" s="215"/>
      <c r="IG56" s="215"/>
      <c r="IH56" s="215"/>
      <c r="II56" s="215"/>
      <c r="IJ56" s="215"/>
      <c r="IK56" s="215"/>
      <c r="IL56" s="215"/>
      <c r="IM56" s="215"/>
      <c r="IN56" s="215"/>
      <c r="IO56" s="215"/>
      <c r="IP56" s="215"/>
      <c r="IQ56" s="215"/>
      <c r="IR56" s="215"/>
      <c r="IS56" s="215"/>
      <c r="IT56" s="215"/>
      <c r="IU56" s="215"/>
      <c r="IV56" s="215"/>
      <c r="IW56" s="215"/>
      <c r="IX56" s="215"/>
      <c r="IY56" s="215"/>
      <c r="IZ56" s="215"/>
      <c r="JA56" s="215"/>
      <c r="JB56" s="215"/>
      <c r="JC56" s="215"/>
      <c r="JD56" s="215"/>
      <c r="JE56" s="215"/>
      <c r="JF56" s="215"/>
      <c r="JG56" s="215"/>
      <c r="JH56" s="215"/>
      <c r="JI56" s="215"/>
      <c r="JJ56" s="215"/>
      <c r="JK56" s="215"/>
      <c r="JL56" s="215"/>
      <c r="JM56" s="215"/>
      <c r="JN56" s="215"/>
      <c r="JO56" s="215"/>
      <c r="JP56" s="215"/>
      <c r="JQ56" s="215"/>
      <c r="JR56" s="215"/>
      <c r="JS56" s="215"/>
      <c r="JT56" s="215"/>
      <c r="JU56" s="215"/>
      <c r="JV56" s="215"/>
      <c r="JW56" s="215"/>
      <c r="JX56" s="215"/>
      <c r="JY56" s="215"/>
      <c r="JZ56" s="215"/>
      <c r="KA56" s="215"/>
      <c r="KB56" s="215"/>
      <c r="KC56" s="215"/>
      <c r="KD56" s="215"/>
      <c r="KE56" s="215"/>
      <c r="KF56" s="215"/>
      <c r="KG56" s="215"/>
      <c r="KH56" s="215"/>
      <c r="KI56" s="215"/>
      <c r="KJ56" s="215"/>
      <c r="KK56" s="215"/>
      <c r="KL56" s="215"/>
      <c r="KM56" s="215"/>
      <c r="KN56" s="215"/>
      <c r="KO56" s="215"/>
      <c r="KP56" s="215"/>
      <c r="KQ56" s="215"/>
      <c r="KR56" s="215"/>
      <c r="KS56" s="215"/>
      <c r="KT56" s="215"/>
      <c r="KU56" s="215"/>
      <c r="KV56" s="215"/>
      <c r="KW56" s="215"/>
      <c r="KX56" s="215"/>
      <c r="KY56" s="215"/>
      <c r="KZ56" s="215"/>
      <c r="LA56" s="215"/>
      <c r="LB56" s="215"/>
      <c r="LC56" s="215"/>
      <c r="LD56" s="215"/>
      <c r="LE56" s="215"/>
      <c r="LF56" s="215"/>
      <c r="LG56" s="215"/>
      <c r="LH56" s="215"/>
      <c r="LI56" s="215"/>
      <c r="LJ56" s="215"/>
      <c r="LK56" s="215"/>
    </row>
    <row r="57" spans="1:323" s="232" customFormat="1" ht="30" hidden="1" customHeight="1" x14ac:dyDescent="0.25">
      <c r="A57" s="289"/>
      <c r="B57" s="15" t="s">
        <v>14</v>
      </c>
      <c r="C57" s="290"/>
      <c r="D57" s="10"/>
      <c r="E57" s="291"/>
      <c r="F57" s="291"/>
      <c r="G57" s="292"/>
      <c r="H57" s="291"/>
      <c r="I57" s="291"/>
      <c r="J57" s="291"/>
      <c r="K57" s="291"/>
      <c r="L57" s="291"/>
      <c r="M57" s="291"/>
      <c r="N57" s="291"/>
      <c r="O57" s="291"/>
      <c r="P57" s="291"/>
      <c r="Q57" s="291"/>
      <c r="R57" s="291"/>
      <c r="S57" s="291"/>
      <c r="T57" s="291"/>
      <c r="U57" s="291"/>
      <c r="V57" s="291"/>
      <c r="W57" s="291"/>
      <c r="X57" s="291"/>
      <c r="Y57" s="291"/>
      <c r="Z57" s="291"/>
      <c r="AA57" s="291"/>
      <c r="AB57" s="291"/>
      <c r="AC57" s="291"/>
      <c r="AD57" s="291"/>
      <c r="AE57" s="291"/>
      <c r="AF57" s="291"/>
      <c r="AG57" s="291"/>
      <c r="AH57" s="291"/>
      <c r="AI57" s="291"/>
      <c r="AJ57" s="291"/>
      <c r="AM57" s="293"/>
      <c r="AN57" s="215"/>
      <c r="AO57" s="215"/>
      <c r="AP57" s="215"/>
      <c r="AQ57" s="215"/>
      <c r="AR57" s="215"/>
      <c r="AS57" s="215"/>
      <c r="AT57" s="215"/>
      <c r="AU57" s="215"/>
      <c r="AV57" s="215"/>
      <c r="AW57" s="215"/>
      <c r="AX57" s="215"/>
      <c r="AY57" s="215"/>
      <c r="AZ57" s="291"/>
      <c r="BA57" s="215"/>
      <c r="BB57" s="215"/>
      <c r="BC57" s="215"/>
      <c r="BD57" s="215"/>
      <c r="BE57" s="215"/>
      <c r="BF57" s="215"/>
      <c r="BG57" s="215"/>
      <c r="BH57" s="215"/>
      <c r="BI57" s="215"/>
      <c r="BJ57" s="215"/>
      <c r="BK57" s="215"/>
      <c r="BL57" s="215"/>
      <c r="BM57" s="215"/>
      <c r="BN57" s="215"/>
      <c r="BO57" s="215"/>
      <c r="BP57" s="215"/>
      <c r="BQ57" s="215"/>
      <c r="BR57" s="215"/>
      <c r="BS57" s="215"/>
      <c r="BT57" s="215"/>
      <c r="BU57" s="215"/>
      <c r="BV57" s="215"/>
      <c r="BW57" s="215"/>
      <c r="BX57" s="215"/>
      <c r="BY57" s="215"/>
      <c r="BZ57" s="215"/>
      <c r="CA57" s="215"/>
      <c r="CB57" s="215"/>
      <c r="CC57" s="215"/>
      <c r="CD57" s="215"/>
      <c r="CE57" s="215"/>
      <c r="CF57" s="215"/>
      <c r="CG57" s="215"/>
      <c r="CH57" s="215"/>
      <c r="CI57" s="215"/>
      <c r="CJ57" s="215"/>
      <c r="CK57" s="215"/>
      <c r="CL57" s="215"/>
      <c r="CM57" s="215"/>
      <c r="CN57" s="215"/>
      <c r="CO57" s="215"/>
      <c r="CP57" s="215"/>
      <c r="CQ57" s="215"/>
      <c r="CR57" s="215"/>
      <c r="CS57" s="215"/>
      <c r="CT57" s="215"/>
      <c r="CU57" s="215"/>
      <c r="CV57" s="215"/>
      <c r="CW57" s="215"/>
      <c r="CX57" s="215"/>
      <c r="CY57" s="215"/>
      <c r="CZ57" s="215"/>
      <c r="DA57" s="215"/>
      <c r="DB57" s="215"/>
      <c r="DC57" s="215"/>
      <c r="DD57" s="215"/>
      <c r="DE57" s="215"/>
      <c r="DF57" s="215"/>
      <c r="DG57" s="215"/>
      <c r="DH57" s="215"/>
      <c r="DI57" s="215"/>
      <c r="DJ57" s="215"/>
      <c r="DK57" s="215"/>
      <c r="DL57" s="215"/>
      <c r="DM57" s="215"/>
      <c r="DN57" s="215"/>
      <c r="DO57" s="215"/>
      <c r="DP57" s="215"/>
      <c r="DQ57" s="215"/>
      <c r="DR57" s="215"/>
      <c r="DS57" s="215"/>
      <c r="DT57" s="215"/>
      <c r="DU57" s="215"/>
      <c r="DV57" s="215"/>
      <c r="DW57" s="215"/>
      <c r="DX57" s="215"/>
      <c r="DY57" s="215"/>
      <c r="DZ57" s="215"/>
      <c r="EA57" s="215"/>
      <c r="EB57" s="215"/>
      <c r="EC57" s="215"/>
      <c r="ED57" s="215"/>
      <c r="EE57" s="215"/>
      <c r="EF57" s="215"/>
      <c r="EG57" s="215"/>
      <c r="EH57" s="215"/>
      <c r="EI57" s="215"/>
      <c r="EJ57" s="215"/>
      <c r="EK57" s="215"/>
      <c r="EL57" s="215"/>
      <c r="EM57" s="215"/>
      <c r="EN57" s="215"/>
      <c r="EO57" s="215"/>
      <c r="EP57" s="215"/>
      <c r="EQ57" s="215"/>
      <c r="ER57" s="215"/>
      <c r="ES57" s="215"/>
      <c r="ET57" s="215"/>
      <c r="EU57" s="215"/>
      <c r="EV57" s="215"/>
      <c r="EW57" s="215"/>
      <c r="EX57" s="215"/>
      <c r="EY57" s="215"/>
      <c r="EZ57" s="215"/>
      <c r="FA57" s="215"/>
      <c r="FB57" s="215"/>
      <c r="FC57" s="215"/>
      <c r="FD57" s="215"/>
      <c r="FE57" s="215"/>
      <c r="FF57" s="215"/>
      <c r="FG57" s="215"/>
      <c r="FH57" s="215"/>
      <c r="FI57" s="215"/>
      <c r="FJ57" s="215"/>
      <c r="FK57" s="215"/>
      <c r="FL57" s="215"/>
      <c r="FM57" s="215"/>
      <c r="FN57" s="215"/>
      <c r="FO57" s="215"/>
      <c r="FP57" s="215"/>
      <c r="FQ57" s="215"/>
      <c r="FR57" s="215"/>
      <c r="FS57" s="215"/>
      <c r="FT57" s="215"/>
      <c r="FU57" s="215"/>
      <c r="FV57" s="215"/>
      <c r="FW57" s="215"/>
      <c r="FX57" s="215"/>
      <c r="FY57" s="215"/>
      <c r="FZ57" s="215"/>
      <c r="GA57" s="215"/>
      <c r="GB57" s="215"/>
      <c r="GC57" s="215"/>
      <c r="GD57" s="215"/>
      <c r="GE57" s="215"/>
      <c r="GF57" s="215"/>
      <c r="GG57" s="215"/>
      <c r="GH57" s="215"/>
      <c r="GI57" s="215"/>
      <c r="GJ57" s="215"/>
      <c r="GK57" s="215"/>
      <c r="GL57" s="215"/>
      <c r="GM57" s="215"/>
      <c r="GN57" s="215"/>
      <c r="GO57" s="215"/>
      <c r="GP57" s="215"/>
      <c r="GQ57" s="215"/>
      <c r="GR57" s="215"/>
      <c r="GS57" s="215"/>
      <c r="GT57" s="215"/>
      <c r="GU57" s="215"/>
      <c r="GV57" s="215"/>
      <c r="GW57" s="215"/>
      <c r="GX57" s="215"/>
      <c r="GY57" s="215"/>
      <c r="GZ57" s="215"/>
      <c r="HA57" s="215"/>
      <c r="HB57" s="215"/>
      <c r="HC57" s="215"/>
      <c r="HD57" s="215"/>
      <c r="HE57" s="215"/>
      <c r="HF57" s="215"/>
      <c r="HG57" s="215"/>
      <c r="HH57" s="215"/>
      <c r="HI57" s="215"/>
      <c r="HJ57" s="215"/>
      <c r="HK57" s="215"/>
      <c r="HL57" s="215"/>
      <c r="HM57" s="215"/>
      <c r="HN57" s="215"/>
      <c r="HO57" s="215"/>
      <c r="HP57" s="215"/>
      <c r="HQ57" s="215"/>
      <c r="HR57" s="215"/>
      <c r="HS57" s="215"/>
      <c r="HT57" s="215"/>
      <c r="HU57" s="215"/>
      <c r="HV57" s="215"/>
      <c r="HW57" s="215"/>
      <c r="HX57" s="215"/>
      <c r="HY57" s="215"/>
      <c r="HZ57" s="215"/>
      <c r="IA57" s="215"/>
      <c r="IB57" s="215"/>
      <c r="IC57" s="215"/>
      <c r="ID57" s="215"/>
      <c r="IE57" s="215"/>
      <c r="IF57" s="215"/>
      <c r="IG57" s="215"/>
      <c r="IH57" s="215"/>
      <c r="II57" s="215"/>
      <c r="IJ57" s="215"/>
      <c r="IK57" s="215"/>
      <c r="IL57" s="215"/>
      <c r="IM57" s="215"/>
      <c r="IN57" s="215"/>
      <c r="IO57" s="215"/>
      <c r="IP57" s="215"/>
      <c r="IQ57" s="215"/>
      <c r="IR57" s="215"/>
      <c r="IS57" s="215"/>
      <c r="IT57" s="215"/>
      <c r="IU57" s="215"/>
      <c r="IV57" s="215"/>
      <c r="IW57" s="215"/>
      <c r="IX57" s="215"/>
      <c r="IY57" s="215"/>
      <c r="IZ57" s="215"/>
      <c r="JA57" s="215"/>
      <c r="JB57" s="215"/>
      <c r="JC57" s="215"/>
      <c r="JD57" s="215"/>
      <c r="JE57" s="215"/>
      <c r="JF57" s="215"/>
      <c r="JG57" s="215"/>
      <c r="JH57" s="215"/>
      <c r="JI57" s="215"/>
      <c r="JJ57" s="215"/>
      <c r="JK57" s="215"/>
      <c r="JL57" s="215"/>
      <c r="JM57" s="215"/>
      <c r="JN57" s="215"/>
      <c r="JO57" s="215"/>
      <c r="JP57" s="215"/>
      <c r="JQ57" s="215"/>
      <c r="JR57" s="215"/>
      <c r="JS57" s="215"/>
      <c r="JT57" s="215"/>
      <c r="JU57" s="215"/>
      <c r="JV57" s="215"/>
      <c r="JW57" s="215"/>
      <c r="JX57" s="215"/>
      <c r="JY57" s="215"/>
      <c r="JZ57" s="215"/>
      <c r="KA57" s="215"/>
      <c r="KB57" s="215"/>
      <c r="KC57" s="215"/>
      <c r="KD57" s="215"/>
      <c r="KE57" s="215"/>
      <c r="KF57" s="215"/>
      <c r="KG57" s="215"/>
      <c r="KH57" s="215"/>
      <c r="KI57" s="215"/>
      <c r="KJ57" s="215"/>
      <c r="KK57" s="215"/>
      <c r="KL57" s="215"/>
      <c r="KM57" s="215"/>
      <c r="KN57" s="215"/>
      <c r="KO57" s="215"/>
      <c r="KP57" s="215"/>
      <c r="KQ57" s="215"/>
      <c r="KR57" s="215"/>
      <c r="KS57" s="215"/>
      <c r="KT57" s="215"/>
      <c r="KU57" s="215"/>
      <c r="KV57" s="215"/>
      <c r="KW57" s="215"/>
      <c r="KX57" s="215"/>
      <c r="KY57" s="215"/>
      <c r="KZ57" s="215"/>
      <c r="LA57" s="215"/>
      <c r="LB57" s="215"/>
      <c r="LC57" s="215"/>
      <c r="LD57" s="215"/>
      <c r="LE57" s="215"/>
      <c r="LF57" s="215"/>
      <c r="LG57" s="215"/>
      <c r="LH57" s="215"/>
      <c r="LI57" s="215"/>
      <c r="LJ57" s="215"/>
      <c r="LK57" s="215"/>
    </row>
    <row r="58" spans="1:323" s="232" customFormat="1" ht="30" hidden="1" customHeight="1" x14ac:dyDescent="0.25">
      <c r="A58" s="289">
        <f>A54+1</f>
        <v>7</v>
      </c>
      <c r="B58" s="11" t="s">
        <v>457</v>
      </c>
      <c r="C58" s="290"/>
      <c r="D58" s="10"/>
      <c r="E58" s="291"/>
      <c r="F58" s="291"/>
      <c r="G58" s="292">
        <f>$P$10-$P$18</f>
        <v>0</v>
      </c>
      <c r="H58" s="291" t="e">
        <f>+D58*E58*F58*(G58-#REF!)</f>
        <v>#REF!</v>
      </c>
      <c r="I58" s="291">
        <f>+IF(+AND(E58&gt;0.3,E58&lt;=0.75,F58&gt;0.3),($D58*($E58+$F58)*2*($G58-#REF!)),0)</f>
        <v>0</v>
      </c>
      <c r="J58" s="291">
        <f>+IF(+AND(E58&gt;0.3,E58&lt;=0.75,F58&lt;=0.3),($D58*($E58+$F58)*2*($G58-#REF!)),0)</f>
        <v>0</v>
      </c>
      <c r="K58" s="291">
        <f>+IF(+AND(E58&gt;0.75,E58&lt;=1.2,F58&gt;0),($D58*($E58+$F58)*2*($G58-#REF!)),0)</f>
        <v>0</v>
      </c>
      <c r="L58" s="291">
        <f>+IF(+AND(E58&gt;1.2,F58&gt;0),($D58*($E58+$F58)*2*($G58-#REF!)),0)</f>
        <v>0</v>
      </c>
      <c r="M58" s="291">
        <f t="shared" ref="M58:M61" si="65">SUM(I58:L58)</f>
        <v>0</v>
      </c>
      <c r="N58" s="291">
        <f>ROUNDUP(E58/0.6,0)*ROUNDUP(G58/0.6,0)*D58</f>
        <v>0</v>
      </c>
      <c r="O58" s="291">
        <f t="shared" ref="O58:Q61" si="66">D58</f>
        <v>0</v>
      </c>
      <c r="P58" s="291">
        <f t="shared" si="66"/>
        <v>0</v>
      </c>
      <c r="Q58" s="291">
        <f t="shared" si="66"/>
        <v>0</v>
      </c>
      <c r="R58" s="291">
        <f t="shared" ref="R58:R61" si="67">$P$9-$P$10</f>
        <v>4</v>
      </c>
      <c r="S58" s="291">
        <f t="shared" ref="S58:S61" si="68">+O58*P58*Q58*R58</f>
        <v>0</v>
      </c>
      <c r="T58" s="291">
        <f t="shared" ref="T58:T61" si="69">+IF(+AND(P58&gt;0.3,P58&lt;=0.75,Q58&gt;0.3),(O58*(P58+Q58)*2*(R58-$E$11)),0)</f>
        <v>0</v>
      </c>
      <c r="U58" s="291">
        <f t="shared" ref="U58:U61" si="70">+IF(+AND(P58&gt;0.3,P58&lt;=0.75,Q58&lt;=0.3),(O58*(P58+Q58)*2*(R58-$E$11)),0)</f>
        <v>0</v>
      </c>
      <c r="V58" s="291">
        <f t="shared" ref="V58:V61" si="71">+IF(+AND(P58&gt;0.75,P58&lt;=1.2,Q58&gt;0),(O58*(P58+Q58)*2*(R58-$E$11)),0)</f>
        <v>0</v>
      </c>
      <c r="W58" s="291">
        <f t="shared" ref="W58:W61" si="72">+IF(+AND(P58&gt;1.2,Q58&gt;0),(O58*(P58+Q58)*2*(R58-$E$11)),0)</f>
        <v>0</v>
      </c>
      <c r="X58" s="291">
        <f t="shared" ref="X58" si="73">SUM(T58:W58)</f>
        <v>0</v>
      </c>
      <c r="Y58" s="291">
        <f t="shared" ref="Y58:Y61" si="74">ROUNDUP(P58/0.6,0)*ROUNDUP(R58/0.6,0)*O58</f>
        <v>0</v>
      </c>
      <c r="Z58" s="291">
        <f t="shared" ref="Z58:Z61" si="75">O58</f>
        <v>0</v>
      </c>
      <c r="AA58" s="291">
        <f t="shared" ref="AA58:AB61" si="76">+E58</f>
        <v>0</v>
      </c>
      <c r="AB58" s="291">
        <f t="shared" si="76"/>
        <v>0</v>
      </c>
      <c r="AC58" s="291">
        <f t="shared" ref="AC58:AC61" si="77">$P$13-$P$9</f>
        <v>7.7</v>
      </c>
      <c r="AD58" s="291">
        <f t="shared" ref="AD58:AD61" si="78">+Z58*AA58*AB58*AC58</f>
        <v>0</v>
      </c>
      <c r="AE58" s="291">
        <f t="shared" ref="AE58:AE61" si="79">+IF(+AND(AA58&gt;0.3,AA58&lt;=0.75,AB58&gt;0.3),(Z58*(AA58+AB58)*2*(AC58-$E$11)),0)</f>
        <v>0</v>
      </c>
      <c r="AF58" s="291">
        <f t="shared" ref="AF58:AF61" si="80">+IF(+AND(AA58&gt;0.3,AA58&lt;=0.75,AB58&lt;=0.3),(Z58*(AA58+AB58)*2*(AC58-$E$11)),0)</f>
        <v>0</v>
      </c>
      <c r="AG58" s="291">
        <f t="shared" ref="AG58:AG61" si="81">+IF(+AND(AA58&gt;0.75,AA58&lt;=1.2,AB58&gt;0),(Z58*(AA58+AB58)*2*(AC58-$E$11)),0)</f>
        <v>0</v>
      </c>
      <c r="AH58" s="291">
        <f t="shared" ref="AH58:AH61" si="82">+IF(+AND(AA58&gt;1.2,AB58&gt;0),(Z58*(AA58+AB58)*2*(AC58-$E$11)),0)</f>
        <v>0</v>
      </c>
      <c r="AI58" s="291">
        <f t="shared" ref="AI58:AI61" si="83">SUM(AE58:AH58)</f>
        <v>0</v>
      </c>
      <c r="AJ58" s="291">
        <f t="shared" ref="AJ58:AJ61" si="84">ROUNDUP(AA58/0.6,0)*ROUNDUP(AC58/0.6,0)*Z58</f>
        <v>0</v>
      </c>
      <c r="AL58" s="232">
        <f>+ROUNDUP((D58)/4,0)</f>
        <v>0</v>
      </c>
      <c r="AM58" s="293">
        <f t="shared" ref="AM58:AM61" si="85">AL58*(2*(P58+Q58)*2.44)</f>
        <v>0</v>
      </c>
      <c r="AN58" s="215"/>
      <c r="AO58" s="215">
        <v>0.6</v>
      </c>
      <c r="AP58" s="215"/>
      <c r="AQ58" s="215"/>
      <c r="AR58" s="215"/>
      <c r="AS58" s="215"/>
      <c r="AT58" s="215"/>
      <c r="AU58" s="215"/>
      <c r="AV58" s="215"/>
      <c r="AW58" s="215"/>
      <c r="AX58" s="215"/>
      <c r="AY58" s="215"/>
      <c r="AZ58" s="291"/>
      <c r="BA58" s="215"/>
      <c r="BB58" s="215"/>
      <c r="BC58" s="215"/>
      <c r="BD58" s="215"/>
      <c r="BE58" s="215"/>
      <c r="BF58" s="215"/>
      <c r="BG58" s="215"/>
      <c r="BH58" s="215"/>
      <c r="BI58" s="215"/>
      <c r="BJ58" s="215"/>
      <c r="BK58" s="215"/>
      <c r="BL58" s="215"/>
      <c r="BM58" s="215"/>
      <c r="BN58" s="215"/>
      <c r="BO58" s="215"/>
      <c r="BP58" s="215"/>
      <c r="BQ58" s="215"/>
      <c r="BR58" s="215"/>
      <c r="BS58" s="215"/>
      <c r="BT58" s="215"/>
      <c r="BU58" s="215"/>
      <c r="BV58" s="215"/>
      <c r="BW58" s="215"/>
      <c r="BX58" s="215"/>
      <c r="BY58" s="215"/>
      <c r="BZ58" s="215"/>
      <c r="CA58" s="215"/>
      <c r="CB58" s="215"/>
      <c r="CC58" s="215"/>
      <c r="CD58" s="215"/>
      <c r="CE58" s="215"/>
      <c r="CF58" s="215"/>
      <c r="CG58" s="215"/>
      <c r="CH58" s="215"/>
      <c r="CI58" s="215"/>
      <c r="CJ58" s="215"/>
      <c r="CK58" s="215"/>
      <c r="CL58" s="215"/>
      <c r="CM58" s="215"/>
      <c r="CN58" s="215"/>
      <c r="CO58" s="215"/>
      <c r="CP58" s="215"/>
      <c r="CQ58" s="215"/>
      <c r="CR58" s="215"/>
      <c r="CS58" s="215"/>
      <c r="CT58" s="215"/>
      <c r="CU58" s="215"/>
      <c r="CV58" s="215"/>
      <c r="CW58" s="215"/>
      <c r="CX58" s="215"/>
      <c r="CY58" s="215"/>
      <c r="CZ58" s="215"/>
      <c r="DA58" s="215"/>
      <c r="DB58" s="215"/>
      <c r="DC58" s="215"/>
      <c r="DD58" s="215"/>
      <c r="DE58" s="215"/>
      <c r="DF58" s="215"/>
      <c r="DG58" s="215"/>
      <c r="DH58" s="215"/>
      <c r="DI58" s="215"/>
      <c r="DJ58" s="215"/>
      <c r="DK58" s="215"/>
      <c r="DL58" s="215"/>
      <c r="DM58" s="215"/>
      <c r="DN58" s="215"/>
      <c r="DO58" s="215"/>
      <c r="DP58" s="215"/>
      <c r="DQ58" s="215"/>
      <c r="DR58" s="215"/>
      <c r="DS58" s="215"/>
      <c r="DT58" s="215"/>
      <c r="DU58" s="215"/>
      <c r="DV58" s="215"/>
      <c r="DW58" s="215"/>
      <c r="DX58" s="215"/>
      <c r="DY58" s="215"/>
      <c r="DZ58" s="215"/>
      <c r="EA58" s="215"/>
      <c r="EB58" s="215"/>
      <c r="EC58" s="215"/>
      <c r="ED58" s="215"/>
      <c r="EE58" s="215"/>
      <c r="EF58" s="215"/>
      <c r="EG58" s="215"/>
      <c r="EH58" s="215"/>
      <c r="EI58" s="215"/>
      <c r="EJ58" s="215"/>
      <c r="EK58" s="215"/>
      <c r="EL58" s="215"/>
      <c r="EM58" s="215"/>
      <c r="EN58" s="215"/>
      <c r="EO58" s="215"/>
      <c r="EP58" s="215"/>
      <c r="EQ58" s="215"/>
      <c r="ER58" s="215"/>
      <c r="ES58" s="215"/>
      <c r="ET58" s="215"/>
      <c r="EU58" s="215"/>
      <c r="EV58" s="215"/>
      <c r="EW58" s="215"/>
      <c r="EX58" s="215"/>
      <c r="EY58" s="215"/>
      <c r="EZ58" s="215"/>
      <c r="FA58" s="215"/>
      <c r="FB58" s="215"/>
      <c r="FC58" s="215"/>
      <c r="FD58" s="215"/>
      <c r="FE58" s="215"/>
      <c r="FF58" s="215"/>
      <c r="FG58" s="215"/>
      <c r="FH58" s="215"/>
      <c r="FI58" s="215"/>
      <c r="FJ58" s="215"/>
      <c r="FK58" s="215"/>
      <c r="FL58" s="215"/>
      <c r="FM58" s="215"/>
      <c r="FN58" s="215"/>
      <c r="FO58" s="215"/>
      <c r="FP58" s="215"/>
      <c r="FQ58" s="215"/>
      <c r="FR58" s="215"/>
      <c r="FS58" s="215"/>
      <c r="FT58" s="215"/>
      <c r="FU58" s="215"/>
      <c r="FV58" s="215"/>
      <c r="FW58" s="215"/>
      <c r="FX58" s="215"/>
      <c r="FY58" s="215"/>
      <c r="FZ58" s="215"/>
      <c r="GA58" s="215"/>
      <c r="GB58" s="215"/>
      <c r="GC58" s="215"/>
      <c r="GD58" s="215"/>
      <c r="GE58" s="215"/>
      <c r="GF58" s="215"/>
      <c r="GG58" s="215"/>
      <c r="GH58" s="215"/>
      <c r="GI58" s="215"/>
      <c r="GJ58" s="215"/>
      <c r="GK58" s="215"/>
      <c r="GL58" s="215"/>
      <c r="GM58" s="215"/>
      <c r="GN58" s="215"/>
      <c r="GO58" s="215"/>
      <c r="GP58" s="215"/>
      <c r="GQ58" s="215"/>
      <c r="GR58" s="215"/>
      <c r="GS58" s="215"/>
      <c r="GT58" s="215"/>
      <c r="GU58" s="215"/>
      <c r="GV58" s="215"/>
      <c r="GW58" s="215"/>
      <c r="GX58" s="215"/>
      <c r="GY58" s="215"/>
      <c r="GZ58" s="215"/>
      <c r="HA58" s="215"/>
      <c r="HB58" s="215"/>
      <c r="HC58" s="215"/>
      <c r="HD58" s="215"/>
      <c r="HE58" s="215"/>
      <c r="HF58" s="215"/>
      <c r="HG58" s="215"/>
      <c r="HH58" s="215"/>
      <c r="HI58" s="215"/>
      <c r="HJ58" s="215"/>
      <c r="HK58" s="215"/>
      <c r="HL58" s="215"/>
      <c r="HM58" s="215"/>
      <c r="HN58" s="215"/>
      <c r="HO58" s="215"/>
      <c r="HP58" s="215"/>
      <c r="HQ58" s="215"/>
      <c r="HR58" s="215"/>
      <c r="HS58" s="215"/>
      <c r="HT58" s="215"/>
      <c r="HU58" s="215"/>
      <c r="HV58" s="215"/>
      <c r="HW58" s="215"/>
      <c r="HX58" s="215"/>
      <c r="HY58" s="215"/>
      <c r="HZ58" s="215"/>
      <c r="IA58" s="215"/>
      <c r="IB58" s="215"/>
      <c r="IC58" s="215"/>
      <c r="ID58" s="215"/>
      <c r="IE58" s="215"/>
      <c r="IF58" s="215"/>
      <c r="IG58" s="215"/>
      <c r="IH58" s="215"/>
      <c r="II58" s="215"/>
      <c r="IJ58" s="215"/>
      <c r="IK58" s="215"/>
      <c r="IL58" s="215"/>
      <c r="IM58" s="215"/>
      <c r="IN58" s="215"/>
      <c r="IO58" s="215"/>
      <c r="IP58" s="215"/>
      <c r="IQ58" s="215"/>
      <c r="IR58" s="215"/>
      <c r="IS58" s="215"/>
      <c r="IT58" s="215"/>
      <c r="IU58" s="215"/>
      <c r="IV58" s="215"/>
      <c r="IW58" s="215"/>
      <c r="IX58" s="215"/>
      <c r="IY58" s="215"/>
      <c r="IZ58" s="215"/>
      <c r="JA58" s="215"/>
      <c r="JB58" s="215"/>
      <c r="JC58" s="215"/>
      <c r="JD58" s="215"/>
      <c r="JE58" s="215"/>
      <c r="JF58" s="215"/>
      <c r="JG58" s="215"/>
      <c r="JH58" s="215"/>
      <c r="JI58" s="215"/>
      <c r="JJ58" s="215"/>
      <c r="JK58" s="215"/>
      <c r="JL58" s="215"/>
      <c r="JM58" s="215"/>
      <c r="JN58" s="215"/>
      <c r="JO58" s="215"/>
      <c r="JP58" s="215"/>
      <c r="JQ58" s="215"/>
      <c r="JR58" s="215"/>
      <c r="JS58" s="215"/>
      <c r="JT58" s="215"/>
      <c r="JU58" s="215"/>
      <c r="JV58" s="215"/>
      <c r="JW58" s="215"/>
      <c r="JX58" s="215"/>
      <c r="JY58" s="215"/>
      <c r="JZ58" s="215"/>
      <c r="KA58" s="215"/>
      <c r="KB58" s="215"/>
      <c r="KC58" s="215"/>
      <c r="KD58" s="215"/>
      <c r="KE58" s="215"/>
      <c r="KF58" s="215"/>
      <c r="KG58" s="215"/>
      <c r="KH58" s="215"/>
      <c r="KI58" s="215"/>
      <c r="KJ58" s="215"/>
      <c r="KK58" s="215"/>
      <c r="KL58" s="215"/>
      <c r="KM58" s="215"/>
      <c r="KN58" s="215"/>
      <c r="KO58" s="215"/>
      <c r="KP58" s="215"/>
      <c r="KQ58" s="215"/>
      <c r="KR58" s="215"/>
      <c r="KS58" s="215"/>
      <c r="KT58" s="215"/>
      <c r="KU58" s="215"/>
      <c r="KV58" s="215"/>
      <c r="KW58" s="215"/>
      <c r="KX58" s="215"/>
      <c r="KY58" s="215"/>
      <c r="KZ58" s="215"/>
      <c r="LA58" s="215"/>
      <c r="LB58" s="215"/>
      <c r="LC58" s="215"/>
      <c r="LD58" s="215"/>
      <c r="LE58" s="215"/>
      <c r="LF58" s="215"/>
      <c r="LG58" s="215"/>
      <c r="LH58" s="215"/>
      <c r="LI58" s="215"/>
      <c r="LJ58" s="215"/>
      <c r="LK58" s="215"/>
    </row>
    <row r="59" spans="1:323" s="232" customFormat="1" ht="30" hidden="1" customHeight="1" x14ac:dyDescent="0.25">
      <c r="A59" s="289">
        <f>A58+1</f>
        <v>8</v>
      </c>
      <c r="B59" s="11" t="s">
        <v>454</v>
      </c>
      <c r="C59" s="290"/>
      <c r="D59" s="10"/>
      <c r="E59" s="291"/>
      <c r="F59" s="291"/>
      <c r="G59" s="292">
        <f>$P$10-$P$18</f>
        <v>0</v>
      </c>
      <c r="H59" s="291" t="e">
        <f>+D59*E59*F59*(G59-#REF!)</f>
        <v>#REF!</v>
      </c>
      <c r="I59" s="291">
        <f>+IF(+AND(E59&gt;0.3,E59&lt;=0.75,F59&gt;0.3),($D59*($E59+$F59)*2*($G59-#REF!)),0)</f>
        <v>0</v>
      </c>
      <c r="J59" s="291">
        <f>+IF(+AND(E59&gt;0.3,E59&lt;=0.75,F59&lt;=0.3),($D59*($E59+$F59)*2*($G59-#REF!)),0)</f>
        <v>0</v>
      </c>
      <c r="K59" s="291">
        <f>+IF(+AND(E59&gt;0.75,E59&lt;=1.2,F59&gt;0),($D59*($E59+$F59)*2*($G59-#REF!)),0)</f>
        <v>0</v>
      </c>
      <c r="L59" s="291">
        <f>+IF(+AND(E59&gt;1.2,F59&gt;0),($D59*($E59+$F59)*2*($G59-#REF!)),0)</f>
        <v>0</v>
      </c>
      <c r="M59" s="291">
        <f t="shared" si="65"/>
        <v>0</v>
      </c>
      <c r="N59" s="291">
        <f>ROUNDUP(E59/0.6,0)*ROUNDUP(G59/0.6,0)*D59</f>
        <v>0</v>
      </c>
      <c r="O59" s="291">
        <f t="shared" si="66"/>
        <v>0</v>
      </c>
      <c r="P59" s="291">
        <f t="shared" si="66"/>
        <v>0</v>
      </c>
      <c r="Q59" s="291">
        <f t="shared" si="66"/>
        <v>0</v>
      </c>
      <c r="R59" s="291">
        <f t="shared" si="67"/>
        <v>4</v>
      </c>
      <c r="S59" s="291">
        <f t="shared" si="68"/>
        <v>0</v>
      </c>
      <c r="T59" s="291">
        <f t="shared" si="69"/>
        <v>0</v>
      </c>
      <c r="U59" s="291">
        <f t="shared" si="70"/>
        <v>0</v>
      </c>
      <c r="V59" s="291">
        <f t="shared" si="71"/>
        <v>0</v>
      </c>
      <c r="W59" s="291">
        <f t="shared" si="72"/>
        <v>0</v>
      </c>
      <c r="X59" s="291">
        <f t="shared" ref="X59:X61" si="86">SUM(T59:W59)</f>
        <v>0</v>
      </c>
      <c r="Y59" s="291">
        <f t="shared" si="74"/>
        <v>0</v>
      </c>
      <c r="Z59" s="291">
        <f t="shared" si="75"/>
        <v>0</v>
      </c>
      <c r="AA59" s="291">
        <f t="shared" si="76"/>
        <v>0</v>
      </c>
      <c r="AB59" s="291">
        <f t="shared" si="76"/>
        <v>0</v>
      </c>
      <c r="AC59" s="291">
        <f t="shared" si="77"/>
        <v>7.7</v>
      </c>
      <c r="AD59" s="291">
        <f t="shared" si="78"/>
        <v>0</v>
      </c>
      <c r="AE59" s="291">
        <f t="shared" si="79"/>
        <v>0</v>
      </c>
      <c r="AF59" s="291">
        <f t="shared" si="80"/>
        <v>0</v>
      </c>
      <c r="AG59" s="291">
        <f t="shared" si="81"/>
        <v>0</v>
      </c>
      <c r="AH59" s="291">
        <f t="shared" si="82"/>
        <v>0</v>
      </c>
      <c r="AI59" s="291">
        <f t="shared" si="83"/>
        <v>0</v>
      </c>
      <c r="AJ59" s="291">
        <f t="shared" si="84"/>
        <v>0</v>
      </c>
      <c r="AL59" s="232">
        <f>+ROUNDUP((D59)/4,0)</f>
        <v>0</v>
      </c>
      <c r="AM59" s="293">
        <f t="shared" si="85"/>
        <v>0</v>
      </c>
      <c r="AN59" s="215"/>
      <c r="AO59" s="215">
        <v>0.6</v>
      </c>
      <c r="AP59" s="215"/>
      <c r="AQ59" s="215"/>
      <c r="AR59" s="215"/>
      <c r="AS59" s="215"/>
      <c r="AT59" s="215"/>
      <c r="AU59" s="215"/>
      <c r="AV59" s="215"/>
      <c r="AW59" s="215"/>
      <c r="AX59" s="215"/>
      <c r="AY59" s="215"/>
      <c r="AZ59" s="291"/>
      <c r="BA59" s="215"/>
      <c r="BB59" s="215"/>
      <c r="BC59" s="215"/>
      <c r="BD59" s="215"/>
      <c r="BE59" s="215"/>
      <c r="BF59" s="215"/>
      <c r="BG59" s="215"/>
      <c r="BH59" s="215"/>
      <c r="BI59" s="215"/>
      <c r="BJ59" s="215"/>
      <c r="BK59" s="215"/>
      <c r="BL59" s="215"/>
      <c r="BM59" s="215"/>
      <c r="BN59" s="215"/>
      <c r="BO59" s="215"/>
      <c r="BP59" s="215"/>
      <c r="BQ59" s="215"/>
      <c r="BR59" s="215"/>
      <c r="BS59" s="215"/>
      <c r="BT59" s="215"/>
      <c r="BU59" s="215"/>
      <c r="BV59" s="215"/>
      <c r="BW59" s="215"/>
      <c r="BX59" s="215"/>
      <c r="BY59" s="215"/>
      <c r="BZ59" s="215"/>
      <c r="CA59" s="215"/>
      <c r="CB59" s="215"/>
      <c r="CC59" s="215"/>
      <c r="CD59" s="215"/>
      <c r="CE59" s="215"/>
      <c r="CF59" s="215"/>
      <c r="CG59" s="215"/>
      <c r="CH59" s="215"/>
      <c r="CI59" s="215"/>
      <c r="CJ59" s="215"/>
      <c r="CK59" s="215"/>
      <c r="CL59" s="215"/>
      <c r="CM59" s="215"/>
      <c r="CN59" s="215"/>
      <c r="CO59" s="215"/>
      <c r="CP59" s="215"/>
      <c r="CQ59" s="215"/>
      <c r="CR59" s="215"/>
      <c r="CS59" s="215"/>
      <c r="CT59" s="215"/>
      <c r="CU59" s="215"/>
      <c r="CV59" s="215"/>
      <c r="CW59" s="215"/>
      <c r="CX59" s="215"/>
      <c r="CY59" s="215"/>
      <c r="CZ59" s="215"/>
      <c r="DA59" s="215"/>
      <c r="DB59" s="215"/>
      <c r="DC59" s="215"/>
      <c r="DD59" s="215"/>
      <c r="DE59" s="215"/>
      <c r="DF59" s="215"/>
      <c r="DG59" s="215"/>
      <c r="DH59" s="215"/>
      <c r="DI59" s="215"/>
      <c r="DJ59" s="215"/>
      <c r="DK59" s="215"/>
      <c r="DL59" s="215"/>
      <c r="DM59" s="215"/>
      <c r="DN59" s="215"/>
      <c r="DO59" s="215"/>
      <c r="DP59" s="215"/>
      <c r="DQ59" s="215"/>
      <c r="DR59" s="215"/>
      <c r="DS59" s="215"/>
      <c r="DT59" s="215"/>
      <c r="DU59" s="215"/>
      <c r="DV59" s="215"/>
      <c r="DW59" s="215"/>
      <c r="DX59" s="215"/>
      <c r="DY59" s="215"/>
      <c r="DZ59" s="215"/>
      <c r="EA59" s="215"/>
      <c r="EB59" s="215"/>
      <c r="EC59" s="215"/>
      <c r="ED59" s="215"/>
      <c r="EE59" s="215"/>
      <c r="EF59" s="215"/>
      <c r="EG59" s="215"/>
      <c r="EH59" s="215"/>
      <c r="EI59" s="215"/>
      <c r="EJ59" s="215"/>
      <c r="EK59" s="215"/>
      <c r="EL59" s="215"/>
      <c r="EM59" s="215"/>
      <c r="EN59" s="215"/>
      <c r="EO59" s="215"/>
      <c r="EP59" s="215"/>
      <c r="EQ59" s="215"/>
      <c r="ER59" s="215"/>
      <c r="ES59" s="215"/>
      <c r="ET59" s="215"/>
      <c r="EU59" s="215"/>
      <c r="EV59" s="215"/>
      <c r="EW59" s="215"/>
      <c r="EX59" s="215"/>
      <c r="EY59" s="215"/>
      <c r="EZ59" s="215"/>
      <c r="FA59" s="215"/>
      <c r="FB59" s="215"/>
      <c r="FC59" s="215"/>
      <c r="FD59" s="215"/>
      <c r="FE59" s="215"/>
      <c r="FF59" s="215"/>
      <c r="FG59" s="215"/>
      <c r="FH59" s="215"/>
      <c r="FI59" s="215"/>
      <c r="FJ59" s="215"/>
      <c r="FK59" s="215"/>
      <c r="FL59" s="215"/>
      <c r="FM59" s="215"/>
      <c r="FN59" s="215"/>
      <c r="FO59" s="215"/>
      <c r="FP59" s="215"/>
      <c r="FQ59" s="215"/>
      <c r="FR59" s="215"/>
      <c r="FS59" s="215"/>
      <c r="FT59" s="215"/>
      <c r="FU59" s="215"/>
      <c r="FV59" s="215"/>
      <c r="FW59" s="215"/>
      <c r="FX59" s="215"/>
      <c r="FY59" s="215"/>
      <c r="FZ59" s="215"/>
      <c r="GA59" s="215"/>
      <c r="GB59" s="215"/>
      <c r="GC59" s="215"/>
      <c r="GD59" s="215"/>
      <c r="GE59" s="215"/>
      <c r="GF59" s="215"/>
      <c r="GG59" s="215"/>
      <c r="GH59" s="215"/>
      <c r="GI59" s="215"/>
      <c r="GJ59" s="215"/>
      <c r="GK59" s="215"/>
      <c r="GL59" s="215"/>
      <c r="GM59" s="215"/>
      <c r="GN59" s="215"/>
      <c r="GO59" s="215"/>
      <c r="GP59" s="215"/>
      <c r="GQ59" s="215"/>
      <c r="GR59" s="215"/>
      <c r="GS59" s="215"/>
      <c r="GT59" s="215"/>
      <c r="GU59" s="215"/>
      <c r="GV59" s="215"/>
      <c r="GW59" s="215"/>
      <c r="GX59" s="215"/>
      <c r="GY59" s="215"/>
      <c r="GZ59" s="215"/>
      <c r="HA59" s="215"/>
      <c r="HB59" s="215"/>
      <c r="HC59" s="215"/>
      <c r="HD59" s="215"/>
      <c r="HE59" s="215"/>
      <c r="HF59" s="215"/>
      <c r="HG59" s="215"/>
      <c r="HH59" s="215"/>
      <c r="HI59" s="215"/>
      <c r="HJ59" s="215"/>
      <c r="HK59" s="215"/>
      <c r="HL59" s="215"/>
      <c r="HM59" s="215"/>
      <c r="HN59" s="215"/>
      <c r="HO59" s="215"/>
      <c r="HP59" s="215"/>
      <c r="HQ59" s="215"/>
      <c r="HR59" s="215"/>
      <c r="HS59" s="215"/>
      <c r="HT59" s="215"/>
      <c r="HU59" s="215"/>
      <c r="HV59" s="215"/>
      <c r="HW59" s="215"/>
      <c r="HX59" s="215"/>
      <c r="HY59" s="215"/>
      <c r="HZ59" s="215"/>
      <c r="IA59" s="215"/>
      <c r="IB59" s="215"/>
      <c r="IC59" s="215"/>
      <c r="ID59" s="215"/>
      <c r="IE59" s="215"/>
      <c r="IF59" s="215"/>
      <c r="IG59" s="215"/>
      <c r="IH59" s="215"/>
      <c r="II59" s="215"/>
      <c r="IJ59" s="215"/>
      <c r="IK59" s="215"/>
      <c r="IL59" s="215"/>
      <c r="IM59" s="215"/>
      <c r="IN59" s="215"/>
      <c r="IO59" s="215"/>
      <c r="IP59" s="215"/>
      <c r="IQ59" s="215"/>
      <c r="IR59" s="215"/>
      <c r="IS59" s="215"/>
      <c r="IT59" s="215"/>
      <c r="IU59" s="215"/>
      <c r="IV59" s="215"/>
      <c r="IW59" s="215"/>
      <c r="IX59" s="215"/>
      <c r="IY59" s="215"/>
      <c r="IZ59" s="215"/>
      <c r="JA59" s="215"/>
      <c r="JB59" s="215"/>
      <c r="JC59" s="215"/>
      <c r="JD59" s="215"/>
      <c r="JE59" s="215"/>
      <c r="JF59" s="215"/>
      <c r="JG59" s="215"/>
      <c r="JH59" s="215"/>
      <c r="JI59" s="215"/>
      <c r="JJ59" s="215"/>
      <c r="JK59" s="215"/>
      <c r="JL59" s="215"/>
      <c r="JM59" s="215"/>
      <c r="JN59" s="215"/>
      <c r="JO59" s="215"/>
      <c r="JP59" s="215"/>
      <c r="JQ59" s="215"/>
      <c r="JR59" s="215"/>
      <c r="JS59" s="215"/>
      <c r="JT59" s="215"/>
      <c r="JU59" s="215"/>
      <c r="JV59" s="215"/>
      <c r="JW59" s="215"/>
      <c r="JX59" s="215"/>
      <c r="JY59" s="215"/>
      <c r="JZ59" s="215"/>
      <c r="KA59" s="215"/>
      <c r="KB59" s="215"/>
      <c r="KC59" s="215"/>
      <c r="KD59" s="215"/>
      <c r="KE59" s="215"/>
      <c r="KF59" s="215"/>
      <c r="KG59" s="215"/>
      <c r="KH59" s="215"/>
      <c r="KI59" s="215"/>
      <c r="KJ59" s="215"/>
      <c r="KK59" s="215"/>
      <c r="KL59" s="215"/>
      <c r="KM59" s="215"/>
      <c r="KN59" s="215"/>
      <c r="KO59" s="215"/>
      <c r="KP59" s="215"/>
      <c r="KQ59" s="215"/>
      <c r="KR59" s="215"/>
      <c r="KS59" s="215"/>
      <c r="KT59" s="215"/>
      <c r="KU59" s="215"/>
      <c r="KV59" s="215"/>
      <c r="KW59" s="215"/>
      <c r="KX59" s="215"/>
      <c r="KY59" s="215"/>
      <c r="KZ59" s="215"/>
      <c r="LA59" s="215"/>
      <c r="LB59" s="215"/>
      <c r="LC59" s="215"/>
      <c r="LD59" s="215"/>
      <c r="LE59" s="215"/>
      <c r="LF59" s="215"/>
      <c r="LG59" s="215"/>
      <c r="LH59" s="215"/>
      <c r="LI59" s="215"/>
      <c r="LJ59" s="215"/>
      <c r="LK59" s="215"/>
    </row>
    <row r="60" spans="1:323" s="232" customFormat="1" ht="30" hidden="1" customHeight="1" x14ac:dyDescent="0.25">
      <c r="A60" s="289">
        <f t="shared" ref="A60:A61" si="87">A59+1</f>
        <v>9</v>
      </c>
      <c r="B60" s="11"/>
      <c r="C60" s="290"/>
      <c r="D60" s="10"/>
      <c r="E60" s="291"/>
      <c r="F60" s="291"/>
      <c r="G60" s="292">
        <f>$P$10-$P$18</f>
        <v>0</v>
      </c>
      <c r="H60" s="291" t="e">
        <f>+D60*E60*F60*(G60-#REF!)</f>
        <v>#REF!</v>
      </c>
      <c r="I60" s="291">
        <f>+IF(+AND(E60&gt;0.3,E60&lt;=0.75,F60&gt;0.3),($D60*($E60+$F60)*2*($G60-#REF!)),0)</f>
        <v>0</v>
      </c>
      <c r="J60" s="291">
        <f>+IF(+AND(E60&gt;0.3,E60&lt;=0.75,F60&lt;=0.3),($D60*($E60+$F60)*2*($G60-#REF!)),0)</f>
        <v>0</v>
      </c>
      <c r="K60" s="291">
        <f>+IF(+AND(E60&gt;0.75,E60&lt;=1.2,F60&gt;0),($D60*($E60+$F60)*2*($G60-#REF!)),0)</f>
        <v>0</v>
      </c>
      <c r="L60" s="291">
        <f>+IF(+AND(E60&gt;1.2,F60&gt;0),($D60*($E60+$F60)*2*($G60-#REF!)),0)</f>
        <v>0</v>
      </c>
      <c r="M60" s="291">
        <f t="shared" si="65"/>
        <v>0</v>
      </c>
      <c r="N60" s="291">
        <f>ROUNDUP(E60/0.6,0)*ROUNDUP(G60/0.6,0)*D60</f>
        <v>0</v>
      </c>
      <c r="O60" s="291">
        <f t="shared" si="66"/>
        <v>0</v>
      </c>
      <c r="P60" s="291">
        <f t="shared" si="66"/>
        <v>0</v>
      </c>
      <c r="Q60" s="291">
        <f t="shared" si="66"/>
        <v>0</v>
      </c>
      <c r="R60" s="291">
        <f t="shared" si="67"/>
        <v>4</v>
      </c>
      <c r="S60" s="291">
        <f t="shared" si="68"/>
        <v>0</v>
      </c>
      <c r="T60" s="291">
        <f t="shared" si="69"/>
        <v>0</v>
      </c>
      <c r="U60" s="291">
        <f t="shared" si="70"/>
        <v>0</v>
      </c>
      <c r="V60" s="291">
        <f t="shared" si="71"/>
        <v>0</v>
      </c>
      <c r="W60" s="291">
        <f t="shared" si="72"/>
        <v>0</v>
      </c>
      <c r="X60" s="291">
        <f t="shared" si="86"/>
        <v>0</v>
      </c>
      <c r="Y60" s="291">
        <f t="shared" si="74"/>
        <v>0</v>
      </c>
      <c r="Z60" s="291">
        <f t="shared" si="75"/>
        <v>0</v>
      </c>
      <c r="AA60" s="291">
        <f t="shared" si="76"/>
        <v>0</v>
      </c>
      <c r="AB60" s="291">
        <f t="shared" si="76"/>
        <v>0</v>
      </c>
      <c r="AC60" s="291">
        <f t="shared" si="77"/>
        <v>7.7</v>
      </c>
      <c r="AD60" s="291">
        <f t="shared" si="78"/>
        <v>0</v>
      </c>
      <c r="AE60" s="291">
        <f t="shared" si="79"/>
        <v>0</v>
      </c>
      <c r="AF60" s="291">
        <f t="shared" si="80"/>
        <v>0</v>
      </c>
      <c r="AG60" s="291">
        <f t="shared" si="81"/>
        <v>0</v>
      </c>
      <c r="AH60" s="291">
        <f t="shared" si="82"/>
        <v>0</v>
      </c>
      <c r="AI60" s="291">
        <f t="shared" si="83"/>
        <v>0</v>
      </c>
      <c r="AJ60" s="291">
        <f t="shared" si="84"/>
        <v>0</v>
      </c>
      <c r="AL60" s="232">
        <f>+ROUNDUP((D60)/4,0)</f>
        <v>0</v>
      </c>
      <c r="AM60" s="293">
        <f t="shared" si="85"/>
        <v>0</v>
      </c>
      <c r="AN60" s="215"/>
      <c r="AO60" s="215">
        <v>0.6</v>
      </c>
      <c r="AP60" s="215"/>
      <c r="AQ60" s="215"/>
      <c r="AR60" s="215"/>
      <c r="AS60" s="215"/>
      <c r="AT60" s="215"/>
      <c r="AU60" s="215"/>
      <c r="AV60" s="215"/>
      <c r="AW60" s="215"/>
      <c r="AX60" s="215"/>
      <c r="AY60" s="215"/>
      <c r="AZ60" s="291"/>
      <c r="BA60" s="215"/>
      <c r="BB60" s="215"/>
      <c r="BC60" s="215"/>
      <c r="BD60" s="215"/>
      <c r="BE60" s="215"/>
      <c r="BF60" s="215"/>
      <c r="BG60" s="215"/>
      <c r="BH60" s="215"/>
      <c r="BI60" s="215"/>
      <c r="BJ60" s="215"/>
      <c r="BK60" s="215"/>
      <c r="BL60" s="215"/>
      <c r="BM60" s="215"/>
      <c r="BN60" s="215"/>
      <c r="BO60" s="215"/>
      <c r="BP60" s="215"/>
      <c r="BQ60" s="215"/>
      <c r="BR60" s="215"/>
      <c r="BS60" s="215"/>
      <c r="BT60" s="215"/>
      <c r="BU60" s="215"/>
      <c r="BV60" s="215"/>
      <c r="BW60" s="215"/>
      <c r="BX60" s="215"/>
      <c r="BY60" s="215"/>
      <c r="BZ60" s="215"/>
      <c r="CA60" s="215"/>
      <c r="CB60" s="215"/>
      <c r="CC60" s="215"/>
      <c r="CD60" s="215"/>
      <c r="CE60" s="215"/>
      <c r="CF60" s="215"/>
      <c r="CG60" s="215"/>
      <c r="CH60" s="215"/>
      <c r="CI60" s="215"/>
      <c r="CJ60" s="215"/>
      <c r="CK60" s="215"/>
      <c r="CL60" s="215"/>
      <c r="CM60" s="215"/>
      <c r="CN60" s="215"/>
      <c r="CO60" s="215"/>
      <c r="CP60" s="215"/>
      <c r="CQ60" s="215"/>
      <c r="CR60" s="215"/>
      <c r="CS60" s="215"/>
      <c r="CT60" s="215"/>
      <c r="CU60" s="215"/>
      <c r="CV60" s="215"/>
      <c r="CW60" s="215"/>
      <c r="CX60" s="215"/>
      <c r="CY60" s="215"/>
      <c r="CZ60" s="215"/>
      <c r="DA60" s="215"/>
      <c r="DB60" s="215"/>
      <c r="DC60" s="215"/>
      <c r="DD60" s="215"/>
      <c r="DE60" s="215"/>
      <c r="DF60" s="215"/>
      <c r="DG60" s="215"/>
      <c r="DH60" s="215"/>
      <c r="DI60" s="215"/>
      <c r="DJ60" s="215"/>
      <c r="DK60" s="215"/>
      <c r="DL60" s="215"/>
      <c r="DM60" s="215"/>
      <c r="DN60" s="215"/>
      <c r="DO60" s="215"/>
      <c r="DP60" s="215"/>
      <c r="DQ60" s="215"/>
      <c r="DR60" s="215"/>
      <c r="DS60" s="215"/>
      <c r="DT60" s="215"/>
      <c r="DU60" s="215"/>
      <c r="DV60" s="215"/>
      <c r="DW60" s="215"/>
      <c r="DX60" s="215"/>
      <c r="DY60" s="215"/>
      <c r="DZ60" s="215"/>
      <c r="EA60" s="215"/>
      <c r="EB60" s="215"/>
      <c r="EC60" s="215"/>
      <c r="ED60" s="215"/>
      <c r="EE60" s="215"/>
      <c r="EF60" s="215"/>
      <c r="EG60" s="215"/>
      <c r="EH60" s="215"/>
      <c r="EI60" s="215"/>
      <c r="EJ60" s="215"/>
      <c r="EK60" s="215"/>
      <c r="EL60" s="215"/>
      <c r="EM60" s="215"/>
      <c r="EN60" s="215"/>
      <c r="EO60" s="215"/>
      <c r="EP60" s="215"/>
      <c r="EQ60" s="215"/>
      <c r="ER60" s="215"/>
      <c r="ES60" s="215"/>
      <c r="ET60" s="215"/>
      <c r="EU60" s="215"/>
      <c r="EV60" s="215"/>
      <c r="EW60" s="215"/>
      <c r="EX60" s="215"/>
      <c r="EY60" s="215"/>
      <c r="EZ60" s="215"/>
      <c r="FA60" s="215"/>
      <c r="FB60" s="215"/>
      <c r="FC60" s="215"/>
      <c r="FD60" s="215"/>
      <c r="FE60" s="215"/>
      <c r="FF60" s="215"/>
      <c r="FG60" s="215"/>
      <c r="FH60" s="215"/>
      <c r="FI60" s="215"/>
      <c r="FJ60" s="215"/>
      <c r="FK60" s="215"/>
      <c r="FL60" s="215"/>
      <c r="FM60" s="215"/>
      <c r="FN60" s="215"/>
      <c r="FO60" s="215"/>
      <c r="FP60" s="215"/>
      <c r="FQ60" s="215"/>
      <c r="FR60" s="215"/>
      <c r="FS60" s="215"/>
      <c r="FT60" s="215"/>
      <c r="FU60" s="215"/>
      <c r="FV60" s="215"/>
      <c r="FW60" s="215"/>
      <c r="FX60" s="215"/>
      <c r="FY60" s="215"/>
      <c r="FZ60" s="215"/>
      <c r="GA60" s="215"/>
      <c r="GB60" s="215"/>
      <c r="GC60" s="215"/>
      <c r="GD60" s="215"/>
      <c r="GE60" s="215"/>
      <c r="GF60" s="215"/>
      <c r="GG60" s="215"/>
      <c r="GH60" s="215"/>
      <c r="GI60" s="215"/>
      <c r="GJ60" s="215"/>
      <c r="GK60" s="215"/>
      <c r="GL60" s="215"/>
      <c r="GM60" s="215"/>
      <c r="GN60" s="215"/>
      <c r="GO60" s="215"/>
      <c r="GP60" s="215"/>
      <c r="GQ60" s="215"/>
      <c r="GR60" s="215"/>
      <c r="GS60" s="215"/>
      <c r="GT60" s="215"/>
      <c r="GU60" s="215"/>
      <c r="GV60" s="215"/>
      <c r="GW60" s="215"/>
      <c r="GX60" s="215"/>
      <c r="GY60" s="215"/>
      <c r="GZ60" s="215"/>
      <c r="HA60" s="215"/>
      <c r="HB60" s="215"/>
      <c r="HC60" s="215"/>
      <c r="HD60" s="215"/>
      <c r="HE60" s="215"/>
      <c r="HF60" s="215"/>
      <c r="HG60" s="215"/>
      <c r="HH60" s="215"/>
      <c r="HI60" s="215"/>
      <c r="HJ60" s="215"/>
      <c r="HK60" s="215"/>
      <c r="HL60" s="215"/>
      <c r="HM60" s="215"/>
      <c r="HN60" s="215"/>
      <c r="HO60" s="215"/>
      <c r="HP60" s="215"/>
      <c r="HQ60" s="215"/>
      <c r="HR60" s="215"/>
      <c r="HS60" s="215"/>
      <c r="HT60" s="215"/>
      <c r="HU60" s="215"/>
      <c r="HV60" s="215"/>
      <c r="HW60" s="215"/>
      <c r="HX60" s="215"/>
      <c r="HY60" s="215"/>
      <c r="HZ60" s="215"/>
      <c r="IA60" s="215"/>
      <c r="IB60" s="215"/>
      <c r="IC60" s="215"/>
      <c r="ID60" s="215"/>
      <c r="IE60" s="215"/>
      <c r="IF60" s="215"/>
      <c r="IG60" s="215"/>
      <c r="IH60" s="215"/>
      <c r="II60" s="215"/>
      <c r="IJ60" s="215"/>
      <c r="IK60" s="215"/>
      <c r="IL60" s="215"/>
      <c r="IM60" s="215"/>
      <c r="IN60" s="215"/>
      <c r="IO60" s="215"/>
      <c r="IP60" s="215"/>
      <c r="IQ60" s="215"/>
      <c r="IR60" s="215"/>
      <c r="IS60" s="215"/>
      <c r="IT60" s="215"/>
      <c r="IU60" s="215"/>
      <c r="IV60" s="215"/>
      <c r="IW60" s="215"/>
      <c r="IX60" s="215"/>
      <c r="IY60" s="215"/>
      <c r="IZ60" s="215"/>
      <c r="JA60" s="215"/>
      <c r="JB60" s="215"/>
      <c r="JC60" s="215"/>
      <c r="JD60" s="215"/>
      <c r="JE60" s="215"/>
      <c r="JF60" s="215"/>
      <c r="JG60" s="215"/>
      <c r="JH60" s="215"/>
      <c r="JI60" s="215"/>
      <c r="JJ60" s="215"/>
      <c r="JK60" s="215"/>
      <c r="JL60" s="215"/>
      <c r="JM60" s="215"/>
      <c r="JN60" s="215"/>
      <c r="JO60" s="215"/>
      <c r="JP60" s="215"/>
      <c r="JQ60" s="215"/>
      <c r="JR60" s="215"/>
      <c r="JS60" s="215"/>
      <c r="JT60" s="215"/>
      <c r="JU60" s="215"/>
      <c r="JV60" s="215"/>
      <c r="JW60" s="215"/>
      <c r="JX60" s="215"/>
      <c r="JY60" s="215"/>
      <c r="JZ60" s="215"/>
      <c r="KA60" s="215"/>
      <c r="KB60" s="215"/>
      <c r="KC60" s="215"/>
      <c r="KD60" s="215"/>
      <c r="KE60" s="215"/>
      <c r="KF60" s="215"/>
      <c r="KG60" s="215"/>
      <c r="KH60" s="215"/>
      <c r="KI60" s="215"/>
      <c r="KJ60" s="215"/>
      <c r="KK60" s="215"/>
      <c r="KL60" s="215"/>
      <c r="KM60" s="215"/>
      <c r="KN60" s="215"/>
      <c r="KO60" s="215"/>
      <c r="KP60" s="215"/>
      <c r="KQ60" s="215"/>
      <c r="KR60" s="215"/>
      <c r="KS60" s="215"/>
      <c r="KT60" s="215"/>
      <c r="KU60" s="215"/>
      <c r="KV60" s="215"/>
      <c r="KW60" s="215"/>
      <c r="KX60" s="215"/>
      <c r="KY60" s="215"/>
      <c r="KZ60" s="215"/>
      <c r="LA60" s="215"/>
      <c r="LB60" s="215"/>
      <c r="LC60" s="215"/>
      <c r="LD60" s="215"/>
      <c r="LE60" s="215"/>
      <c r="LF60" s="215"/>
      <c r="LG60" s="215"/>
      <c r="LH60" s="215"/>
      <c r="LI60" s="215"/>
      <c r="LJ60" s="215"/>
      <c r="LK60" s="215"/>
    </row>
    <row r="61" spans="1:323" s="232" customFormat="1" ht="30" hidden="1" customHeight="1" x14ac:dyDescent="0.25">
      <c r="A61" s="289">
        <f t="shared" si="87"/>
        <v>10</v>
      </c>
      <c r="B61" s="11"/>
      <c r="C61" s="290"/>
      <c r="D61" s="10"/>
      <c r="E61" s="291"/>
      <c r="F61" s="291"/>
      <c r="G61" s="292">
        <f>$P$10-$P$18</f>
        <v>0</v>
      </c>
      <c r="H61" s="291" t="e">
        <f>+D61*E61*F61*(G61-#REF!)</f>
        <v>#REF!</v>
      </c>
      <c r="I61" s="291">
        <f>+IF(+AND(E61&gt;0.3,E61&lt;=0.75,F61&gt;0.3),($D61*($E61+$F61)*2*($G61-#REF!)),0)</f>
        <v>0</v>
      </c>
      <c r="J61" s="291">
        <f>+IF(+AND(E61&gt;0.3,E61&lt;=0.75,F61&lt;=0.3),($D61*($E61+$F61)*2*($G61-#REF!)),0)</f>
        <v>0</v>
      </c>
      <c r="K61" s="291">
        <f>+IF(+AND(E61&gt;0.75,E61&lt;=1.2,F61&gt;0),($D61*($E61+$F61)*2*($G61-#REF!)),0)</f>
        <v>0</v>
      </c>
      <c r="L61" s="291">
        <f>+IF(+AND(E61&gt;1.2,F61&gt;0),($D61*($E61+$F61)*2*($G61-#REF!)),0)</f>
        <v>0</v>
      </c>
      <c r="M61" s="291">
        <f t="shared" si="65"/>
        <v>0</v>
      </c>
      <c r="N61" s="291">
        <f>ROUNDUP(E61/0.6,0)*ROUNDUP(G61/0.6,0)*D61</f>
        <v>0</v>
      </c>
      <c r="O61" s="291">
        <f t="shared" si="66"/>
        <v>0</v>
      </c>
      <c r="P61" s="291">
        <f t="shared" si="66"/>
        <v>0</v>
      </c>
      <c r="Q61" s="291">
        <f t="shared" si="66"/>
        <v>0</v>
      </c>
      <c r="R61" s="291">
        <f t="shared" si="67"/>
        <v>4</v>
      </c>
      <c r="S61" s="291">
        <f t="shared" si="68"/>
        <v>0</v>
      </c>
      <c r="T61" s="291">
        <f t="shared" si="69"/>
        <v>0</v>
      </c>
      <c r="U61" s="291">
        <f t="shared" si="70"/>
        <v>0</v>
      </c>
      <c r="V61" s="291">
        <f t="shared" si="71"/>
        <v>0</v>
      </c>
      <c r="W61" s="291">
        <f t="shared" si="72"/>
        <v>0</v>
      </c>
      <c r="X61" s="291">
        <f t="shared" si="86"/>
        <v>0</v>
      </c>
      <c r="Y61" s="291">
        <f t="shared" si="74"/>
        <v>0</v>
      </c>
      <c r="Z61" s="291">
        <f t="shared" si="75"/>
        <v>0</v>
      </c>
      <c r="AA61" s="291">
        <f t="shared" si="76"/>
        <v>0</v>
      </c>
      <c r="AB61" s="291">
        <f t="shared" si="76"/>
        <v>0</v>
      </c>
      <c r="AC61" s="291">
        <f t="shared" si="77"/>
        <v>7.7</v>
      </c>
      <c r="AD61" s="291">
        <f t="shared" si="78"/>
        <v>0</v>
      </c>
      <c r="AE61" s="291">
        <f t="shared" si="79"/>
        <v>0</v>
      </c>
      <c r="AF61" s="291">
        <f t="shared" si="80"/>
        <v>0</v>
      </c>
      <c r="AG61" s="291">
        <f t="shared" si="81"/>
        <v>0</v>
      </c>
      <c r="AH61" s="291">
        <f t="shared" si="82"/>
        <v>0</v>
      </c>
      <c r="AI61" s="291">
        <f t="shared" si="83"/>
        <v>0</v>
      </c>
      <c r="AJ61" s="291">
        <f t="shared" si="84"/>
        <v>0</v>
      </c>
      <c r="AL61" s="232">
        <f>+ROUNDUP((D61)/4,0)</f>
        <v>0</v>
      </c>
      <c r="AM61" s="293">
        <f t="shared" si="85"/>
        <v>0</v>
      </c>
      <c r="AN61" s="215"/>
      <c r="AO61" s="215">
        <v>0.6</v>
      </c>
      <c r="AP61" s="215"/>
      <c r="AQ61" s="215"/>
      <c r="AR61" s="215"/>
      <c r="AS61" s="215"/>
      <c r="AT61" s="215"/>
      <c r="AU61" s="215"/>
      <c r="AV61" s="215"/>
      <c r="AW61" s="215"/>
      <c r="AX61" s="215"/>
      <c r="AY61" s="215"/>
      <c r="AZ61" s="291"/>
      <c r="BA61" s="215"/>
      <c r="BB61" s="215"/>
      <c r="BC61" s="215"/>
      <c r="BD61" s="215"/>
      <c r="BE61" s="215"/>
      <c r="BF61" s="215"/>
      <c r="BG61" s="215"/>
      <c r="BH61" s="215"/>
      <c r="BI61" s="215"/>
      <c r="BJ61" s="215"/>
      <c r="BK61" s="215"/>
      <c r="BL61" s="215"/>
      <c r="BM61" s="215"/>
      <c r="BN61" s="215"/>
      <c r="BO61" s="215"/>
      <c r="BP61" s="215"/>
      <c r="BQ61" s="215"/>
      <c r="BR61" s="215"/>
      <c r="BS61" s="215"/>
      <c r="BT61" s="215"/>
      <c r="BU61" s="215"/>
      <c r="BV61" s="215"/>
      <c r="BW61" s="215"/>
      <c r="BX61" s="215"/>
      <c r="BY61" s="215"/>
      <c r="BZ61" s="215"/>
      <c r="CA61" s="215"/>
      <c r="CB61" s="215"/>
      <c r="CC61" s="215"/>
      <c r="CD61" s="215"/>
      <c r="CE61" s="215"/>
      <c r="CF61" s="215"/>
      <c r="CG61" s="215"/>
      <c r="CH61" s="215"/>
      <c r="CI61" s="215"/>
      <c r="CJ61" s="215"/>
      <c r="CK61" s="215"/>
      <c r="CL61" s="215"/>
      <c r="CM61" s="215"/>
      <c r="CN61" s="215"/>
      <c r="CO61" s="215"/>
      <c r="CP61" s="215"/>
      <c r="CQ61" s="215"/>
      <c r="CR61" s="215"/>
      <c r="CS61" s="215"/>
      <c r="CT61" s="215"/>
      <c r="CU61" s="215"/>
      <c r="CV61" s="215"/>
      <c r="CW61" s="215"/>
      <c r="CX61" s="215"/>
      <c r="CY61" s="215"/>
      <c r="CZ61" s="215"/>
      <c r="DA61" s="215"/>
      <c r="DB61" s="215"/>
      <c r="DC61" s="215"/>
      <c r="DD61" s="215"/>
      <c r="DE61" s="215"/>
      <c r="DF61" s="215"/>
      <c r="DG61" s="215"/>
      <c r="DH61" s="215"/>
      <c r="DI61" s="215"/>
      <c r="DJ61" s="215"/>
      <c r="DK61" s="215"/>
      <c r="DL61" s="215"/>
      <c r="DM61" s="215"/>
      <c r="DN61" s="215"/>
      <c r="DO61" s="215"/>
      <c r="DP61" s="215"/>
      <c r="DQ61" s="215"/>
      <c r="DR61" s="215"/>
      <c r="DS61" s="215"/>
      <c r="DT61" s="215"/>
      <c r="DU61" s="215"/>
      <c r="DV61" s="215"/>
      <c r="DW61" s="215"/>
      <c r="DX61" s="215"/>
      <c r="DY61" s="215"/>
      <c r="DZ61" s="215"/>
      <c r="EA61" s="215"/>
      <c r="EB61" s="215"/>
      <c r="EC61" s="215"/>
      <c r="ED61" s="215"/>
      <c r="EE61" s="215"/>
      <c r="EF61" s="215"/>
      <c r="EG61" s="215"/>
      <c r="EH61" s="215"/>
      <c r="EI61" s="215"/>
      <c r="EJ61" s="215"/>
      <c r="EK61" s="215"/>
      <c r="EL61" s="215"/>
      <c r="EM61" s="215"/>
      <c r="EN61" s="215"/>
      <c r="EO61" s="215"/>
      <c r="EP61" s="215"/>
      <c r="EQ61" s="215"/>
      <c r="ER61" s="215"/>
      <c r="ES61" s="215"/>
      <c r="ET61" s="215"/>
      <c r="EU61" s="215"/>
      <c r="EV61" s="215"/>
      <c r="EW61" s="215"/>
      <c r="EX61" s="215"/>
      <c r="EY61" s="215"/>
      <c r="EZ61" s="215"/>
      <c r="FA61" s="215"/>
      <c r="FB61" s="215"/>
      <c r="FC61" s="215"/>
      <c r="FD61" s="215"/>
      <c r="FE61" s="215"/>
      <c r="FF61" s="215"/>
      <c r="FG61" s="215"/>
      <c r="FH61" s="215"/>
      <c r="FI61" s="215"/>
      <c r="FJ61" s="215"/>
      <c r="FK61" s="215"/>
      <c r="FL61" s="215"/>
      <c r="FM61" s="215"/>
      <c r="FN61" s="215"/>
      <c r="FO61" s="215"/>
      <c r="FP61" s="215"/>
      <c r="FQ61" s="215"/>
      <c r="FR61" s="215"/>
      <c r="FS61" s="215"/>
      <c r="FT61" s="215"/>
      <c r="FU61" s="215"/>
      <c r="FV61" s="215"/>
      <c r="FW61" s="215"/>
      <c r="FX61" s="215"/>
      <c r="FY61" s="215"/>
      <c r="FZ61" s="215"/>
      <c r="GA61" s="215"/>
      <c r="GB61" s="215"/>
      <c r="GC61" s="215"/>
      <c r="GD61" s="215"/>
      <c r="GE61" s="215"/>
      <c r="GF61" s="215"/>
      <c r="GG61" s="215"/>
      <c r="GH61" s="215"/>
      <c r="GI61" s="215"/>
      <c r="GJ61" s="215"/>
      <c r="GK61" s="215"/>
      <c r="GL61" s="215"/>
      <c r="GM61" s="215"/>
      <c r="GN61" s="215"/>
      <c r="GO61" s="215"/>
      <c r="GP61" s="215"/>
      <c r="GQ61" s="215"/>
      <c r="GR61" s="215"/>
      <c r="GS61" s="215"/>
      <c r="GT61" s="215"/>
      <c r="GU61" s="215"/>
      <c r="GV61" s="215"/>
      <c r="GW61" s="215"/>
      <c r="GX61" s="215"/>
      <c r="GY61" s="215"/>
      <c r="GZ61" s="215"/>
      <c r="HA61" s="215"/>
      <c r="HB61" s="215"/>
      <c r="HC61" s="215"/>
      <c r="HD61" s="215"/>
      <c r="HE61" s="215"/>
      <c r="HF61" s="215"/>
      <c r="HG61" s="215"/>
      <c r="HH61" s="215"/>
      <c r="HI61" s="215"/>
      <c r="HJ61" s="215"/>
      <c r="HK61" s="215"/>
      <c r="HL61" s="215"/>
      <c r="HM61" s="215"/>
      <c r="HN61" s="215"/>
      <c r="HO61" s="215"/>
      <c r="HP61" s="215"/>
      <c r="HQ61" s="215"/>
      <c r="HR61" s="215"/>
      <c r="HS61" s="215"/>
      <c r="HT61" s="215"/>
      <c r="HU61" s="215"/>
      <c r="HV61" s="215"/>
      <c r="HW61" s="215"/>
      <c r="HX61" s="215"/>
      <c r="HY61" s="215"/>
      <c r="HZ61" s="215"/>
      <c r="IA61" s="215"/>
      <c r="IB61" s="215"/>
      <c r="IC61" s="215"/>
      <c r="ID61" s="215"/>
      <c r="IE61" s="215"/>
      <c r="IF61" s="215"/>
      <c r="IG61" s="215"/>
      <c r="IH61" s="215"/>
      <c r="II61" s="215"/>
      <c r="IJ61" s="215"/>
      <c r="IK61" s="215"/>
      <c r="IL61" s="215"/>
      <c r="IM61" s="215"/>
      <c r="IN61" s="215"/>
      <c r="IO61" s="215"/>
      <c r="IP61" s="215"/>
      <c r="IQ61" s="215"/>
      <c r="IR61" s="215"/>
      <c r="IS61" s="215"/>
      <c r="IT61" s="215"/>
      <c r="IU61" s="215"/>
      <c r="IV61" s="215"/>
      <c r="IW61" s="215"/>
      <c r="IX61" s="215"/>
      <c r="IY61" s="215"/>
      <c r="IZ61" s="215"/>
      <c r="JA61" s="215"/>
      <c r="JB61" s="215"/>
      <c r="JC61" s="215"/>
      <c r="JD61" s="215"/>
      <c r="JE61" s="215"/>
      <c r="JF61" s="215"/>
      <c r="JG61" s="215"/>
      <c r="JH61" s="215"/>
      <c r="JI61" s="215"/>
      <c r="JJ61" s="215"/>
      <c r="JK61" s="215"/>
      <c r="JL61" s="215"/>
      <c r="JM61" s="215"/>
      <c r="JN61" s="215"/>
      <c r="JO61" s="215"/>
      <c r="JP61" s="215"/>
      <c r="JQ61" s="215"/>
      <c r="JR61" s="215"/>
      <c r="JS61" s="215"/>
      <c r="JT61" s="215"/>
      <c r="JU61" s="215"/>
      <c r="JV61" s="215"/>
      <c r="JW61" s="215"/>
      <c r="JX61" s="215"/>
      <c r="JY61" s="215"/>
      <c r="JZ61" s="215"/>
      <c r="KA61" s="215"/>
      <c r="KB61" s="215"/>
      <c r="KC61" s="215"/>
      <c r="KD61" s="215"/>
      <c r="KE61" s="215"/>
      <c r="KF61" s="215"/>
      <c r="KG61" s="215"/>
      <c r="KH61" s="215"/>
      <c r="KI61" s="215"/>
      <c r="KJ61" s="215"/>
      <c r="KK61" s="215"/>
      <c r="KL61" s="215"/>
      <c r="KM61" s="215"/>
      <c r="KN61" s="215"/>
      <c r="KO61" s="215"/>
      <c r="KP61" s="215"/>
      <c r="KQ61" s="215"/>
      <c r="KR61" s="215"/>
      <c r="KS61" s="215"/>
      <c r="KT61" s="215"/>
      <c r="KU61" s="215"/>
      <c r="KV61" s="215"/>
      <c r="KW61" s="215"/>
      <c r="KX61" s="215"/>
      <c r="KY61" s="215"/>
      <c r="KZ61" s="215"/>
      <c r="LA61" s="215"/>
      <c r="LB61" s="215"/>
      <c r="LC61" s="215"/>
      <c r="LD61" s="215"/>
      <c r="LE61" s="215"/>
      <c r="LF61" s="215"/>
      <c r="LG61" s="215"/>
      <c r="LH61" s="215"/>
      <c r="LI61" s="215"/>
      <c r="LJ61" s="215"/>
      <c r="LK61" s="215"/>
    </row>
    <row r="62" spans="1:323" s="232" customFormat="1" ht="30" hidden="1" customHeight="1" x14ac:dyDescent="0.25">
      <c r="A62" s="289"/>
      <c r="B62" s="11"/>
      <c r="C62" s="290"/>
      <c r="D62" s="10"/>
      <c r="E62" s="291"/>
      <c r="F62" s="291"/>
      <c r="G62" s="292"/>
      <c r="H62" s="291"/>
      <c r="I62" s="291"/>
      <c r="J62" s="291"/>
      <c r="K62" s="291"/>
      <c r="L62" s="291"/>
      <c r="M62" s="291"/>
      <c r="N62" s="291"/>
      <c r="O62" s="291"/>
      <c r="P62" s="291"/>
      <c r="Q62" s="291"/>
      <c r="R62" s="291"/>
      <c r="S62" s="291"/>
      <c r="T62" s="291"/>
      <c r="U62" s="291"/>
      <c r="V62" s="291"/>
      <c r="W62" s="291"/>
      <c r="X62" s="291"/>
      <c r="Y62" s="291"/>
      <c r="Z62" s="291"/>
      <c r="AA62" s="291"/>
      <c r="AB62" s="291"/>
      <c r="AC62" s="291"/>
      <c r="AD62" s="291"/>
      <c r="AE62" s="291"/>
      <c r="AF62" s="291"/>
      <c r="AG62" s="291"/>
      <c r="AH62" s="291"/>
      <c r="AI62" s="291"/>
      <c r="AJ62" s="291"/>
      <c r="AM62" s="293"/>
      <c r="AN62" s="215"/>
      <c r="AO62" s="215"/>
      <c r="AP62" s="215"/>
      <c r="AQ62" s="215"/>
      <c r="AR62" s="215"/>
      <c r="AS62" s="215"/>
      <c r="AT62" s="215"/>
      <c r="AU62" s="215"/>
      <c r="AV62" s="215"/>
      <c r="AW62" s="215"/>
      <c r="AX62" s="215"/>
      <c r="AY62" s="215"/>
      <c r="AZ62" s="291"/>
      <c r="BA62" s="215"/>
      <c r="BB62" s="215"/>
      <c r="BC62" s="215"/>
      <c r="BD62" s="215"/>
      <c r="BE62" s="215"/>
      <c r="BF62" s="215"/>
      <c r="BG62" s="215"/>
      <c r="BH62" s="215"/>
      <c r="BI62" s="215"/>
      <c r="BJ62" s="215"/>
      <c r="BK62" s="215"/>
      <c r="BL62" s="215"/>
      <c r="BM62" s="215"/>
      <c r="BN62" s="215"/>
      <c r="BO62" s="215"/>
      <c r="BP62" s="215"/>
      <c r="BQ62" s="215"/>
      <c r="BR62" s="215"/>
      <c r="BS62" s="215"/>
      <c r="BT62" s="215"/>
      <c r="BU62" s="215"/>
      <c r="BV62" s="215"/>
      <c r="BW62" s="215"/>
      <c r="BX62" s="215"/>
      <c r="BY62" s="215"/>
      <c r="BZ62" s="215"/>
      <c r="CA62" s="215"/>
      <c r="CB62" s="215"/>
      <c r="CC62" s="215"/>
      <c r="CD62" s="215"/>
      <c r="CE62" s="215"/>
      <c r="CF62" s="215"/>
      <c r="CG62" s="215"/>
      <c r="CH62" s="215"/>
      <c r="CI62" s="215"/>
      <c r="CJ62" s="215"/>
      <c r="CK62" s="215"/>
      <c r="CL62" s="215"/>
      <c r="CM62" s="215"/>
      <c r="CN62" s="215"/>
      <c r="CO62" s="215"/>
      <c r="CP62" s="215"/>
      <c r="CQ62" s="215"/>
      <c r="CR62" s="215"/>
      <c r="CS62" s="215"/>
      <c r="CT62" s="215"/>
      <c r="CU62" s="215"/>
      <c r="CV62" s="215"/>
      <c r="CW62" s="215"/>
      <c r="CX62" s="215"/>
      <c r="CY62" s="215"/>
      <c r="CZ62" s="215"/>
      <c r="DA62" s="215"/>
      <c r="DB62" s="215"/>
      <c r="DC62" s="215"/>
      <c r="DD62" s="215"/>
      <c r="DE62" s="215"/>
      <c r="DF62" s="215"/>
      <c r="DG62" s="215"/>
      <c r="DH62" s="215"/>
      <c r="DI62" s="215"/>
      <c r="DJ62" s="215"/>
      <c r="DK62" s="215"/>
      <c r="DL62" s="215"/>
      <c r="DM62" s="215"/>
      <c r="DN62" s="215"/>
      <c r="DO62" s="215"/>
      <c r="DP62" s="215"/>
      <c r="DQ62" s="215"/>
      <c r="DR62" s="215"/>
      <c r="DS62" s="215"/>
      <c r="DT62" s="215"/>
      <c r="DU62" s="215"/>
      <c r="DV62" s="215"/>
      <c r="DW62" s="215"/>
      <c r="DX62" s="215"/>
      <c r="DY62" s="215"/>
      <c r="DZ62" s="215"/>
      <c r="EA62" s="215"/>
      <c r="EB62" s="215"/>
      <c r="EC62" s="215"/>
      <c r="ED62" s="215"/>
      <c r="EE62" s="215"/>
      <c r="EF62" s="215"/>
      <c r="EG62" s="215"/>
      <c r="EH62" s="215"/>
      <c r="EI62" s="215"/>
      <c r="EJ62" s="215"/>
      <c r="EK62" s="215"/>
      <c r="EL62" s="215"/>
      <c r="EM62" s="215"/>
      <c r="EN62" s="215"/>
      <c r="EO62" s="215"/>
      <c r="EP62" s="215"/>
      <c r="EQ62" s="215"/>
      <c r="ER62" s="215"/>
      <c r="ES62" s="215"/>
      <c r="ET62" s="215"/>
      <c r="EU62" s="215"/>
      <c r="EV62" s="215"/>
      <c r="EW62" s="215"/>
      <c r="EX62" s="215"/>
      <c r="EY62" s="215"/>
      <c r="EZ62" s="215"/>
      <c r="FA62" s="215"/>
      <c r="FB62" s="215"/>
      <c r="FC62" s="215"/>
      <c r="FD62" s="215"/>
      <c r="FE62" s="215"/>
      <c r="FF62" s="215"/>
      <c r="FG62" s="215"/>
      <c r="FH62" s="215"/>
      <c r="FI62" s="215"/>
      <c r="FJ62" s="215"/>
      <c r="FK62" s="215"/>
      <c r="FL62" s="215"/>
      <c r="FM62" s="215"/>
      <c r="FN62" s="215"/>
      <c r="FO62" s="215"/>
      <c r="FP62" s="215"/>
      <c r="FQ62" s="215"/>
      <c r="FR62" s="215"/>
      <c r="FS62" s="215"/>
      <c r="FT62" s="215"/>
      <c r="FU62" s="215"/>
      <c r="FV62" s="215"/>
      <c r="FW62" s="215"/>
      <c r="FX62" s="215"/>
      <c r="FY62" s="215"/>
      <c r="FZ62" s="215"/>
      <c r="GA62" s="215"/>
      <c r="GB62" s="215"/>
      <c r="GC62" s="215"/>
      <c r="GD62" s="215"/>
      <c r="GE62" s="215"/>
      <c r="GF62" s="215"/>
      <c r="GG62" s="215"/>
      <c r="GH62" s="215"/>
      <c r="GI62" s="215"/>
      <c r="GJ62" s="215"/>
      <c r="GK62" s="215"/>
      <c r="GL62" s="215"/>
      <c r="GM62" s="215"/>
      <c r="GN62" s="215"/>
      <c r="GO62" s="215"/>
      <c r="GP62" s="215"/>
      <c r="GQ62" s="215"/>
      <c r="GR62" s="215"/>
      <c r="GS62" s="215"/>
      <c r="GT62" s="215"/>
      <c r="GU62" s="215"/>
      <c r="GV62" s="215"/>
      <c r="GW62" s="215"/>
      <c r="GX62" s="215"/>
      <c r="GY62" s="215"/>
      <c r="GZ62" s="215"/>
      <c r="HA62" s="215"/>
      <c r="HB62" s="215"/>
      <c r="HC62" s="215"/>
      <c r="HD62" s="215"/>
      <c r="HE62" s="215"/>
      <c r="HF62" s="215"/>
      <c r="HG62" s="215"/>
      <c r="HH62" s="215"/>
      <c r="HI62" s="215"/>
      <c r="HJ62" s="215"/>
      <c r="HK62" s="215"/>
      <c r="HL62" s="215"/>
      <c r="HM62" s="215"/>
      <c r="HN62" s="215"/>
      <c r="HO62" s="215"/>
      <c r="HP62" s="215"/>
      <c r="HQ62" s="215"/>
      <c r="HR62" s="215"/>
      <c r="HS62" s="215"/>
      <c r="HT62" s="215"/>
      <c r="HU62" s="215"/>
      <c r="HV62" s="215"/>
      <c r="HW62" s="215"/>
      <c r="HX62" s="215"/>
      <c r="HY62" s="215"/>
      <c r="HZ62" s="215"/>
      <c r="IA62" s="215"/>
      <c r="IB62" s="215"/>
      <c r="IC62" s="215"/>
      <c r="ID62" s="215"/>
      <c r="IE62" s="215"/>
      <c r="IF62" s="215"/>
      <c r="IG62" s="215"/>
      <c r="IH62" s="215"/>
      <c r="II62" s="215"/>
      <c r="IJ62" s="215"/>
      <c r="IK62" s="215"/>
      <c r="IL62" s="215"/>
      <c r="IM62" s="215"/>
      <c r="IN62" s="215"/>
      <c r="IO62" s="215"/>
      <c r="IP62" s="215"/>
      <c r="IQ62" s="215"/>
      <c r="IR62" s="215"/>
      <c r="IS62" s="215"/>
      <c r="IT62" s="215"/>
      <c r="IU62" s="215"/>
      <c r="IV62" s="215"/>
      <c r="IW62" s="215"/>
      <c r="IX62" s="215"/>
      <c r="IY62" s="215"/>
      <c r="IZ62" s="215"/>
      <c r="JA62" s="215"/>
      <c r="JB62" s="215"/>
      <c r="JC62" s="215"/>
      <c r="JD62" s="215"/>
      <c r="JE62" s="215"/>
      <c r="JF62" s="215"/>
      <c r="JG62" s="215"/>
      <c r="JH62" s="215"/>
      <c r="JI62" s="215"/>
      <c r="JJ62" s="215"/>
      <c r="JK62" s="215"/>
      <c r="JL62" s="215"/>
      <c r="JM62" s="215"/>
      <c r="JN62" s="215"/>
      <c r="JO62" s="215"/>
      <c r="JP62" s="215"/>
      <c r="JQ62" s="215"/>
      <c r="JR62" s="215"/>
      <c r="JS62" s="215"/>
      <c r="JT62" s="215"/>
      <c r="JU62" s="215"/>
      <c r="JV62" s="215"/>
      <c r="JW62" s="215"/>
      <c r="JX62" s="215"/>
      <c r="JY62" s="215"/>
      <c r="JZ62" s="215"/>
      <c r="KA62" s="215"/>
      <c r="KB62" s="215"/>
      <c r="KC62" s="215"/>
      <c r="KD62" s="215"/>
      <c r="KE62" s="215"/>
      <c r="KF62" s="215"/>
      <c r="KG62" s="215"/>
      <c r="KH62" s="215"/>
      <c r="KI62" s="215"/>
      <c r="KJ62" s="215"/>
      <c r="KK62" s="215"/>
      <c r="KL62" s="215"/>
      <c r="KM62" s="215"/>
      <c r="KN62" s="215"/>
      <c r="KO62" s="215"/>
      <c r="KP62" s="215"/>
      <c r="KQ62" s="215"/>
      <c r="KR62" s="215"/>
      <c r="KS62" s="215"/>
      <c r="KT62" s="215"/>
      <c r="KU62" s="215"/>
      <c r="KV62" s="215"/>
      <c r="KW62" s="215"/>
      <c r="KX62" s="215"/>
      <c r="KY62" s="215"/>
      <c r="KZ62" s="215"/>
      <c r="LA62" s="215"/>
      <c r="LB62" s="215"/>
      <c r="LC62" s="215"/>
      <c r="LD62" s="215"/>
      <c r="LE62" s="215"/>
      <c r="LF62" s="215"/>
      <c r="LG62" s="215"/>
      <c r="LH62" s="215"/>
      <c r="LI62" s="215"/>
      <c r="LJ62" s="215"/>
      <c r="LK62" s="215"/>
    </row>
    <row r="63" spans="1:323" s="232" customFormat="1" ht="30" hidden="1" customHeight="1" x14ac:dyDescent="0.25">
      <c r="A63" s="289"/>
      <c r="B63" s="11"/>
      <c r="C63" s="290"/>
      <c r="D63" s="10"/>
      <c r="E63" s="291"/>
      <c r="F63" s="291"/>
      <c r="G63" s="292"/>
      <c r="H63" s="291"/>
      <c r="I63" s="291"/>
      <c r="J63" s="291"/>
      <c r="K63" s="291"/>
      <c r="L63" s="291"/>
      <c r="M63" s="291"/>
      <c r="N63" s="291"/>
      <c r="O63" s="291"/>
      <c r="P63" s="291"/>
      <c r="Q63" s="291"/>
      <c r="R63" s="291"/>
      <c r="S63" s="291"/>
      <c r="T63" s="291"/>
      <c r="U63" s="291"/>
      <c r="V63" s="291"/>
      <c r="W63" s="291"/>
      <c r="X63" s="291"/>
      <c r="Y63" s="291"/>
      <c r="Z63" s="291"/>
      <c r="AA63" s="291"/>
      <c r="AB63" s="291"/>
      <c r="AC63" s="291"/>
      <c r="AD63" s="291"/>
      <c r="AE63" s="291"/>
      <c r="AF63" s="291"/>
      <c r="AG63" s="291"/>
      <c r="AH63" s="291"/>
      <c r="AI63" s="291"/>
      <c r="AJ63" s="291"/>
      <c r="AM63" s="293"/>
      <c r="AN63" s="215"/>
      <c r="AO63" s="215"/>
      <c r="AP63" s="215"/>
      <c r="AQ63" s="215"/>
      <c r="AR63" s="215"/>
      <c r="AS63" s="215"/>
      <c r="AT63" s="215"/>
      <c r="AU63" s="215"/>
      <c r="AV63" s="215"/>
      <c r="AW63" s="215"/>
      <c r="AX63" s="215"/>
      <c r="AY63" s="215"/>
      <c r="AZ63" s="291"/>
      <c r="BA63" s="215"/>
      <c r="BB63" s="215"/>
      <c r="BC63" s="215"/>
      <c r="BD63" s="215"/>
      <c r="BE63" s="215"/>
      <c r="BF63" s="215"/>
      <c r="BG63" s="215"/>
      <c r="BH63" s="215"/>
      <c r="BI63" s="215"/>
      <c r="BJ63" s="215"/>
      <c r="BK63" s="215"/>
      <c r="BL63" s="215"/>
      <c r="BM63" s="215"/>
      <c r="BN63" s="215"/>
      <c r="BO63" s="215"/>
      <c r="BP63" s="215"/>
      <c r="BQ63" s="215"/>
      <c r="BR63" s="215"/>
      <c r="BS63" s="215"/>
      <c r="BT63" s="215"/>
      <c r="BU63" s="215"/>
      <c r="BV63" s="215"/>
      <c r="BW63" s="215"/>
      <c r="BX63" s="215"/>
      <c r="BY63" s="215"/>
      <c r="BZ63" s="215"/>
      <c r="CA63" s="215"/>
      <c r="CB63" s="215"/>
      <c r="CC63" s="215"/>
      <c r="CD63" s="215"/>
      <c r="CE63" s="215"/>
      <c r="CF63" s="215"/>
      <c r="CG63" s="215"/>
      <c r="CH63" s="215"/>
      <c r="CI63" s="215"/>
      <c r="CJ63" s="215"/>
      <c r="CK63" s="215"/>
      <c r="CL63" s="215"/>
      <c r="CM63" s="215"/>
      <c r="CN63" s="215"/>
      <c r="CO63" s="215"/>
      <c r="CP63" s="215"/>
      <c r="CQ63" s="215"/>
      <c r="CR63" s="215"/>
      <c r="CS63" s="215"/>
      <c r="CT63" s="215"/>
      <c r="CU63" s="215"/>
      <c r="CV63" s="215"/>
      <c r="CW63" s="215"/>
      <c r="CX63" s="215"/>
      <c r="CY63" s="215"/>
      <c r="CZ63" s="215"/>
      <c r="DA63" s="215"/>
      <c r="DB63" s="215"/>
      <c r="DC63" s="215"/>
      <c r="DD63" s="215"/>
      <c r="DE63" s="215"/>
      <c r="DF63" s="215"/>
      <c r="DG63" s="215"/>
      <c r="DH63" s="215"/>
      <c r="DI63" s="215"/>
      <c r="DJ63" s="215"/>
      <c r="DK63" s="215"/>
      <c r="DL63" s="215"/>
      <c r="DM63" s="215"/>
      <c r="DN63" s="215"/>
      <c r="DO63" s="215"/>
      <c r="DP63" s="215"/>
      <c r="DQ63" s="215"/>
      <c r="DR63" s="215"/>
      <c r="DS63" s="215"/>
      <c r="DT63" s="215"/>
      <c r="DU63" s="215"/>
      <c r="DV63" s="215"/>
      <c r="DW63" s="215"/>
      <c r="DX63" s="215"/>
      <c r="DY63" s="215"/>
      <c r="DZ63" s="215"/>
      <c r="EA63" s="215"/>
      <c r="EB63" s="215"/>
      <c r="EC63" s="215"/>
      <c r="ED63" s="215"/>
      <c r="EE63" s="215"/>
      <c r="EF63" s="215"/>
      <c r="EG63" s="215"/>
      <c r="EH63" s="215"/>
      <c r="EI63" s="215"/>
      <c r="EJ63" s="215"/>
      <c r="EK63" s="215"/>
      <c r="EL63" s="215"/>
      <c r="EM63" s="215"/>
      <c r="EN63" s="215"/>
      <c r="EO63" s="215"/>
      <c r="EP63" s="215"/>
      <c r="EQ63" s="215"/>
      <c r="ER63" s="215"/>
      <c r="ES63" s="215"/>
      <c r="ET63" s="215"/>
      <c r="EU63" s="215"/>
      <c r="EV63" s="215"/>
      <c r="EW63" s="215"/>
      <c r="EX63" s="215"/>
      <c r="EY63" s="215"/>
      <c r="EZ63" s="215"/>
      <c r="FA63" s="215"/>
      <c r="FB63" s="215"/>
      <c r="FC63" s="215"/>
      <c r="FD63" s="215"/>
      <c r="FE63" s="215"/>
      <c r="FF63" s="215"/>
      <c r="FG63" s="215"/>
      <c r="FH63" s="215"/>
      <c r="FI63" s="215"/>
      <c r="FJ63" s="215"/>
      <c r="FK63" s="215"/>
      <c r="FL63" s="215"/>
      <c r="FM63" s="215"/>
      <c r="FN63" s="215"/>
      <c r="FO63" s="215"/>
      <c r="FP63" s="215"/>
      <c r="FQ63" s="215"/>
      <c r="FR63" s="215"/>
      <c r="FS63" s="215"/>
      <c r="FT63" s="215"/>
      <c r="FU63" s="215"/>
      <c r="FV63" s="215"/>
      <c r="FW63" s="215"/>
      <c r="FX63" s="215"/>
      <c r="FY63" s="215"/>
      <c r="FZ63" s="215"/>
      <c r="GA63" s="215"/>
      <c r="GB63" s="215"/>
      <c r="GC63" s="215"/>
      <c r="GD63" s="215"/>
      <c r="GE63" s="215"/>
      <c r="GF63" s="215"/>
      <c r="GG63" s="215"/>
      <c r="GH63" s="215"/>
      <c r="GI63" s="215"/>
      <c r="GJ63" s="215"/>
      <c r="GK63" s="215"/>
      <c r="GL63" s="215"/>
      <c r="GM63" s="215"/>
      <c r="GN63" s="215"/>
      <c r="GO63" s="215"/>
      <c r="GP63" s="215"/>
      <c r="GQ63" s="215"/>
      <c r="GR63" s="215"/>
      <c r="GS63" s="215"/>
      <c r="GT63" s="215"/>
      <c r="GU63" s="215"/>
      <c r="GV63" s="215"/>
      <c r="GW63" s="215"/>
      <c r="GX63" s="215"/>
      <c r="GY63" s="215"/>
      <c r="GZ63" s="215"/>
      <c r="HA63" s="215"/>
      <c r="HB63" s="215"/>
      <c r="HC63" s="215"/>
      <c r="HD63" s="215"/>
      <c r="HE63" s="215"/>
      <c r="HF63" s="215"/>
      <c r="HG63" s="215"/>
      <c r="HH63" s="215"/>
      <c r="HI63" s="215"/>
      <c r="HJ63" s="215"/>
      <c r="HK63" s="215"/>
      <c r="HL63" s="215"/>
      <c r="HM63" s="215"/>
      <c r="HN63" s="215"/>
      <c r="HO63" s="215"/>
      <c r="HP63" s="215"/>
      <c r="HQ63" s="215"/>
      <c r="HR63" s="215"/>
      <c r="HS63" s="215"/>
      <c r="HT63" s="215"/>
      <c r="HU63" s="215"/>
      <c r="HV63" s="215"/>
      <c r="HW63" s="215"/>
      <c r="HX63" s="215"/>
      <c r="HY63" s="215"/>
      <c r="HZ63" s="215"/>
      <c r="IA63" s="215"/>
      <c r="IB63" s="215"/>
      <c r="IC63" s="215"/>
      <c r="ID63" s="215"/>
      <c r="IE63" s="215"/>
      <c r="IF63" s="215"/>
      <c r="IG63" s="215"/>
      <c r="IH63" s="215"/>
      <c r="II63" s="215"/>
      <c r="IJ63" s="215"/>
      <c r="IK63" s="215"/>
      <c r="IL63" s="215"/>
      <c r="IM63" s="215"/>
      <c r="IN63" s="215"/>
      <c r="IO63" s="215"/>
      <c r="IP63" s="215"/>
      <c r="IQ63" s="215"/>
      <c r="IR63" s="215"/>
      <c r="IS63" s="215"/>
      <c r="IT63" s="215"/>
      <c r="IU63" s="215"/>
      <c r="IV63" s="215"/>
      <c r="IW63" s="215"/>
      <c r="IX63" s="215"/>
      <c r="IY63" s="215"/>
      <c r="IZ63" s="215"/>
      <c r="JA63" s="215"/>
      <c r="JB63" s="215"/>
      <c r="JC63" s="215"/>
      <c r="JD63" s="215"/>
      <c r="JE63" s="215"/>
      <c r="JF63" s="215"/>
      <c r="JG63" s="215"/>
      <c r="JH63" s="215"/>
      <c r="JI63" s="215"/>
      <c r="JJ63" s="215"/>
      <c r="JK63" s="215"/>
      <c r="JL63" s="215"/>
      <c r="JM63" s="215"/>
      <c r="JN63" s="215"/>
      <c r="JO63" s="215"/>
      <c r="JP63" s="215"/>
      <c r="JQ63" s="215"/>
      <c r="JR63" s="215"/>
      <c r="JS63" s="215"/>
      <c r="JT63" s="215"/>
      <c r="JU63" s="215"/>
      <c r="JV63" s="215"/>
      <c r="JW63" s="215"/>
      <c r="JX63" s="215"/>
      <c r="JY63" s="215"/>
      <c r="JZ63" s="215"/>
      <c r="KA63" s="215"/>
      <c r="KB63" s="215"/>
      <c r="KC63" s="215"/>
      <c r="KD63" s="215"/>
      <c r="KE63" s="215"/>
      <c r="KF63" s="215"/>
      <c r="KG63" s="215"/>
      <c r="KH63" s="215"/>
      <c r="KI63" s="215"/>
      <c r="KJ63" s="215"/>
      <c r="KK63" s="215"/>
      <c r="KL63" s="215"/>
      <c r="KM63" s="215"/>
      <c r="KN63" s="215"/>
      <c r="KO63" s="215"/>
      <c r="KP63" s="215"/>
      <c r="KQ63" s="215"/>
      <c r="KR63" s="215"/>
      <c r="KS63" s="215"/>
      <c r="KT63" s="215"/>
      <c r="KU63" s="215"/>
      <c r="KV63" s="215"/>
      <c r="KW63" s="215"/>
      <c r="KX63" s="215"/>
      <c r="KY63" s="215"/>
      <c r="KZ63" s="215"/>
      <c r="LA63" s="215"/>
      <c r="LB63" s="215"/>
      <c r="LC63" s="215"/>
      <c r="LD63" s="215"/>
      <c r="LE63" s="215"/>
      <c r="LF63" s="215"/>
      <c r="LG63" s="215"/>
      <c r="LH63" s="215"/>
      <c r="LI63" s="215"/>
      <c r="LJ63" s="215"/>
      <c r="LK63" s="215"/>
    </row>
    <row r="64" spans="1:323" s="256" customFormat="1" ht="30" hidden="1" customHeight="1" x14ac:dyDescent="0.25">
      <c r="A64" s="304"/>
      <c r="B64" s="355" t="s">
        <v>448</v>
      </c>
      <c r="C64" s="355"/>
      <c r="D64" s="305">
        <f>SUM(D58:D63)</f>
        <v>0</v>
      </c>
      <c r="E64" s="305"/>
      <c r="F64" s="305"/>
      <c r="G64" s="305"/>
      <c r="H64" s="305" t="e">
        <f t="shared" ref="H64:AM64" si="88">SUM(H58:H63)</f>
        <v>#REF!</v>
      </c>
      <c r="I64" s="305">
        <f t="shared" si="88"/>
        <v>0</v>
      </c>
      <c r="J64" s="305">
        <f t="shared" si="88"/>
        <v>0</v>
      </c>
      <c r="K64" s="305">
        <f t="shared" si="88"/>
        <v>0</v>
      </c>
      <c r="L64" s="305">
        <f t="shared" si="88"/>
        <v>0</v>
      </c>
      <c r="M64" s="305">
        <f t="shared" si="88"/>
        <v>0</v>
      </c>
      <c r="N64" s="305">
        <f t="shared" si="88"/>
        <v>0</v>
      </c>
      <c r="O64" s="305">
        <f t="shared" si="88"/>
        <v>0</v>
      </c>
      <c r="P64" s="305">
        <f t="shared" si="88"/>
        <v>0</v>
      </c>
      <c r="Q64" s="305">
        <f t="shared" si="88"/>
        <v>0</v>
      </c>
      <c r="R64" s="305">
        <f t="shared" si="88"/>
        <v>16</v>
      </c>
      <c r="S64" s="305">
        <f t="shared" si="88"/>
        <v>0</v>
      </c>
      <c r="T64" s="305">
        <f t="shared" si="88"/>
        <v>0</v>
      </c>
      <c r="U64" s="305">
        <f t="shared" si="88"/>
        <v>0</v>
      </c>
      <c r="V64" s="305">
        <f t="shared" si="88"/>
        <v>0</v>
      </c>
      <c r="W64" s="305">
        <f t="shared" si="88"/>
        <v>0</v>
      </c>
      <c r="X64" s="305">
        <f t="shared" si="88"/>
        <v>0</v>
      </c>
      <c r="Y64" s="305">
        <f t="shared" si="88"/>
        <v>0</v>
      </c>
      <c r="Z64" s="305">
        <f t="shared" si="88"/>
        <v>0</v>
      </c>
      <c r="AA64" s="305">
        <f t="shared" si="88"/>
        <v>0</v>
      </c>
      <c r="AB64" s="305">
        <f t="shared" si="88"/>
        <v>0</v>
      </c>
      <c r="AC64" s="305">
        <f t="shared" si="88"/>
        <v>30.8</v>
      </c>
      <c r="AD64" s="305">
        <f t="shared" si="88"/>
        <v>0</v>
      </c>
      <c r="AE64" s="305">
        <f t="shared" si="88"/>
        <v>0</v>
      </c>
      <c r="AF64" s="305">
        <f t="shared" si="88"/>
        <v>0</v>
      </c>
      <c r="AG64" s="305">
        <f t="shared" si="88"/>
        <v>0</v>
      </c>
      <c r="AH64" s="305">
        <f t="shared" si="88"/>
        <v>0</v>
      </c>
      <c r="AI64" s="305">
        <f t="shared" si="88"/>
        <v>0</v>
      </c>
      <c r="AJ64" s="305">
        <f t="shared" si="88"/>
        <v>0</v>
      </c>
      <c r="AK64" s="305">
        <f t="shared" si="88"/>
        <v>0</v>
      </c>
      <c r="AL64" s="305">
        <f t="shared" si="88"/>
        <v>0</v>
      </c>
      <c r="AM64" s="305">
        <f t="shared" si="88"/>
        <v>0</v>
      </c>
      <c r="AN64" s="297"/>
      <c r="AO64" s="297"/>
      <c r="AP64" s="297"/>
      <c r="AQ64" s="297" t="e">
        <f>SUM(H64:AM64)</f>
        <v>#REF!</v>
      </c>
      <c r="AR64" s="297"/>
      <c r="AS64" s="297"/>
      <c r="AT64" s="297"/>
      <c r="AU64" s="297"/>
      <c r="AV64" s="297"/>
      <c r="AW64" s="297"/>
      <c r="AX64" s="297"/>
      <c r="AY64" s="297"/>
      <c r="AZ64" s="297"/>
      <c r="BA64" s="217"/>
      <c r="BB64" s="217"/>
      <c r="BC64" s="217"/>
      <c r="BD64" s="217"/>
      <c r="BE64" s="217"/>
      <c r="BF64" s="217"/>
      <c r="BG64" s="217"/>
      <c r="BH64" s="217"/>
      <c r="BI64" s="217"/>
      <c r="BJ64" s="217"/>
      <c r="BK64" s="217"/>
      <c r="BL64" s="217"/>
      <c r="BM64" s="217"/>
      <c r="BN64" s="217"/>
      <c r="BO64" s="217"/>
      <c r="BP64" s="217"/>
      <c r="BQ64" s="217"/>
      <c r="BR64" s="215"/>
      <c r="BS64" s="215"/>
      <c r="BT64" s="215"/>
      <c r="BU64" s="215"/>
      <c r="BV64" s="215"/>
      <c r="BW64" s="215"/>
      <c r="BX64" s="215"/>
      <c r="BY64" s="215"/>
      <c r="BZ64" s="215"/>
      <c r="CA64" s="215"/>
      <c r="CB64" s="215"/>
      <c r="CC64" s="215"/>
      <c r="CD64" s="215"/>
      <c r="CE64" s="215"/>
      <c r="CF64" s="215"/>
      <c r="CG64" s="215"/>
      <c r="CH64" s="215"/>
      <c r="CI64" s="215"/>
      <c r="CJ64" s="215"/>
      <c r="CK64" s="215"/>
      <c r="CL64" s="215"/>
      <c r="CM64" s="215"/>
      <c r="CN64" s="215"/>
      <c r="CO64" s="215"/>
      <c r="CP64" s="215"/>
      <c r="CQ64" s="215"/>
      <c r="CR64" s="215"/>
      <c r="CS64" s="215"/>
      <c r="CT64" s="215"/>
      <c r="CU64" s="215"/>
      <c r="CV64" s="215"/>
      <c r="CW64" s="215"/>
      <c r="CX64" s="215"/>
      <c r="CY64" s="215"/>
      <c r="CZ64" s="215"/>
      <c r="DA64" s="215"/>
      <c r="DB64" s="215"/>
      <c r="DC64" s="215"/>
      <c r="DD64" s="215"/>
      <c r="DE64" s="215"/>
      <c r="DF64" s="215"/>
      <c r="DG64" s="215"/>
      <c r="DH64" s="215"/>
      <c r="DI64" s="215"/>
      <c r="DJ64" s="215"/>
      <c r="DK64" s="215"/>
      <c r="DL64" s="215"/>
      <c r="DM64" s="215"/>
      <c r="DN64" s="215"/>
      <c r="DO64" s="215"/>
      <c r="DP64" s="215"/>
      <c r="DQ64" s="215"/>
      <c r="DR64" s="215"/>
      <c r="DS64" s="215"/>
      <c r="DT64" s="215"/>
      <c r="DU64" s="215"/>
      <c r="DV64" s="215"/>
      <c r="DW64" s="215"/>
      <c r="DX64" s="215"/>
      <c r="DY64" s="215"/>
      <c r="DZ64" s="215"/>
      <c r="EA64" s="215"/>
      <c r="EB64" s="215"/>
      <c r="EC64" s="215"/>
      <c r="ED64" s="215"/>
      <c r="EE64" s="215"/>
      <c r="EF64" s="215"/>
      <c r="EG64" s="215"/>
      <c r="EH64" s="215"/>
      <c r="EI64" s="215"/>
      <c r="EJ64" s="215"/>
      <c r="EK64" s="215"/>
      <c r="EL64" s="215"/>
      <c r="EM64" s="215"/>
      <c r="EN64" s="215"/>
      <c r="EO64" s="215"/>
      <c r="EP64" s="215"/>
      <c r="EQ64" s="215"/>
      <c r="ER64" s="215"/>
      <c r="ES64" s="215"/>
      <c r="ET64" s="215"/>
      <c r="EU64" s="215"/>
      <c r="EV64" s="215"/>
      <c r="EW64" s="215"/>
      <c r="EX64" s="215"/>
      <c r="EY64" s="215"/>
      <c r="EZ64" s="215"/>
      <c r="FA64" s="215"/>
      <c r="FB64" s="215"/>
      <c r="FC64" s="215"/>
      <c r="FD64" s="215"/>
      <c r="FE64" s="215"/>
      <c r="FF64" s="215"/>
      <c r="FG64" s="215"/>
      <c r="FH64" s="215"/>
      <c r="FI64" s="215"/>
      <c r="FJ64" s="215"/>
      <c r="FK64" s="215"/>
      <c r="FL64" s="215"/>
      <c r="FM64" s="215"/>
      <c r="FN64" s="215"/>
      <c r="FO64" s="215"/>
      <c r="FP64" s="215"/>
      <c r="FQ64" s="215"/>
      <c r="FR64" s="215"/>
      <c r="FS64" s="215"/>
      <c r="FT64" s="215"/>
      <c r="FU64" s="215"/>
      <c r="FV64" s="215"/>
      <c r="FW64" s="215"/>
      <c r="FX64" s="215"/>
      <c r="FY64" s="215"/>
      <c r="FZ64" s="215"/>
      <c r="GA64" s="215"/>
      <c r="GB64" s="215"/>
      <c r="GC64" s="215"/>
      <c r="GD64" s="215"/>
      <c r="GE64" s="215"/>
      <c r="GF64" s="215"/>
      <c r="GG64" s="215"/>
      <c r="GH64" s="215"/>
      <c r="GI64" s="215"/>
      <c r="GJ64" s="215"/>
      <c r="GK64" s="215"/>
      <c r="GL64" s="215"/>
      <c r="GM64" s="215"/>
      <c r="GN64" s="215"/>
      <c r="GO64" s="215"/>
      <c r="GP64" s="215"/>
      <c r="GQ64" s="215"/>
      <c r="GR64" s="215"/>
      <c r="GS64" s="215"/>
      <c r="GT64" s="215"/>
      <c r="GU64" s="215"/>
      <c r="GV64" s="215"/>
      <c r="GW64" s="215"/>
      <c r="GX64" s="215"/>
      <c r="GY64" s="215"/>
      <c r="GZ64" s="215"/>
      <c r="HA64" s="215"/>
      <c r="HB64" s="215"/>
      <c r="HC64" s="215"/>
      <c r="HD64" s="215"/>
      <c r="HE64" s="215"/>
      <c r="HF64" s="215"/>
      <c r="HG64" s="215"/>
      <c r="HH64" s="215"/>
      <c r="HI64" s="215"/>
      <c r="HJ64" s="215"/>
      <c r="HK64" s="215"/>
      <c r="HL64" s="215"/>
      <c r="HM64" s="215"/>
      <c r="HN64" s="215"/>
      <c r="HO64" s="215"/>
      <c r="HP64" s="215"/>
      <c r="HQ64" s="215"/>
      <c r="HR64" s="215"/>
      <c r="HS64" s="215"/>
      <c r="HT64" s="215"/>
      <c r="HU64" s="215"/>
      <c r="HV64" s="215"/>
      <c r="HW64" s="215"/>
      <c r="HX64" s="215"/>
      <c r="HY64" s="215"/>
      <c r="HZ64" s="215"/>
      <c r="IA64" s="215"/>
      <c r="IB64" s="215"/>
      <c r="IC64" s="215"/>
      <c r="ID64" s="215"/>
      <c r="IE64" s="215"/>
      <c r="IF64" s="215"/>
      <c r="IG64" s="215"/>
      <c r="IH64" s="215"/>
      <c r="II64" s="215"/>
      <c r="IJ64" s="215"/>
      <c r="IK64" s="215"/>
      <c r="IL64" s="215"/>
      <c r="IM64" s="215"/>
      <c r="IN64" s="215"/>
      <c r="IO64" s="215"/>
      <c r="IP64" s="215"/>
      <c r="IQ64" s="215"/>
      <c r="IR64" s="215"/>
      <c r="IS64" s="215"/>
      <c r="IT64" s="215"/>
      <c r="IU64" s="215"/>
      <c r="IV64" s="215"/>
      <c r="IW64" s="215"/>
      <c r="IX64" s="215"/>
      <c r="IY64" s="215"/>
      <c r="IZ64" s="215"/>
      <c r="JA64" s="215"/>
      <c r="JB64" s="215"/>
      <c r="JC64" s="215"/>
      <c r="JD64" s="215"/>
      <c r="JE64" s="215"/>
      <c r="JF64" s="215"/>
      <c r="JG64" s="215"/>
      <c r="JH64" s="215"/>
      <c r="JI64" s="215"/>
      <c r="JJ64" s="215"/>
      <c r="JK64" s="215"/>
      <c r="JL64" s="215"/>
      <c r="JM64" s="215"/>
      <c r="JN64" s="215"/>
      <c r="JO64" s="215"/>
      <c r="JP64" s="215"/>
      <c r="JQ64" s="215"/>
      <c r="JR64" s="215"/>
      <c r="JS64" s="215"/>
      <c r="JT64" s="215"/>
      <c r="JU64" s="215"/>
      <c r="JV64" s="215"/>
      <c r="JW64" s="215"/>
      <c r="JX64" s="215"/>
      <c r="JY64" s="215"/>
      <c r="JZ64" s="215"/>
      <c r="KA64" s="215"/>
      <c r="KB64" s="215"/>
      <c r="KC64" s="215"/>
      <c r="KD64" s="215"/>
      <c r="KE64" s="215"/>
      <c r="KF64" s="215"/>
      <c r="KG64" s="215"/>
      <c r="KH64" s="215"/>
      <c r="KI64" s="215"/>
      <c r="KJ64" s="215"/>
      <c r="KK64" s="215"/>
      <c r="KL64" s="215"/>
      <c r="KM64" s="215"/>
      <c r="KN64" s="215"/>
      <c r="KO64" s="215"/>
      <c r="KP64" s="215"/>
      <c r="KQ64" s="215"/>
      <c r="KR64" s="215"/>
      <c r="KS64" s="215"/>
      <c r="KT64" s="215"/>
      <c r="KU64" s="215"/>
      <c r="KV64" s="215"/>
      <c r="KW64" s="215"/>
      <c r="KX64" s="215"/>
      <c r="KY64" s="215"/>
      <c r="KZ64" s="215"/>
      <c r="LA64" s="215"/>
      <c r="LB64" s="215"/>
      <c r="LC64" s="215"/>
      <c r="LD64" s="215"/>
      <c r="LE64" s="215"/>
      <c r="LF64" s="215"/>
      <c r="LG64" s="215"/>
      <c r="LH64" s="215"/>
      <c r="LI64" s="215"/>
      <c r="LJ64" s="215"/>
      <c r="LK64" s="215"/>
    </row>
    <row r="65" spans="1:323" s="232" customFormat="1" ht="30" hidden="1" customHeight="1" x14ac:dyDescent="0.25">
      <c r="A65" s="289"/>
      <c r="B65" s="15" t="s">
        <v>458</v>
      </c>
      <c r="C65" s="290"/>
      <c r="D65" s="10"/>
      <c r="E65" s="291"/>
      <c r="F65" s="291"/>
      <c r="G65" s="292"/>
      <c r="H65" s="291"/>
      <c r="I65" s="291"/>
      <c r="J65" s="291"/>
      <c r="K65" s="291"/>
      <c r="L65" s="291"/>
      <c r="M65" s="291"/>
      <c r="N65" s="291"/>
      <c r="O65" s="291"/>
      <c r="P65" s="291"/>
      <c r="Q65" s="291"/>
      <c r="R65" s="291"/>
      <c r="S65" s="291"/>
      <c r="T65" s="291"/>
      <c r="U65" s="291"/>
      <c r="V65" s="291"/>
      <c r="W65" s="291"/>
      <c r="X65" s="291"/>
      <c r="Y65" s="291"/>
      <c r="Z65" s="291"/>
      <c r="AA65" s="291"/>
      <c r="AB65" s="291"/>
      <c r="AC65" s="291"/>
      <c r="AD65" s="291"/>
      <c r="AE65" s="291"/>
      <c r="AF65" s="291"/>
      <c r="AG65" s="291"/>
      <c r="AH65" s="291"/>
      <c r="AI65" s="291"/>
      <c r="AJ65" s="291"/>
      <c r="AM65" s="293"/>
      <c r="AN65" s="215"/>
      <c r="AO65" s="215"/>
      <c r="AP65" s="215"/>
      <c r="AQ65" s="215"/>
      <c r="AR65" s="215"/>
      <c r="AS65" s="215"/>
      <c r="AT65" s="215"/>
      <c r="AU65" s="215"/>
      <c r="AV65" s="215"/>
      <c r="AW65" s="215"/>
      <c r="AX65" s="215"/>
      <c r="AY65" s="215"/>
      <c r="AZ65" s="291"/>
      <c r="BA65" s="215"/>
      <c r="BB65" s="215"/>
      <c r="BC65" s="215"/>
      <c r="BD65" s="215"/>
      <c r="BE65" s="215"/>
      <c r="BF65" s="215"/>
      <c r="BG65" s="215"/>
      <c r="BH65" s="215"/>
      <c r="BI65" s="215"/>
      <c r="BJ65" s="215"/>
      <c r="BK65" s="215"/>
      <c r="BL65" s="215"/>
      <c r="BM65" s="215"/>
      <c r="BN65" s="215"/>
      <c r="BO65" s="215"/>
      <c r="BP65" s="215"/>
      <c r="BQ65" s="215"/>
      <c r="BR65" s="215"/>
      <c r="BS65" s="215"/>
      <c r="BT65" s="215"/>
      <c r="BU65" s="215"/>
      <c r="BV65" s="215"/>
      <c r="BW65" s="215"/>
      <c r="BX65" s="215"/>
      <c r="BY65" s="215"/>
      <c r="BZ65" s="215"/>
      <c r="CA65" s="215"/>
      <c r="CB65" s="215"/>
      <c r="CC65" s="215"/>
      <c r="CD65" s="215"/>
      <c r="CE65" s="215"/>
      <c r="CF65" s="215"/>
      <c r="CG65" s="215"/>
      <c r="CH65" s="215"/>
      <c r="CI65" s="215"/>
      <c r="CJ65" s="215"/>
      <c r="CK65" s="215"/>
      <c r="CL65" s="215"/>
      <c r="CM65" s="215"/>
      <c r="CN65" s="215"/>
      <c r="CO65" s="215"/>
      <c r="CP65" s="215"/>
      <c r="CQ65" s="215"/>
      <c r="CR65" s="215"/>
      <c r="CS65" s="215"/>
      <c r="CT65" s="215"/>
      <c r="CU65" s="215"/>
      <c r="CV65" s="215"/>
      <c r="CW65" s="215"/>
      <c r="CX65" s="215"/>
      <c r="CY65" s="215"/>
      <c r="CZ65" s="215"/>
      <c r="DA65" s="215"/>
      <c r="DB65" s="215"/>
      <c r="DC65" s="215"/>
      <c r="DD65" s="215"/>
      <c r="DE65" s="215"/>
      <c r="DF65" s="215"/>
      <c r="DG65" s="215"/>
      <c r="DH65" s="215"/>
      <c r="DI65" s="215"/>
      <c r="DJ65" s="215"/>
      <c r="DK65" s="215"/>
      <c r="DL65" s="215"/>
      <c r="DM65" s="215"/>
      <c r="DN65" s="215"/>
      <c r="DO65" s="215"/>
      <c r="DP65" s="215"/>
      <c r="DQ65" s="215"/>
      <c r="DR65" s="215"/>
      <c r="DS65" s="215"/>
      <c r="DT65" s="215"/>
      <c r="DU65" s="215"/>
      <c r="DV65" s="215"/>
      <c r="DW65" s="215"/>
      <c r="DX65" s="215"/>
      <c r="DY65" s="215"/>
      <c r="DZ65" s="215"/>
      <c r="EA65" s="215"/>
      <c r="EB65" s="215"/>
      <c r="EC65" s="215"/>
      <c r="ED65" s="215"/>
      <c r="EE65" s="215"/>
      <c r="EF65" s="215"/>
      <c r="EG65" s="215"/>
      <c r="EH65" s="215"/>
      <c r="EI65" s="215"/>
      <c r="EJ65" s="215"/>
      <c r="EK65" s="215"/>
      <c r="EL65" s="215"/>
      <c r="EM65" s="215"/>
      <c r="EN65" s="215"/>
      <c r="EO65" s="215"/>
      <c r="EP65" s="215"/>
      <c r="EQ65" s="215"/>
      <c r="ER65" s="215"/>
      <c r="ES65" s="215"/>
      <c r="ET65" s="215"/>
      <c r="EU65" s="215"/>
      <c r="EV65" s="215"/>
      <c r="EW65" s="215"/>
      <c r="EX65" s="215"/>
      <c r="EY65" s="215"/>
      <c r="EZ65" s="215"/>
      <c r="FA65" s="215"/>
      <c r="FB65" s="215"/>
      <c r="FC65" s="215"/>
      <c r="FD65" s="215"/>
      <c r="FE65" s="215"/>
      <c r="FF65" s="215"/>
      <c r="FG65" s="215"/>
      <c r="FH65" s="215"/>
      <c r="FI65" s="215"/>
      <c r="FJ65" s="215"/>
      <c r="FK65" s="215"/>
      <c r="FL65" s="215"/>
      <c r="FM65" s="215"/>
      <c r="FN65" s="215"/>
      <c r="FO65" s="215"/>
      <c r="FP65" s="215"/>
      <c r="FQ65" s="215"/>
      <c r="FR65" s="215"/>
      <c r="FS65" s="215"/>
      <c r="FT65" s="215"/>
      <c r="FU65" s="215"/>
      <c r="FV65" s="215"/>
      <c r="FW65" s="215"/>
      <c r="FX65" s="215"/>
      <c r="FY65" s="215"/>
      <c r="FZ65" s="215"/>
      <c r="GA65" s="215"/>
      <c r="GB65" s="215"/>
      <c r="GC65" s="215"/>
      <c r="GD65" s="215"/>
      <c r="GE65" s="215"/>
      <c r="GF65" s="215"/>
      <c r="GG65" s="215"/>
      <c r="GH65" s="215"/>
      <c r="GI65" s="215"/>
      <c r="GJ65" s="215"/>
      <c r="GK65" s="215"/>
      <c r="GL65" s="215"/>
      <c r="GM65" s="215"/>
      <c r="GN65" s="215"/>
      <c r="GO65" s="215"/>
      <c r="GP65" s="215"/>
      <c r="GQ65" s="215"/>
      <c r="GR65" s="215"/>
      <c r="GS65" s="215"/>
      <c r="GT65" s="215"/>
      <c r="GU65" s="215"/>
      <c r="GV65" s="215"/>
      <c r="GW65" s="215"/>
      <c r="GX65" s="215"/>
      <c r="GY65" s="215"/>
      <c r="GZ65" s="215"/>
      <c r="HA65" s="215"/>
      <c r="HB65" s="215"/>
      <c r="HC65" s="215"/>
      <c r="HD65" s="215"/>
      <c r="HE65" s="215"/>
      <c r="HF65" s="215"/>
      <c r="HG65" s="215"/>
      <c r="HH65" s="215"/>
      <c r="HI65" s="215"/>
      <c r="HJ65" s="215"/>
      <c r="HK65" s="215"/>
      <c r="HL65" s="215"/>
      <c r="HM65" s="215"/>
      <c r="HN65" s="215"/>
      <c r="HO65" s="215"/>
      <c r="HP65" s="215"/>
      <c r="HQ65" s="215"/>
      <c r="HR65" s="215"/>
      <c r="HS65" s="215"/>
      <c r="HT65" s="215"/>
      <c r="HU65" s="215"/>
      <c r="HV65" s="215"/>
      <c r="HW65" s="215"/>
      <c r="HX65" s="215"/>
      <c r="HY65" s="215"/>
      <c r="HZ65" s="215"/>
      <c r="IA65" s="215"/>
      <c r="IB65" s="215"/>
      <c r="IC65" s="215"/>
      <c r="ID65" s="215"/>
      <c r="IE65" s="215"/>
      <c r="IF65" s="215"/>
      <c r="IG65" s="215"/>
      <c r="IH65" s="215"/>
      <c r="II65" s="215"/>
      <c r="IJ65" s="215"/>
      <c r="IK65" s="215"/>
      <c r="IL65" s="215"/>
      <c r="IM65" s="215"/>
      <c r="IN65" s="215"/>
      <c r="IO65" s="215"/>
      <c r="IP65" s="215"/>
      <c r="IQ65" s="215"/>
      <c r="IR65" s="215"/>
      <c r="IS65" s="215"/>
      <c r="IT65" s="215"/>
      <c r="IU65" s="215"/>
      <c r="IV65" s="215"/>
      <c r="IW65" s="215"/>
      <c r="IX65" s="215"/>
      <c r="IY65" s="215"/>
      <c r="IZ65" s="215"/>
      <c r="JA65" s="215"/>
      <c r="JB65" s="215"/>
      <c r="JC65" s="215"/>
      <c r="JD65" s="215"/>
      <c r="JE65" s="215"/>
      <c r="JF65" s="215"/>
      <c r="JG65" s="215"/>
      <c r="JH65" s="215"/>
      <c r="JI65" s="215"/>
      <c r="JJ65" s="215"/>
      <c r="JK65" s="215"/>
      <c r="JL65" s="215"/>
      <c r="JM65" s="215"/>
      <c r="JN65" s="215"/>
      <c r="JO65" s="215"/>
      <c r="JP65" s="215"/>
      <c r="JQ65" s="215"/>
      <c r="JR65" s="215"/>
      <c r="JS65" s="215"/>
      <c r="JT65" s="215"/>
      <c r="JU65" s="215"/>
      <c r="JV65" s="215"/>
      <c r="JW65" s="215"/>
      <c r="JX65" s="215"/>
      <c r="JY65" s="215"/>
      <c r="JZ65" s="215"/>
      <c r="KA65" s="215"/>
      <c r="KB65" s="215"/>
      <c r="KC65" s="215"/>
      <c r="KD65" s="215"/>
      <c r="KE65" s="215"/>
      <c r="KF65" s="215"/>
      <c r="KG65" s="215"/>
      <c r="KH65" s="215"/>
      <c r="KI65" s="215"/>
      <c r="KJ65" s="215"/>
      <c r="KK65" s="215"/>
      <c r="KL65" s="215"/>
      <c r="KM65" s="215"/>
      <c r="KN65" s="215"/>
      <c r="KO65" s="215"/>
      <c r="KP65" s="215"/>
      <c r="KQ65" s="215"/>
      <c r="KR65" s="215"/>
      <c r="KS65" s="215"/>
      <c r="KT65" s="215"/>
      <c r="KU65" s="215"/>
      <c r="KV65" s="215"/>
      <c r="KW65" s="215"/>
      <c r="KX65" s="215"/>
      <c r="KY65" s="215"/>
      <c r="KZ65" s="215"/>
      <c r="LA65" s="215"/>
      <c r="LB65" s="215"/>
      <c r="LC65" s="215"/>
      <c r="LD65" s="215"/>
      <c r="LE65" s="215"/>
      <c r="LF65" s="215"/>
      <c r="LG65" s="215"/>
      <c r="LH65" s="215"/>
      <c r="LI65" s="215"/>
      <c r="LJ65" s="215"/>
      <c r="LK65" s="215"/>
    </row>
    <row r="66" spans="1:323" s="232" customFormat="1" ht="30" hidden="1" customHeight="1" x14ac:dyDescent="0.25">
      <c r="A66" s="289">
        <f>A62+1</f>
        <v>1</v>
      </c>
      <c r="B66" s="11" t="s">
        <v>459</v>
      </c>
      <c r="C66" s="290"/>
      <c r="D66" s="10">
        <v>12</v>
      </c>
      <c r="E66" s="291">
        <v>0.7</v>
      </c>
      <c r="F66" s="291">
        <v>0.3</v>
      </c>
      <c r="G66" s="292">
        <f>$P$10-$P$17</f>
        <v>-1.0999999999999996</v>
      </c>
      <c r="H66" s="291" t="e">
        <f>+D66*E66*F66*(G66-#REF!)</f>
        <v>#REF!</v>
      </c>
      <c r="I66" s="291">
        <f>+IF(+AND(E66&gt;0.3,E66&lt;=0.75,F66&gt;0.3),($D66*($E66+$F66)*2*($G66-#REF!)),0)</f>
        <v>0</v>
      </c>
      <c r="J66" s="291" t="e">
        <f>+IF(+AND(E66&gt;0.3,E66&lt;=0.75,F66&lt;=0.3),($D66*($E66+$F66-0.3-0.3)*2*($G66-#REF!)),0)</f>
        <v>#REF!</v>
      </c>
      <c r="K66" s="291">
        <f>+IF(+AND(E66&gt;0.75,E66&lt;=1.2,F66&gt;0),($D66*($E66+$F66)*2*($G66-#REF!)),0)</f>
        <v>0</v>
      </c>
      <c r="L66" s="291">
        <f>+IF(+AND(E66&gt;1.2,F66&gt;0),($D66*($E66+$F66)*2*($G66-#REF!)),0)</f>
        <v>0</v>
      </c>
      <c r="M66" s="291" t="e">
        <f t="shared" ref="M66:M68" si="89">SUM(I66:L66)</f>
        <v>#REF!</v>
      </c>
      <c r="N66" s="291">
        <f>ROUNDUP(E66/0.6,0)*ROUNDUP(G66/0.6,0)*D66</f>
        <v>-48</v>
      </c>
      <c r="O66" s="291">
        <f t="shared" ref="O66:Q68" si="90">D66</f>
        <v>12</v>
      </c>
      <c r="P66" s="291">
        <f t="shared" si="90"/>
        <v>0.7</v>
      </c>
      <c r="Q66" s="291">
        <f t="shared" si="90"/>
        <v>0.3</v>
      </c>
      <c r="R66" s="291">
        <f t="shared" ref="R66:R68" si="91">$P$9-$P$10</f>
        <v>4</v>
      </c>
      <c r="S66" s="291">
        <f t="shared" ref="S66:S68" si="92">+O66*P66*Q66*R66</f>
        <v>10.079999999999998</v>
      </c>
      <c r="T66" s="291">
        <f t="shared" ref="T66:T67" si="93">+IF(+AND(P66&gt;0.3,P66&lt;=0.75,Q66&gt;0.3),(O66*(P66+Q66)*2*(R66-$E$11)),0)</f>
        <v>0</v>
      </c>
      <c r="U66" s="291">
        <f t="shared" ref="U66:U67" si="94">+IF(+AND(P66&gt;0.3,P66&lt;=0.75,Q66&lt;=0.3),(O66*(P66+Q66)*2*(R66-$E$11)),0)</f>
        <v>79.800000000000011</v>
      </c>
      <c r="V66" s="291">
        <f t="shared" ref="V66:V67" si="95">+IF(+AND(P66&gt;0.75,P66&lt;=1.2,Q66&gt;0),(O66*(P66+Q66)*2*(R66-$E$11)),0)</f>
        <v>0</v>
      </c>
      <c r="W66" s="291">
        <f t="shared" ref="W66:W67" si="96">+IF(+AND(P66&gt;1.2,Q66&gt;0),(O66*(P66+Q66)*2*(R66-$E$11)),0)</f>
        <v>0</v>
      </c>
      <c r="X66" s="291">
        <f t="shared" ref="X66:X67" si="97">SUM(T66:W66)</f>
        <v>79.800000000000011</v>
      </c>
      <c r="Y66" s="291">
        <f t="shared" ref="Y66:Y68" si="98">ROUNDUP(P66/0.6,0)*ROUNDUP(R66/0.6,0)*O66</f>
        <v>168</v>
      </c>
      <c r="Z66" s="291">
        <f t="shared" ref="Z66:Z67" si="99">O66</f>
        <v>12</v>
      </c>
      <c r="AA66" s="291">
        <f t="shared" ref="AA66:AB68" si="100">+E66</f>
        <v>0.7</v>
      </c>
      <c r="AB66" s="291">
        <f t="shared" si="100"/>
        <v>0.3</v>
      </c>
      <c r="AC66" s="291">
        <f t="shared" ref="AC66:AC68" si="101">$P$13-$P$9</f>
        <v>7.7</v>
      </c>
      <c r="AD66" s="291">
        <f t="shared" ref="AD66:AD68" si="102">+Z66*AA66*AB66*AC66</f>
        <v>19.403999999999996</v>
      </c>
      <c r="AE66" s="291">
        <f t="shared" ref="AE66:AE68" si="103">+IF(+AND(AA66&gt;0.3,AA66&lt;=0.75,AB66&gt;0.3),(Z66*(AA66+AB66)*2*(AC66-$E$11)),0)</f>
        <v>0</v>
      </c>
      <c r="AF66" s="291">
        <f t="shared" ref="AF66:AF67" si="104">+IF(+AND(AA66&gt;0.3,AA66&lt;=0.75,AB66&lt;=0.3),(Z66*(AA66+AB66)*2*(AC66-$E$11)),0)</f>
        <v>168.60000000000002</v>
      </c>
      <c r="AG66" s="291">
        <f t="shared" ref="AG66:AG68" si="105">+IF(+AND(AA66&gt;0.75,AA66&lt;=1.2,AB66&gt;0),(Z66*(AA66+AB66)*2*(AC66-$E$11)),0)</f>
        <v>0</v>
      </c>
      <c r="AH66" s="291">
        <f t="shared" ref="AH66:AH68" si="106">+IF(+AND(AA66&gt;1.2,AB66&gt;0),(Z66*(AA66+AB66)*2*(AC66-$E$11)),0)</f>
        <v>0</v>
      </c>
      <c r="AI66" s="291">
        <f t="shared" ref="AI66:AI68" si="107">SUM(AE66:AH66)</f>
        <v>168.60000000000002</v>
      </c>
      <c r="AJ66" s="291">
        <f t="shared" ref="AJ66:AJ68" si="108">ROUNDUP(AA66/0.6,0)*ROUNDUP(AC66/0.6,0)*Z66</f>
        <v>312</v>
      </c>
      <c r="AL66" s="232">
        <f>+ROUNDUP((D66)/4,0)</f>
        <v>3</v>
      </c>
      <c r="AM66" s="293">
        <f t="shared" ref="AM66:AM67" si="109">AL66*(2*(P66+Q66)*2.44)</f>
        <v>14.64</v>
      </c>
      <c r="AN66" s="215"/>
      <c r="AO66" s="215">
        <v>0.6</v>
      </c>
      <c r="AP66" s="215"/>
      <c r="AQ66" s="215"/>
      <c r="AR66" s="215"/>
      <c r="AS66" s="215"/>
      <c r="AT66" s="215"/>
      <c r="AU66" s="215"/>
      <c r="AV66" s="215"/>
      <c r="AW66" s="215"/>
      <c r="AX66" s="215"/>
      <c r="AY66" s="215"/>
      <c r="AZ66" s="291"/>
      <c r="BA66" s="215"/>
      <c r="BB66" s="215"/>
      <c r="BC66" s="215"/>
      <c r="BD66" s="215"/>
      <c r="BE66" s="215"/>
      <c r="BF66" s="215"/>
      <c r="BG66" s="215"/>
      <c r="BH66" s="215"/>
      <c r="BI66" s="215"/>
      <c r="BJ66" s="215"/>
      <c r="BK66" s="215"/>
      <c r="BL66" s="215"/>
      <c r="BM66" s="215"/>
      <c r="BN66" s="215"/>
      <c r="BO66" s="215"/>
      <c r="BP66" s="215"/>
      <c r="BQ66" s="215"/>
      <c r="BR66" s="215"/>
      <c r="BS66" s="215"/>
      <c r="BT66" s="215"/>
      <c r="BU66" s="215"/>
      <c r="BV66" s="215"/>
      <c r="BW66" s="215"/>
      <c r="BX66" s="215"/>
      <c r="BY66" s="215"/>
      <c r="BZ66" s="215"/>
      <c r="CA66" s="215"/>
      <c r="CB66" s="215"/>
      <c r="CC66" s="215"/>
      <c r="CD66" s="215"/>
      <c r="CE66" s="215"/>
      <c r="CF66" s="215"/>
      <c r="CG66" s="215"/>
      <c r="CH66" s="215"/>
      <c r="CI66" s="215"/>
      <c r="CJ66" s="215"/>
      <c r="CK66" s="215"/>
      <c r="CL66" s="215"/>
      <c r="CM66" s="215"/>
      <c r="CN66" s="215"/>
      <c r="CO66" s="215"/>
      <c r="CP66" s="215"/>
      <c r="CQ66" s="215"/>
      <c r="CR66" s="215"/>
      <c r="CS66" s="215"/>
      <c r="CT66" s="215"/>
      <c r="CU66" s="215"/>
      <c r="CV66" s="215"/>
      <c r="CW66" s="215"/>
      <c r="CX66" s="215"/>
      <c r="CY66" s="215"/>
      <c r="CZ66" s="215"/>
      <c r="DA66" s="215"/>
      <c r="DB66" s="215"/>
      <c r="DC66" s="215"/>
      <c r="DD66" s="215"/>
      <c r="DE66" s="215"/>
      <c r="DF66" s="215"/>
      <c r="DG66" s="215"/>
      <c r="DH66" s="215"/>
      <c r="DI66" s="215"/>
      <c r="DJ66" s="215"/>
      <c r="DK66" s="215"/>
      <c r="DL66" s="215"/>
      <c r="DM66" s="215"/>
      <c r="DN66" s="215"/>
      <c r="DO66" s="215"/>
      <c r="DP66" s="215"/>
      <c r="DQ66" s="215"/>
      <c r="DR66" s="215"/>
      <c r="DS66" s="215"/>
      <c r="DT66" s="215"/>
      <c r="DU66" s="215"/>
      <c r="DV66" s="215"/>
      <c r="DW66" s="215"/>
      <c r="DX66" s="215"/>
      <c r="DY66" s="215"/>
      <c r="DZ66" s="215"/>
      <c r="EA66" s="215"/>
      <c r="EB66" s="215"/>
      <c r="EC66" s="215"/>
      <c r="ED66" s="215"/>
      <c r="EE66" s="215"/>
      <c r="EF66" s="215"/>
      <c r="EG66" s="215"/>
      <c r="EH66" s="215"/>
      <c r="EI66" s="215"/>
      <c r="EJ66" s="215"/>
      <c r="EK66" s="215"/>
      <c r="EL66" s="215"/>
      <c r="EM66" s="215"/>
      <c r="EN66" s="215"/>
      <c r="EO66" s="215"/>
      <c r="EP66" s="215"/>
      <c r="EQ66" s="215"/>
      <c r="ER66" s="215"/>
      <c r="ES66" s="215"/>
      <c r="ET66" s="215"/>
      <c r="EU66" s="215"/>
      <c r="EV66" s="215"/>
      <c r="EW66" s="215"/>
      <c r="EX66" s="215"/>
      <c r="EY66" s="215"/>
      <c r="EZ66" s="215"/>
      <c r="FA66" s="215"/>
      <c r="FB66" s="215"/>
      <c r="FC66" s="215"/>
      <c r="FD66" s="215"/>
      <c r="FE66" s="215"/>
      <c r="FF66" s="215"/>
      <c r="FG66" s="215"/>
      <c r="FH66" s="215"/>
      <c r="FI66" s="215"/>
      <c r="FJ66" s="215"/>
      <c r="FK66" s="215"/>
      <c r="FL66" s="215"/>
      <c r="FM66" s="215"/>
      <c r="FN66" s="215"/>
      <c r="FO66" s="215"/>
      <c r="FP66" s="215"/>
      <c r="FQ66" s="215"/>
      <c r="FR66" s="215"/>
      <c r="FS66" s="215"/>
      <c r="FT66" s="215"/>
      <c r="FU66" s="215"/>
      <c r="FV66" s="215"/>
      <c r="FW66" s="215"/>
      <c r="FX66" s="215"/>
      <c r="FY66" s="215"/>
      <c r="FZ66" s="215"/>
      <c r="GA66" s="215"/>
      <c r="GB66" s="215"/>
      <c r="GC66" s="215"/>
      <c r="GD66" s="215"/>
      <c r="GE66" s="215"/>
      <c r="GF66" s="215"/>
      <c r="GG66" s="215"/>
      <c r="GH66" s="215"/>
      <c r="GI66" s="215"/>
      <c r="GJ66" s="215"/>
      <c r="GK66" s="215"/>
      <c r="GL66" s="215"/>
      <c r="GM66" s="215"/>
      <c r="GN66" s="215"/>
      <c r="GO66" s="215"/>
      <c r="GP66" s="215"/>
      <c r="GQ66" s="215"/>
      <c r="GR66" s="215"/>
      <c r="GS66" s="215"/>
      <c r="GT66" s="215"/>
      <c r="GU66" s="215"/>
      <c r="GV66" s="215"/>
      <c r="GW66" s="215"/>
      <c r="GX66" s="215"/>
      <c r="GY66" s="215"/>
      <c r="GZ66" s="215"/>
      <c r="HA66" s="215"/>
      <c r="HB66" s="215"/>
      <c r="HC66" s="215"/>
      <c r="HD66" s="215"/>
      <c r="HE66" s="215"/>
      <c r="HF66" s="215"/>
      <c r="HG66" s="215"/>
      <c r="HH66" s="215"/>
      <c r="HI66" s="215"/>
      <c r="HJ66" s="215"/>
      <c r="HK66" s="215"/>
      <c r="HL66" s="215"/>
      <c r="HM66" s="215"/>
      <c r="HN66" s="215"/>
      <c r="HO66" s="215"/>
      <c r="HP66" s="215"/>
      <c r="HQ66" s="215"/>
      <c r="HR66" s="215"/>
      <c r="HS66" s="215"/>
      <c r="HT66" s="215"/>
      <c r="HU66" s="215"/>
      <c r="HV66" s="215"/>
      <c r="HW66" s="215"/>
      <c r="HX66" s="215"/>
      <c r="HY66" s="215"/>
      <c r="HZ66" s="215"/>
      <c r="IA66" s="215"/>
      <c r="IB66" s="215"/>
      <c r="IC66" s="215"/>
      <c r="ID66" s="215"/>
      <c r="IE66" s="215"/>
      <c r="IF66" s="215"/>
      <c r="IG66" s="215"/>
      <c r="IH66" s="215"/>
      <c r="II66" s="215"/>
      <c r="IJ66" s="215"/>
      <c r="IK66" s="215"/>
      <c r="IL66" s="215"/>
      <c r="IM66" s="215"/>
      <c r="IN66" s="215"/>
      <c r="IO66" s="215"/>
      <c r="IP66" s="215"/>
      <c r="IQ66" s="215"/>
      <c r="IR66" s="215"/>
      <c r="IS66" s="215"/>
      <c r="IT66" s="215"/>
      <c r="IU66" s="215"/>
      <c r="IV66" s="215"/>
      <c r="IW66" s="215"/>
      <c r="IX66" s="215"/>
      <c r="IY66" s="215"/>
      <c r="IZ66" s="215"/>
      <c r="JA66" s="215"/>
      <c r="JB66" s="215"/>
      <c r="JC66" s="215"/>
      <c r="JD66" s="215"/>
      <c r="JE66" s="215"/>
      <c r="JF66" s="215"/>
      <c r="JG66" s="215"/>
      <c r="JH66" s="215"/>
      <c r="JI66" s="215"/>
      <c r="JJ66" s="215"/>
      <c r="JK66" s="215"/>
      <c r="JL66" s="215"/>
      <c r="JM66" s="215"/>
      <c r="JN66" s="215"/>
      <c r="JO66" s="215"/>
      <c r="JP66" s="215"/>
      <c r="JQ66" s="215"/>
      <c r="JR66" s="215"/>
      <c r="JS66" s="215"/>
      <c r="JT66" s="215"/>
      <c r="JU66" s="215"/>
      <c r="JV66" s="215"/>
      <c r="JW66" s="215"/>
      <c r="JX66" s="215"/>
      <c r="JY66" s="215"/>
      <c r="JZ66" s="215"/>
      <c r="KA66" s="215"/>
      <c r="KB66" s="215"/>
      <c r="KC66" s="215"/>
      <c r="KD66" s="215"/>
      <c r="KE66" s="215"/>
      <c r="KF66" s="215"/>
      <c r="KG66" s="215"/>
      <c r="KH66" s="215"/>
      <c r="KI66" s="215"/>
      <c r="KJ66" s="215"/>
      <c r="KK66" s="215"/>
      <c r="KL66" s="215"/>
      <c r="KM66" s="215"/>
      <c r="KN66" s="215"/>
      <c r="KO66" s="215"/>
      <c r="KP66" s="215"/>
      <c r="KQ66" s="215"/>
      <c r="KR66" s="215"/>
      <c r="KS66" s="215"/>
      <c r="KT66" s="215"/>
      <c r="KU66" s="215"/>
      <c r="KV66" s="215"/>
      <c r="KW66" s="215"/>
      <c r="KX66" s="215"/>
      <c r="KY66" s="215"/>
      <c r="KZ66" s="215"/>
      <c r="LA66" s="215"/>
      <c r="LB66" s="215"/>
      <c r="LC66" s="215"/>
      <c r="LD66" s="215"/>
      <c r="LE66" s="215"/>
      <c r="LF66" s="215"/>
      <c r="LG66" s="215"/>
      <c r="LH66" s="215"/>
      <c r="LI66" s="215"/>
      <c r="LJ66" s="215"/>
      <c r="LK66" s="215"/>
    </row>
    <row r="67" spans="1:323" s="232" customFormat="1" ht="30" hidden="1" customHeight="1" x14ac:dyDescent="0.25">
      <c r="A67" s="289">
        <v>2</v>
      </c>
      <c r="B67" s="11"/>
      <c r="C67" s="290"/>
      <c r="D67" s="10"/>
      <c r="E67" s="291"/>
      <c r="F67" s="291"/>
      <c r="G67" s="292"/>
      <c r="H67" s="291" t="e">
        <f>+D67*E67*F67*(G67-#REF!)</f>
        <v>#REF!</v>
      </c>
      <c r="I67" s="291">
        <f>+IF(+AND(E67&gt;0.3,E67&lt;=0.75,F67&gt;0.3),($D67*($E67+$F67)*2*($G67-#REF!)),0)</f>
        <v>0</v>
      </c>
      <c r="J67" s="291">
        <f>+IF(+AND(E67&gt;0.3,E67&lt;=0.75,F67&lt;=0.3),($D67*($E67+$F67)*2*($G67-#REF!)),0)</f>
        <v>0</v>
      </c>
      <c r="K67" s="291">
        <f>+IF(+AND(E67&gt;0.75,E67&lt;=1.2,F67&gt;0),($D67*($E67+$F67)*2*($G67-#REF!)),0)</f>
        <v>0</v>
      </c>
      <c r="L67" s="291">
        <f>+IF(+AND(E67&gt;1.2,F67&gt;0),($D67*($E67+$F67)*2*($G67-#REF!)),0)</f>
        <v>0</v>
      </c>
      <c r="M67" s="291">
        <f t="shared" si="89"/>
        <v>0</v>
      </c>
      <c r="N67" s="291">
        <f>ROUNDUP(E67/0.6,0)*ROUNDUP(G67/0.6,0)*D67</f>
        <v>0</v>
      </c>
      <c r="O67" s="291">
        <f t="shared" si="90"/>
        <v>0</v>
      </c>
      <c r="P67" s="291">
        <f t="shared" si="90"/>
        <v>0</v>
      </c>
      <c r="Q67" s="291">
        <f t="shared" si="90"/>
        <v>0</v>
      </c>
      <c r="R67" s="291">
        <f t="shared" si="91"/>
        <v>4</v>
      </c>
      <c r="S67" s="291">
        <f t="shared" si="92"/>
        <v>0</v>
      </c>
      <c r="T67" s="291">
        <f t="shared" si="93"/>
        <v>0</v>
      </c>
      <c r="U67" s="291">
        <f t="shared" si="94"/>
        <v>0</v>
      </c>
      <c r="V67" s="291">
        <f t="shared" si="95"/>
        <v>0</v>
      </c>
      <c r="W67" s="291">
        <f t="shared" si="96"/>
        <v>0</v>
      </c>
      <c r="X67" s="291">
        <f t="shared" si="97"/>
        <v>0</v>
      </c>
      <c r="Y67" s="291">
        <f t="shared" si="98"/>
        <v>0</v>
      </c>
      <c r="Z67" s="291">
        <f t="shared" si="99"/>
        <v>0</v>
      </c>
      <c r="AA67" s="291">
        <f t="shared" si="100"/>
        <v>0</v>
      </c>
      <c r="AB67" s="291">
        <f t="shared" si="100"/>
        <v>0</v>
      </c>
      <c r="AC67" s="291">
        <f t="shared" si="101"/>
        <v>7.7</v>
      </c>
      <c r="AD67" s="291">
        <f t="shared" si="102"/>
        <v>0</v>
      </c>
      <c r="AE67" s="291">
        <f t="shared" si="103"/>
        <v>0</v>
      </c>
      <c r="AF67" s="291">
        <f t="shared" si="104"/>
        <v>0</v>
      </c>
      <c r="AG67" s="291">
        <f t="shared" si="105"/>
        <v>0</v>
      </c>
      <c r="AH67" s="291">
        <f t="shared" si="106"/>
        <v>0</v>
      </c>
      <c r="AI67" s="291">
        <f t="shared" si="107"/>
        <v>0</v>
      </c>
      <c r="AJ67" s="291">
        <f t="shared" si="108"/>
        <v>0</v>
      </c>
      <c r="AL67" s="232">
        <f>+ROUNDUP((D67)/4,0)</f>
        <v>0</v>
      </c>
      <c r="AM67" s="293">
        <f t="shared" si="109"/>
        <v>0</v>
      </c>
      <c r="AN67" s="215"/>
      <c r="AO67" s="215">
        <v>0.6</v>
      </c>
      <c r="AP67" s="215"/>
      <c r="AQ67" s="215"/>
      <c r="AR67" s="215"/>
      <c r="AS67" s="215"/>
      <c r="AT67" s="215"/>
      <c r="AU67" s="215"/>
      <c r="AV67" s="215"/>
      <c r="AW67" s="215"/>
      <c r="AX67" s="215"/>
      <c r="AY67" s="215"/>
      <c r="AZ67" s="291"/>
      <c r="BA67" s="215"/>
      <c r="BB67" s="215"/>
      <c r="BC67" s="215"/>
      <c r="BD67" s="215"/>
      <c r="BE67" s="215"/>
      <c r="BF67" s="215"/>
      <c r="BG67" s="215"/>
      <c r="BH67" s="215"/>
      <c r="BI67" s="215"/>
      <c r="BJ67" s="215"/>
      <c r="BK67" s="215"/>
      <c r="BL67" s="215"/>
      <c r="BM67" s="215"/>
      <c r="BN67" s="215"/>
      <c r="BO67" s="215"/>
      <c r="BP67" s="215"/>
      <c r="BQ67" s="215"/>
      <c r="BR67" s="215"/>
      <c r="BS67" s="215"/>
      <c r="BT67" s="215"/>
      <c r="BU67" s="215"/>
      <c r="BV67" s="215"/>
      <c r="BW67" s="215"/>
      <c r="BX67" s="215"/>
      <c r="BY67" s="215"/>
      <c r="BZ67" s="215"/>
      <c r="CA67" s="215"/>
      <c r="CB67" s="215"/>
      <c r="CC67" s="215"/>
      <c r="CD67" s="215"/>
      <c r="CE67" s="215"/>
      <c r="CF67" s="215"/>
      <c r="CG67" s="215"/>
      <c r="CH67" s="215"/>
      <c r="CI67" s="215"/>
      <c r="CJ67" s="215"/>
      <c r="CK67" s="215"/>
      <c r="CL67" s="215"/>
      <c r="CM67" s="215"/>
      <c r="CN67" s="215"/>
      <c r="CO67" s="215"/>
      <c r="CP67" s="215"/>
      <c r="CQ67" s="215"/>
      <c r="CR67" s="215"/>
      <c r="CS67" s="215"/>
      <c r="CT67" s="215"/>
      <c r="CU67" s="215"/>
      <c r="CV67" s="215"/>
      <c r="CW67" s="215"/>
      <c r="CX67" s="215"/>
      <c r="CY67" s="215"/>
      <c r="CZ67" s="215"/>
      <c r="DA67" s="215"/>
      <c r="DB67" s="215"/>
      <c r="DC67" s="215"/>
      <c r="DD67" s="215"/>
      <c r="DE67" s="215"/>
      <c r="DF67" s="215"/>
      <c r="DG67" s="215"/>
      <c r="DH67" s="215"/>
      <c r="DI67" s="215"/>
      <c r="DJ67" s="215"/>
      <c r="DK67" s="215"/>
      <c r="DL67" s="215"/>
      <c r="DM67" s="215"/>
      <c r="DN67" s="215"/>
      <c r="DO67" s="215"/>
      <c r="DP67" s="215"/>
      <c r="DQ67" s="215"/>
      <c r="DR67" s="215"/>
      <c r="DS67" s="215"/>
      <c r="DT67" s="215"/>
      <c r="DU67" s="215"/>
      <c r="DV67" s="215"/>
      <c r="DW67" s="215"/>
      <c r="DX67" s="215"/>
      <c r="DY67" s="215"/>
      <c r="DZ67" s="215"/>
      <c r="EA67" s="215"/>
      <c r="EB67" s="215"/>
      <c r="EC67" s="215"/>
      <c r="ED67" s="215"/>
      <c r="EE67" s="215"/>
      <c r="EF67" s="215"/>
      <c r="EG67" s="215"/>
      <c r="EH67" s="215"/>
      <c r="EI67" s="215"/>
      <c r="EJ67" s="215"/>
      <c r="EK67" s="215"/>
      <c r="EL67" s="215"/>
      <c r="EM67" s="215"/>
      <c r="EN67" s="215"/>
      <c r="EO67" s="215"/>
      <c r="EP67" s="215"/>
      <c r="EQ67" s="215"/>
      <c r="ER67" s="215"/>
      <c r="ES67" s="215"/>
      <c r="ET67" s="215"/>
      <c r="EU67" s="215"/>
      <c r="EV67" s="215"/>
      <c r="EW67" s="215"/>
      <c r="EX67" s="215"/>
      <c r="EY67" s="215"/>
      <c r="EZ67" s="215"/>
      <c r="FA67" s="215"/>
      <c r="FB67" s="215"/>
      <c r="FC67" s="215"/>
      <c r="FD67" s="215"/>
      <c r="FE67" s="215"/>
      <c r="FF67" s="215"/>
      <c r="FG67" s="215"/>
      <c r="FH67" s="215"/>
      <c r="FI67" s="215"/>
      <c r="FJ67" s="215"/>
      <c r="FK67" s="215"/>
      <c r="FL67" s="215"/>
      <c r="FM67" s="215"/>
      <c r="FN67" s="215"/>
      <c r="FO67" s="215"/>
      <c r="FP67" s="215"/>
      <c r="FQ67" s="215"/>
      <c r="FR67" s="215"/>
      <c r="FS67" s="215"/>
      <c r="FT67" s="215"/>
      <c r="FU67" s="215"/>
      <c r="FV67" s="215"/>
      <c r="FW67" s="215"/>
      <c r="FX67" s="215"/>
      <c r="FY67" s="215"/>
      <c r="FZ67" s="215"/>
      <c r="GA67" s="215"/>
      <c r="GB67" s="215"/>
      <c r="GC67" s="215"/>
      <c r="GD67" s="215"/>
      <c r="GE67" s="215"/>
      <c r="GF67" s="215"/>
      <c r="GG67" s="215"/>
      <c r="GH67" s="215"/>
      <c r="GI67" s="215"/>
      <c r="GJ67" s="215"/>
      <c r="GK67" s="215"/>
      <c r="GL67" s="215"/>
      <c r="GM67" s="215"/>
      <c r="GN67" s="215"/>
      <c r="GO67" s="215"/>
      <c r="GP67" s="215"/>
      <c r="GQ67" s="215"/>
      <c r="GR67" s="215"/>
      <c r="GS67" s="215"/>
      <c r="GT67" s="215"/>
      <c r="GU67" s="215"/>
      <c r="GV67" s="215"/>
      <c r="GW67" s="215"/>
      <c r="GX67" s="215"/>
      <c r="GY67" s="215"/>
      <c r="GZ67" s="215"/>
      <c r="HA67" s="215"/>
      <c r="HB67" s="215"/>
      <c r="HC67" s="215"/>
      <c r="HD67" s="215"/>
      <c r="HE67" s="215"/>
      <c r="HF67" s="215"/>
      <c r="HG67" s="215"/>
      <c r="HH67" s="215"/>
      <c r="HI67" s="215"/>
      <c r="HJ67" s="215"/>
      <c r="HK67" s="215"/>
      <c r="HL67" s="215"/>
      <c r="HM67" s="215"/>
      <c r="HN67" s="215"/>
      <c r="HO67" s="215"/>
      <c r="HP67" s="215"/>
      <c r="HQ67" s="215"/>
      <c r="HR67" s="215"/>
      <c r="HS67" s="215"/>
      <c r="HT67" s="215"/>
      <c r="HU67" s="215"/>
      <c r="HV67" s="215"/>
      <c r="HW67" s="215"/>
      <c r="HX67" s="215"/>
      <c r="HY67" s="215"/>
      <c r="HZ67" s="215"/>
      <c r="IA67" s="215"/>
      <c r="IB67" s="215"/>
      <c r="IC67" s="215"/>
      <c r="ID67" s="215"/>
      <c r="IE67" s="215"/>
      <c r="IF67" s="215"/>
      <c r="IG67" s="215"/>
      <c r="IH67" s="215"/>
      <c r="II67" s="215"/>
      <c r="IJ67" s="215"/>
      <c r="IK67" s="215"/>
      <c r="IL67" s="215"/>
      <c r="IM67" s="215"/>
      <c r="IN67" s="215"/>
      <c r="IO67" s="215"/>
      <c r="IP67" s="215"/>
      <c r="IQ67" s="215"/>
      <c r="IR67" s="215"/>
      <c r="IS67" s="215"/>
      <c r="IT67" s="215"/>
      <c r="IU67" s="215"/>
      <c r="IV67" s="215"/>
      <c r="IW67" s="215"/>
      <c r="IX67" s="215"/>
      <c r="IY67" s="215"/>
      <c r="IZ67" s="215"/>
      <c r="JA67" s="215"/>
      <c r="JB67" s="215"/>
      <c r="JC67" s="215"/>
      <c r="JD67" s="215"/>
      <c r="JE67" s="215"/>
      <c r="JF67" s="215"/>
      <c r="JG67" s="215"/>
      <c r="JH67" s="215"/>
      <c r="JI67" s="215"/>
      <c r="JJ67" s="215"/>
      <c r="JK67" s="215"/>
      <c r="JL67" s="215"/>
      <c r="JM67" s="215"/>
      <c r="JN67" s="215"/>
      <c r="JO67" s="215"/>
      <c r="JP67" s="215"/>
      <c r="JQ67" s="215"/>
      <c r="JR67" s="215"/>
      <c r="JS67" s="215"/>
      <c r="JT67" s="215"/>
      <c r="JU67" s="215"/>
      <c r="JV67" s="215"/>
      <c r="JW67" s="215"/>
      <c r="JX67" s="215"/>
      <c r="JY67" s="215"/>
      <c r="JZ67" s="215"/>
      <c r="KA67" s="215"/>
      <c r="KB67" s="215"/>
      <c r="KC67" s="215"/>
      <c r="KD67" s="215"/>
      <c r="KE67" s="215"/>
      <c r="KF67" s="215"/>
      <c r="KG67" s="215"/>
      <c r="KH67" s="215"/>
      <c r="KI67" s="215"/>
      <c r="KJ67" s="215"/>
      <c r="KK67" s="215"/>
      <c r="KL67" s="215"/>
      <c r="KM67" s="215"/>
      <c r="KN67" s="215"/>
      <c r="KO67" s="215"/>
      <c r="KP67" s="215"/>
      <c r="KQ67" s="215"/>
      <c r="KR67" s="215"/>
      <c r="KS67" s="215"/>
      <c r="KT67" s="215"/>
      <c r="KU67" s="215"/>
      <c r="KV67" s="215"/>
      <c r="KW67" s="215"/>
      <c r="KX67" s="215"/>
      <c r="KY67" s="215"/>
      <c r="KZ67" s="215"/>
      <c r="LA67" s="215"/>
      <c r="LB67" s="215"/>
      <c r="LC67" s="215"/>
      <c r="LD67" s="215"/>
      <c r="LE67" s="215"/>
      <c r="LF67" s="215"/>
      <c r="LG67" s="215"/>
      <c r="LH67" s="215"/>
      <c r="LI67" s="215"/>
      <c r="LJ67" s="215"/>
      <c r="LK67" s="215"/>
    </row>
    <row r="68" spans="1:323" s="232" customFormat="1" ht="30" hidden="1" customHeight="1" x14ac:dyDescent="0.25">
      <c r="A68" s="289">
        <v>3</v>
      </c>
      <c r="B68" s="11"/>
      <c r="C68" s="290"/>
      <c r="D68" s="10"/>
      <c r="E68" s="291"/>
      <c r="F68" s="291"/>
      <c r="G68" s="292"/>
      <c r="H68" s="291" t="e">
        <f>+D68*E68*F68*(G68-#REF!)</f>
        <v>#REF!</v>
      </c>
      <c r="I68" s="291">
        <f>+IF(+AND(E68&gt;0.3,E68&lt;=0.75,F68&gt;0.3),($D68*($E68+$F68)*2*($G68-#REF!)),0)</f>
        <v>0</v>
      </c>
      <c r="J68" s="291">
        <f>+IF(+AND(E68&gt;0.3,E68&lt;=0.75,F68&lt;=0.3),($D68*($E68+$F68-0.3-0.3)*2*($G68-#REF!)),0)</f>
        <v>0</v>
      </c>
      <c r="K68" s="291">
        <f>+IF(+AND(E68&gt;0.75,E68&lt;=1.2,F68&gt;0),($D68*($E68+$F68)*2*($G68-#REF!)),0)</f>
        <v>0</v>
      </c>
      <c r="L68" s="291">
        <f>+IF(+AND(E68&gt;1.2,F68&gt;0),($D68*($E68+$F68)*2*($G68-#REF!)),0)</f>
        <v>0</v>
      </c>
      <c r="M68" s="291">
        <f t="shared" si="89"/>
        <v>0</v>
      </c>
      <c r="N68" s="291">
        <f>ROUNDUP(E68/0.6,0)*ROUNDUP(G68/0.6,0)*D68</f>
        <v>0</v>
      </c>
      <c r="O68" s="291">
        <f t="shared" si="90"/>
        <v>0</v>
      </c>
      <c r="P68" s="291">
        <f t="shared" si="90"/>
        <v>0</v>
      </c>
      <c r="Q68" s="291">
        <f t="shared" si="90"/>
        <v>0</v>
      </c>
      <c r="R68" s="291">
        <f t="shared" si="91"/>
        <v>4</v>
      </c>
      <c r="S68" s="291">
        <f t="shared" si="92"/>
        <v>0</v>
      </c>
      <c r="T68" s="291">
        <f>+IF(+AND(P68&gt;0.3,P68&lt;=0.75,Q68&gt;0.3),(O68*(P68+Q68)*2*(R68-$E$11)),0)</f>
        <v>0</v>
      </c>
      <c r="U68" s="291">
        <f>+IF(+AND(P68&gt;0.3,P68&lt;=0.75,Q68&lt;=0.3),(O68*(P68+Q68)*2*(R68-$E$11)),0)</f>
        <v>0</v>
      </c>
      <c r="V68" s="291">
        <f>+IF(+AND(P68&gt;0.75,P68&lt;=1.2,Q68&gt;0),(O68*(P68+Q68)*2*(R68-$E$11)),0)</f>
        <v>0</v>
      </c>
      <c r="W68" s="291">
        <f>+IF(+AND(P68&gt;1.2,Q68&gt;0),(O68*(P68+Q68)*2*(R68-$E$11)),0)</f>
        <v>0</v>
      </c>
      <c r="X68" s="291">
        <f t="shared" ref="X68" si="110">SUM(T68:W68)</f>
        <v>0</v>
      </c>
      <c r="Y68" s="291">
        <f t="shared" si="98"/>
        <v>0</v>
      </c>
      <c r="Z68" s="291">
        <f>O68*0</f>
        <v>0</v>
      </c>
      <c r="AA68" s="291">
        <f t="shared" si="100"/>
        <v>0</v>
      </c>
      <c r="AB68" s="291">
        <f t="shared" si="100"/>
        <v>0</v>
      </c>
      <c r="AC68" s="291">
        <f t="shared" si="101"/>
        <v>7.7</v>
      </c>
      <c r="AD68" s="291">
        <f t="shared" si="102"/>
        <v>0</v>
      </c>
      <c r="AE68" s="291">
        <f t="shared" si="103"/>
        <v>0</v>
      </c>
      <c r="AF68" s="291">
        <f>+IF(+AND(AA68&gt;0.3,AA68&lt;=0.75,AB68&lt;=0.3),(Z68*(AA68+AB68)*2*(AC68-$E$11)),0)</f>
        <v>0</v>
      </c>
      <c r="AG68" s="291">
        <f t="shared" si="105"/>
        <v>0</v>
      </c>
      <c r="AH68" s="291">
        <f t="shared" si="106"/>
        <v>0</v>
      </c>
      <c r="AI68" s="291">
        <f t="shared" si="107"/>
        <v>0</v>
      </c>
      <c r="AJ68" s="291">
        <f t="shared" si="108"/>
        <v>0</v>
      </c>
      <c r="AL68" s="232">
        <f>+ROUNDUP((D68)/4,0)</f>
        <v>0</v>
      </c>
      <c r="AM68" s="293">
        <f>AL68*(2*(P68+Q68)*2.44)</f>
        <v>0</v>
      </c>
      <c r="AN68" s="215"/>
      <c r="AO68" s="215">
        <v>0.8</v>
      </c>
      <c r="AP68" s="215"/>
      <c r="AQ68" s="215"/>
      <c r="AR68" s="215"/>
      <c r="AS68" s="215"/>
      <c r="AT68" s="215"/>
      <c r="AU68" s="215"/>
      <c r="AV68" s="215"/>
      <c r="AW68" s="215"/>
      <c r="AX68" s="215"/>
      <c r="AY68" s="215"/>
      <c r="AZ68" s="291"/>
      <c r="BA68" s="215"/>
      <c r="BB68" s="215"/>
      <c r="BC68" s="215"/>
      <c r="BD68" s="215"/>
      <c r="BE68" s="215"/>
      <c r="BF68" s="215"/>
      <c r="BG68" s="215"/>
      <c r="BH68" s="215"/>
      <c r="BI68" s="215"/>
      <c r="BJ68" s="215"/>
      <c r="BK68" s="215"/>
      <c r="BL68" s="215"/>
      <c r="BM68" s="215"/>
      <c r="BN68" s="215"/>
      <c r="BO68" s="215"/>
      <c r="BP68" s="215"/>
      <c r="BQ68" s="215"/>
      <c r="BR68" s="215"/>
      <c r="BS68" s="215"/>
      <c r="BT68" s="215"/>
      <c r="BU68" s="215"/>
      <c r="BV68" s="215"/>
      <c r="BW68" s="215"/>
      <c r="BX68" s="215"/>
      <c r="BY68" s="215"/>
      <c r="BZ68" s="215"/>
      <c r="CA68" s="215"/>
      <c r="CB68" s="215"/>
      <c r="CC68" s="215"/>
      <c r="CD68" s="215"/>
      <c r="CE68" s="215"/>
      <c r="CF68" s="215"/>
      <c r="CG68" s="215"/>
      <c r="CH68" s="215"/>
      <c r="CI68" s="215"/>
      <c r="CJ68" s="215"/>
      <c r="CK68" s="215"/>
      <c r="CL68" s="215"/>
      <c r="CM68" s="215"/>
      <c r="CN68" s="215"/>
      <c r="CO68" s="215"/>
      <c r="CP68" s="215"/>
      <c r="CQ68" s="215"/>
      <c r="CR68" s="215"/>
      <c r="CS68" s="215"/>
      <c r="CT68" s="215"/>
      <c r="CU68" s="215"/>
      <c r="CV68" s="215"/>
      <c r="CW68" s="215"/>
      <c r="CX68" s="215"/>
      <c r="CY68" s="215"/>
      <c r="CZ68" s="215"/>
      <c r="DA68" s="215"/>
      <c r="DB68" s="215"/>
      <c r="DC68" s="215"/>
      <c r="DD68" s="215"/>
      <c r="DE68" s="215"/>
      <c r="DF68" s="215"/>
      <c r="DG68" s="215"/>
      <c r="DH68" s="215"/>
      <c r="DI68" s="215"/>
      <c r="DJ68" s="215"/>
      <c r="DK68" s="215"/>
      <c r="DL68" s="215"/>
      <c r="DM68" s="215"/>
      <c r="DN68" s="215"/>
      <c r="DO68" s="215"/>
      <c r="DP68" s="215"/>
      <c r="DQ68" s="215"/>
      <c r="DR68" s="215"/>
      <c r="DS68" s="215"/>
      <c r="DT68" s="215"/>
      <c r="DU68" s="215"/>
      <c r="DV68" s="215"/>
      <c r="DW68" s="215"/>
      <c r="DX68" s="215"/>
      <c r="DY68" s="215"/>
      <c r="DZ68" s="215"/>
      <c r="EA68" s="215"/>
      <c r="EB68" s="215"/>
      <c r="EC68" s="215"/>
      <c r="ED68" s="215"/>
      <c r="EE68" s="215"/>
      <c r="EF68" s="215"/>
      <c r="EG68" s="215"/>
      <c r="EH68" s="215"/>
      <c r="EI68" s="215"/>
      <c r="EJ68" s="215"/>
      <c r="EK68" s="215"/>
      <c r="EL68" s="215"/>
      <c r="EM68" s="215"/>
      <c r="EN68" s="215"/>
      <c r="EO68" s="215"/>
      <c r="EP68" s="215"/>
      <c r="EQ68" s="215"/>
      <c r="ER68" s="215"/>
      <c r="ES68" s="215"/>
      <c r="ET68" s="215"/>
      <c r="EU68" s="215"/>
      <c r="EV68" s="215"/>
      <c r="EW68" s="215"/>
      <c r="EX68" s="215"/>
      <c r="EY68" s="215"/>
      <c r="EZ68" s="215"/>
      <c r="FA68" s="215"/>
      <c r="FB68" s="215"/>
      <c r="FC68" s="215"/>
      <c r="FD68" s="215"/>
      <c r="FE68" s="215"/>
      <c r="FF68" s="215"/>
      <c r="FG68" s="215"/>
      <c r="FH68" s="215"/>
      <c r="FI68" s="215"/>
      <c r="FJ68" s="215"/>
      <c r="FK68" s="215"/>
      <c r="FL68" s="215"/>
      <c r="FM68" s="215"/>
      <c r="FN68" s="215"/>
      <c r="FO68" s="215"/>
      <c r="FP68" s="215"/>
      <c r="FQ68" s="215"/>
      <c r="FR68" s="215"/>
      <c r="FS68" s="215"/>
      <c r="FT68" s="215"/>
      <c r="FU68" s="215"/>
      <c r="FV68" s="215"/>
      <c r="FW68" s="215"/>
      <c r="FX68" s="215"/>
      <c r="FY68" s="215"/>
      <c r="FZ68" s="215"/>
      <c r="GA68" s="215"/>
      <c r="GB68" s="215"/>
      <c r="GC68" s="215"/>
      <c r="GD68" s="215"/>
      <c r="GE68" s="215"/>
      <c r="GF68" s="215"/>
      <c r="GG68" s="215"/>
      <c r="GH68" s="215"/>
      <c r="GI68" s="215"/>
      <c r="GJ68" s="215"/>
      <c r="GK68" s="215"/>
      <c r="GL68" s="215"/>
      <c r="GM68" s="215"/>
      <c r="GN68" s="215"/>
      <c r="GO68" s="215"/>
      <c r="GP68" s="215"/>
      <c r="GQ68" s="215"/>
      <c r="GR68" s="215"/>
      <c r="GS68" s="215"/>
      <c r="GT68" s="215"/>
      <c r="GU68" s="215"/>
      <c r="GV68" s="215"/>
      <c r="GW68" s="215"/>
      <c r="GX68" s="215"/>
      <c r="GY68" s="215"/>
      <c r="GZ68" s="215"/>
      <c r="HA68" s="215"/>
      <c r="HB68" s="215"/>
      <c r="HC68" s="215"/>
      <c r="HD68" s="215"/>
      <c r="HE68" s="215"/>
      <c r="HF68" s="215"/>
      <c r="HG68" s="215"/>
      <c r="HH68" s="215"/>
      <c r="HI68" s="215"/>
      <c r="HJ68" s="215"/>
      <c r="HK68" s="215"/>
      <c r="HL68" s="215"/>
      <c r="HM68" s="215"/>
      <c r="HN68" s="215"/>
      <c r="HO68" s="215"/>
      <c r="HP68" s="215"/>
      <c r="HQ68" s="215"/>
      <c r="HR68" s="215"/>
      <c r="HS68" s="215"/>
      <c r="HT68" s="215"/>
      <c r="HU68" s="215"/>
      <c r="HV68" s="215"/>
      <c r="HW68" s="215"/>
      <c r="HX68" s="215"/>
      <c r="HY68" s="215"/>
      <c r="HZ68" s="215"/>
      <c r="IA68" s="215"/>
      <c r="IB68" s="215"/>
      <c r="IC68" s="215"/>
      <c r="ID68" s="215"/>
      <c r="IE68" s="215"/>
      <c r="IF68" s="215"/>
      <c r="IG68" s="215"/>
      <c r="IH68" s="215"/>
      <c r="II68" s="215"/>
      <c r="IJ68" s="215"/>
      <c r="IK68" s="215"/>
      <c r="IL68" s="215"/>
      <c r="IM68" s="215"/>
      <c r="IN68" s="215"/>
      <c r="IO68" s="215"/>
      <c r="IP68" s="215"/>
      <c r="IQ68" s="215"/>
      <c r="IR68" s="215"/>
      <c r="IS68" s="215"/>
      <c r="IT68" s="215"/>
      <c r="IU68" s="215"/>
      <c r="IV68" s="215"/>
      <c r="IW68" s="215"/>
      <c r="IX68" s="215"/>
      <c r="IY68" s="215"/>
      <c r="IZ68" s="215"/>
      <c r="JA68" s="215"/>
      <c r="JB68" s="215"/>
      <c r="JC68" s="215"/>
      <c r="JD68" s="215"/>
      <c r="JE68" s="215"/>
      <c r="JF68" s="215"/>
      <c r="JG68" s="215"/>
      <c r="JH68" s="215"/>
      <c r="JI68" s="215"/>
      <c r="JJ68" s="215"/>
      <c r="JK68" s="215"/>
      <c r="JL68" s="215"/>
      <c r="JM68" s="215"/>
      <c r="JN68" s="215"/>
      <c r="JO68" s="215"/>
      <c r="JP68" s="215"/>
      <c r="JQ68" s="215"/>
      <c r="JR68" s="215"/>
      <c r="JS68" s="215"/>
      <c r="JT68" s="215"/>
      <c r="JU68" s="215"/>
      <c r="JV68" s="215"/>
      <c r="JW68" s="215"/>
      <c r="JX68" s="215"/>
      <c r="JY68" s="215"/>
      <c r="JZ68" s="215"/>
      <c r="KA68" s="215"/>
      <c r="KB68" s="215"/>
      <c r="KC68" s="215"/>
      <c r="KD68" s="215"/>
      <c r="KE68" s="215"/>
      <c r="KF68" s="215"/>
      <c r="KG68" s="215"/>
      <c r="KH68" s="215"/>
      <c r="KI68" s="215"/>
      <c r="KJ68" s="215"/>
      <c r="KK68" s="215"/>
      <c r="KL68" s="215"/>
      <c r="KM68" s="215"/>
      <c r="KN68" s="215"/>
      <c r="KO68" s="215"/>
      <c r="KP68" s="215"/>
      <c r="KQ68" s="215"/>
      <c r="KR68" s="215"/>
      <c r="KS68" s="215"/>
      <c r="KT68" s="215"/>
      <c r="KU68" s="215"/>
      <c r="KV68" s="215"/>
      <c r="KW68" s="215"/>
      <c r="KX68" s="215"/>
      <c r="KY68" s="215"/>
      <c r="KZ68" s="215"/>
      <c r="LA68" s="215"/>
      <c r="LB68" s="215"/>
      <c r="LC68" s="215"/>
      <c r="LD68" s="215"/>
      <c r="LE68" s="215"/>
      <c r="LF68" s="215"/>
      <c r="LG68" s="215"/>
      <c r="LH68" s="215"/>
      <c r="LI68" s="215"/>
      <c r="LJ68" s="215"/>
      <c r="LK68" s="215"/>
    </row>
    <row r="69" spans="1:323" s="232" customFormat="1" ht="30" hidden="1" customHeight="1" x14ac:dyDescent="0.25">
      <c r="A69" s="289"/>
      <c r="B69" s="11"/>
      <c r="C69" s="290"/>
      <c r="D69" s="10"/>
      <c r="E69" s="291"/>
      <c r="F69" s="291"/>
      <c r="G69" s="292"/>
      <c r="H69" s="291"/>
      <c r="I69" s="291"/>
      <c r="J69" s="291"/>
      <c r="K69" s="291"/>
      <c r="L69" s="291"/>
      <c r="M69" s="291"/>
      <c r="N69" s="291"/>
      <c r="O69" s="291"/>
      <c r="P69" s="291"/>
      <c r="Q69" s="291"/>
      <c r="R69" s="291"/>
      <c r="S69" s="291"/>
      <c r="T69" s="291"/>
      <c r="U69" s="291"/>
      <c r="V69" s="291"/>
      <c r="W69" s="291"/>
      <c r="X69" s="291"/>
      <c r="Y69" s="291"/>
      <c r="Z69" s="291"/>
      <c r="AA69" s="291"/>
      <c r="AB69" s="291"/>
      <c r="AC69" s="291"/>
      <c r="AD69" s="291"/>
      <c r="AE69" s="291"/>
      <c r="AF69" s="291"/>
      <c r="AG69" s="291"/>
      <c r="AH69" s="291"/>
      <c r="AI69" s="291"/>
      <c r="AJ69" s="291"/>
      <c r="AM69" s="293"/>
      <c r="AN69" s="215"/>
      <c r="AO69" s="215"/>
      <c r="AP69" s="215"/>
      <c r="AQ69" s="215"/>
      <c r="AR69" s="215"/>
      <c r="AS69" s="215"/>
      <c r="AT69" s="215"/>
      <c r="AU69" s="215"/>
      <c r="AV69" s="215"/>
      <c r="AW69" s="215"/>
      <c r="AX69" s="215"/>
      <c r="AY69" s="215"/>
      <c r="AZ69" s="291"/>
      <c r="BA69" s="215"/>
      <c r="BB69" s="215"/>
      <c r="BC69" s="215"/>
      <c r="BD69" s="215"/>
      <c r="BE69" s="215"/>
      <c r="BF69" s="215"/>
      <c r="BG69" s="215"/>
      <c r="BH69" s="215"/>
      <c r="BI69" s="215"/>
      <c r="BJ69" s="215"/>
      <c r="BK69" s="215"/>
      <c r="BL69" s="215"/>
      <c r="BM69" s="215"/>
      <c r="BN69" s="215"/>
      <c r="BO69" s="215"/>
      <c r="BP69" s="215"/>
      <c r="BQ69" s="215"/>
      <c r="BR69" s="215"/>
      <c r="BS69" s="215"/>
      <c r="BT69" s="215"/>
      <c r="BU69" s="215"/>
      <c r="BV69" s="215"/>
      <c r="BW69" s="215"/>
      <c r="BX69" s="215"/>
      <c r="BY69" s="215"/>
      <c r="BZ69" s="215"/>
      <c r="CA69" s="215"/>
      <c r="CB69" s="215"/>
      <c r="CC69" s="215"/>
      <c r="CD69" s="215"/>
      <c r="CE69" s="215"/>
      <c r="CF69" s="215"/>
      <c r="CG69" s="215"/>
      <c r="CH69" s="215"/>
      <c r="CI69" s="215"/>
      <c r="CJ69" s="215"/>
      <c r="CK69" s="215"/>
      <c r="CL69" s="215"/>
      <c r="CM69" s="215"/>
      <c r="CN69" s="215"/>
      <c r="CO69" s="215"/>
      <c r="CP69" s="215"/>
      <c r="CQ69" s="215"/>
      <c r="CR69" s="215"/>
      <c r="CS69" s="215"/>
      <c r="CT69" s="215"/>
      <c r="CU69" s="215"/>
      <c r="CV69" s="215"/>
      <c r="CW69" s="215"/>
      <c r="CX69" s="215"/>
      <c r="CY69" s="215"/>
      <c r="CZ69" s="215"/>
      <c r="DA69" s="215"/>
      <c r="DB69" s="215"/>
      <c r="DC69" s="215"/>
      <c r="DD69" s="215"/>
      <c r="DE69" s="215"/>
      <c r="DF69" s="215"/>
      <c r="DG69" s="215"/>
      <c r="DH69" s="215"/>
      <c r="DI69" s="215"/>
      <c r="DJ69" s="215"/>
      <c r="DK69" s="215"/>
      <c r="DL69" s="215"/>
      <c r="DM69" s="215"/>
      <c r="DN69" s="215"/>
      <c r="DO69" s="215"/>
      <c r="DP69" s="215"/>
      <c r="DQ69" s="215"/>
      <c r="DR69" s="215"/>
      <c r="DS69" s="215"/>
      <c r="DT69" s="215"/>
      <c r="DU69" s="215"/>
      <c r="DV69" s="215"/>
      <c r="DW69" s="215"/>
      <c r="DX69" s="215"/>
      <c r="DY69" s="215"/>
      <c r="DZ69" s="215"/>
      <c r="EA69" s="215"/>
      <c r="EB69" s="215"/>
      <c r="EC69" s="215"/>
      <c r="ED69" s="215"/>
      <c r="EE69" s="215"/>
      <c r="EF69" s="215"/>
      <c r="EG69" s="215"/>
      <c r="EH69" s="215"/>
      <c r="EI69" s="215"/>
      <c r="EJ69" s="215"/>
      <c r="EK69" s="215"/>
      <c r="EL69" s="215"/>
      <c r="EM69" s="215"/>
      <c r="EN69" s="215"/>
      <c r="EO69" s="215"/>
      <c r="EP69" s="215"/>
      <c r="EQ69" s="215"/>
      <c r="ER69" s="215"/>
      <c r="ES69" s="215"/>
      <c r="ET69" s="215"/>
      <c r="EU69" s="215"/>
      <c r="EV69" s="215"/>
      <c r="EW69" s="215"/>
      <c r="EX69" s="215"/>
      <c r="EY69" s="215"/>
      <c r="EZ69" s="215"/>
      <c r="FA69" s="215"/>
      <c r="FB69" s="215"/>
      <c r="FC69" s="215"/>
      <c r="FD69" s="215"/>
      <c r="FE69" s="215"/>
      <c r="FF69" s="215"/>
      <c r="FG69" s="215"/>
      <c r="FH69" s="215"/>
      <c r="FI69" s="215"/>
      <c r="FJ69" s="215"/>
      <c r="FK69" s="215"/>
      <c r="FL69" s="215"/>
      <c r="FM69" s="215"/>
      <c r="FN69" s="215"/>
      <c r="FO69" s="215"/>
      <c r="FP69" s="215"/>
      <c r="FQ69" s="215"/>
      <c r="FR69" s="215"/>
      <c r="FS69" s="215"/>
      <c r="FT69" s="215"/>
      <c r="FU69" s="215"/>
      <c r="FV69" s="215"/>
      <c r="FW69" s="215"/>
      <c r="FX69" s="215"/>
      <c r="FY69" s="215"/>
      <c r="FZ69" s="215"/>
      <c r="GA69" s="215"/>
      <c r="GB69" s="215"/>
      <c r="GC69" s="215"/>
      <c r="GD69" s="215"/>
      <c r="GE69" s="215"/>
      <c r="GF69" s="215"/>
      <c r="GG69" s="215"/>
      <c r="GH69" s="215"/>
      <c r="GI69" s="215"/>
      <c r="GJ69" s="215"/>
      <c r="GK69" s="215"/>
      <c r="GL69" s="215"/>
      <c r="GM69" s="215"/>
      <c r="GN69" s="215"/>
      <c r="GO69" s="215"/>
      <c r="GP69" s="215"/>
      <c r="GQ69" s="215"/>
      <c r="GR69" s="215"/>
      <c r="GS69" s="215"/>
      <c r="GT69" s="215"/>
      <c r="GU69" s="215"/>
      <c r="GV69" s="215"/>
      <c r="GW69" s="215"/>
      <c r="GX69" s="215"/>
      <c r="GY69" s="215"/>
      <c r="GZ69" s="215"/>
      <c r="HA69" s="215"/>
      <c r="HB69" s="215"/>
      <c r="HC69" s="215"/>
      <c r="HD69" s="215"/>
      <c r="HE69" s="215"/>
      <c r="HF69" s="215"/>
      <c r="HG69" s="215"/>
      <c r="HH69" s="215"/>
      <c r="HI69" s="215"/>
      <c r="HJ69" s="215"/>
      <c r="HK69" s="215"/>
      <c r="HL69" s="215"/>
      <c r="HM69" s="215"/>
      <c r="HN69" s="215"/>
      <c r="HO69" s="215"/>
      <c r="HP69" s="215"/>
      <c r="HQ69" s="215"/>
      <c r="HR69" s="215"/>
      <c r="HS69" s="215"/>
      <c r="HT69" s="215"/>
      <c r="HU69" s="215"/>
      <c r="HV69" s="215"/>
      <c r="HW69" s="215"/>
      <c r="HX69" s="215"/>
      <c r="HY69" s="215"/>
      <c r="HZ69" s="215"/>
      <c r="IA69" s="215"/>
      <c r="IB69" s="215"/>
      <c r="IC69" s="215"/>
      <c r="ID69" s="215"/>
      <c r="IE69" s="215"/>
      <c r="IF69" s="215"/>
      <c r="IG69" s="215"/>
      <c r="IH69" s="215"/>
      <c r="II69" s="215"/>
      <c r="IJ69" s="215"/>
      <c r="IK69" s="215"/>
      <c r="IL69" s="215"/>
      <c r="IM69" s="215"/>
      <c r="IN69" s="215"/>
      <c r="IO69" s="215"/>
      <c r="IP69" s="215"/>
      <c r="IQ69" s="215"/>
      <c r="IR69" s="215"/>
      <c r="IS69" s="215"/>
      <c r="IT69" s="215"/>
      <c r="IU69" s="215"/>
      <c r="IV69" s="215"/>
      <c r="IW69" s="215"/>
      <c r="IX69" s="215"/>
      <c r="IY69" s="215"/>
      <c r="IZ69" s="215"/>
      <c r="JA69" s="215"/>
      <c r="JB69" s="215"/>
      <c r="JC69" s="215"/>
      <c r="JD69" s="215"/>
      <c r="JE69" s="215"/>
      <c r="JF69" s="215"/>
      <c r="JG69" s="215"/>
      <c r="JH69" s="215"/>
      <c r="JI69" s="215"/>
      <c r="JJ69" s="215"/>
      <c r="JK69" s="215"/>
      <c r="JL69" s="215"/>
      <c r="JM69" s="215"/>
      <c r="JN69" s="215"/>
      <c r="JO69" s="215"/>
      <c r="JP69" s="215"/>
      <c r="JQ69" s="215"/>
      <c r="JR69" s="215"/>
      <c r="JS69" s="215"/>
      <c r="JT69" s="215"/>
      <c r="JU69" s="215"/>
      <c r="JV69" s="215"/>
      <c r="JW69" s="215"/>
      <c r="JX69" s="215"/>
      <c r="JY69" s="215"/>
      <c r="JZ69" s="215"/>
      <c r="KA69" s="215"/>
      <c r="KB69" s="215"/>
      <c r="KC69" s="215"/>
      <c r="KD69" s="215"/>
      <c r="KE69" s="215"/>
      <c r="KF69" s="215"/>
      <c r="KG69" s="215"/>
      <c r="KH69" s="215"/>
      <c r="KI69" s="215"/>
      <c r="KJ69" s="215"/>
      <c r="KK69" s="215"/>
      <c r="KL69" s="215"/>
      <c r="KM69" s="215"/>
      <c r="KN69" s="215"/>
      <c r="KO69" s="215"/>
      <c r="KP69" s="215"/>
      <c r="KQ69" s="215"/>
      <c r="KR69" s="215"/>
      <c r="KS69" s="215"/>
      <c r="KT69" s="215"/>
      <c r="KU69" s="215"/>
      <c r="KV69" s="215"/>
      <c r="KW69" s="215"/>
      <c r="KX69" s="215"/>
      <c r="KY69" s="215"/>
      <c r="KZ69" s="215"/>
      <c r="LA69" s="215"/>
      <c r="LB69" s="215"/>
      <c r="LC69" s="215"/>
      <c r="LD69" s="215"/>
      <c r="LE69" s="215"/>
      <c r="LF69" s="215"/>
      <c r="LG69" s="215"/>
      <c r="LH69" s="215"/>
      <c r="LI69" s="215"/>
      <c r="LJ69" s="215"/>
      <c r="LK69" s="215"/>
    </row>
    <row r="70" spans="1:323" s="256" customFormat="1" ht="30" hidden="1" customHeight="1" x14ac:dyDescent="0.25">
      <c r="A70" s="304"/>
      <c r="B70" s="305" t="s">
        <v>448</v>
      </c>
      <c r="C70" s="297"/>
      <c r="D70" s="305">
        <f>SUM(D66:D69)</f>
        <v>12</v>
      </c>
      <c r="E70" s="305"/>
      <c r="F70" s="305"/>
      <c r="G70" s="305"/>
      <c r="H70" s="305" t="e">
        <f t="shared" ref="H70:AM70" si="111">SUM(H66:H69)</f>
        <v>#REF!</v>
      </c>
      <c r="I70" s="305">
        <f t="shared" si="111"/>
        <v>0</v>
      </c>
      <c r="J70" s="305" t="e">
        <f t="shared" si="111"/>
        <v>#REF!</v>
      </c>
      <c r="K70" s="305">
        <f t="shared" si="111"/>
        <v>0</v>
      </c>
      <c r="L70" s="305">
        <f t="shared" si="111"/>
        <v>0</v>
      </c>
      <c r="M70" s="305" t="e">
        <f t="shared" si="111"/>
        <v>#REF!</v>
      </c>
      <c r="N70" s="305">
        <f t="shared" si="111"/>
        <v>-48</v>
      </c>
      <c r="O70" s="305">
        <f t="shared" si="111"/>
        <v>12</v>
      </c>
      <c r="P70" s="305">
        <f t="shared" si="111"/>
        <v>0.7</v>
      </c>
      <c r="Q70" s="305">
        <f t="shared" si="111"/>
        <v>0.3</v>
      </c>
      <c r="R70" s="305">
        <f t="shared" si="111"/>
        <v>12</v>
      </c>
      <c r="S70" s="305">
        <f t="shared" si="111"/>
        <v>10.079999999999998</v>
      </c>
      <c r="T70" s="305">
        <f t="shared" si="111"/>
        <v>0</v>
      </c>
      <c r="U70" s="305">
        <f t="shared" si="111"/>
        <v>79.800000000000011</v>
      </c>
      <c r="V70" s="305">
        <f t="shared" si="111"/>
        <v>0</v>
      </c>
      <c r="W70" s="305">
        <f t="shared" si="111"/>
        <v>0</v>
      </c>
      <c r="X70" s="305">
        <f t="shared" si="111"/>
        <v>79.800000000000011</v>
      </c>
      <c r="Y70" s="305">
        <f t="shared" si="111"/>
        <v>168</v>
      </c>
      <c r="Z70" s="305">
        <f t="shared" si="111"/>
        <v>12</v>
      </c>
      <c r="AA70" s="305">
        <f t="shared" si="111"/>
        <v>0.7</v>
      </c>
      <c r="AB70" s="305">
        <f t="shared" si="111"/>
        <v>0.3</v>
      </c>
      <c r="AC70" s="305">
        <f t="shared" si="111"/>
        <v>23.1</v>
      </c>
      <c r="AD70" s="305">
        <f t="shared" si="111"/>
        <v>19.403999999999996</v>
      </c>
      <c r="AE70" s="305">
        <f t="shared" si="111"/>
        <v>0</v>
      </c>
      <c r="AF70" s="305">
        <f t="shared" si="111"/>
        <v>168.60000000000002</v>
      </c>
      <c r="AG70" s="305">
        <f t="shared" si="111"/>
        <v>0</v>
      </c>
      <c r="AH70" s="305">
        <f t="shared" si="111"/>
        <v>0</v>
      </c>
      <c r="AI70" s="305">
        <f t="shared" si="111"/>
        <v>168.60000000000002</v>
      </c>
      <c r="AJ70" s="305">
        <f t="shared" si="111"/>
        <v>312</v>
      </c>
      <c r="AK70" s="305">
        <f t="shared" si="111"/>
        <v>0</v>
      </c>
      <c r="AL70" s="305">
        <f t="shared" si="111"/>
        <v>3</v>
      </c>
      <c r="AM70" s="305">
        <f t="shared" si="111"/>
        <v>14.64</v>
      </c>
      <c r="AN70" s="297"/>
      <c r="AO70" s="297"/>
      <c r="AP70" s="297"/>
      <c r="AQ70" s="297" t="e">
        <f>SUM(H70:AM70)</f>
        <v>#REF!</v>
      </c>
      <c r="AR70" s="297"/>
      <c r="AS70" s="297"/>
      <c r="AT70" s="297"/>
      <c r="AU70" s="297"/>
      <c r="AV70" s="297"/>
      <c r="AW70" s="297"/>
      <c r="AX70" s="297"/>
      <c r="AY70" s="297"/>
      <c r="AZ70" s="297"/>
      <c r="BA70" s="217"/>
      <c r="BB70" s="217"/>
      <c r="BC70" s="217"/>
      <c r="BD70" s="217"/>
      <c r="BE70" s="217"/>
      <c r="BF70" s="217"/>
      <c r="BG70" s="217"/>
      <c r="BH70" s="217"/>
      <c r="BI70" s="217"/>
      <c r="BJ70" s="217"/>
      <c r="BK70" s="217"/>
      <c r="BL70" s="217"/>
      <c r="BM70" s="217"/>
      <c r="BN70" s="217"/>
      <c r="BO70" s="217"/>
      <c r="BP70" s="217"/>
      <c r="BQ70" s="217"/>
      <c r="BR70" s="215"/>
      <c r="BS70" s="215"/>
      <c r="BT70" s="215"/>
      <c r="BU70" s="215"/>
      <c r="BV70" s="215"/>
      <c r="BW70" s="215"/>
      <c r="BX70" s="215"/>
      <c r="BY70" s="215"/>
      <c r="BZ70" s="215"/>
      <c r="CA70" s="215"/>
      <c r="CB70" s="215"/>
      <c r="CC70" s="215"/>
      <c r="CD70" s="215"/>
      <c r="CE70" s="215"/>
      <c r="CF70" s="215"/>
      <c r="CG70" s="215"/>
      <c r="CH70" s="215"/>
      <c r="CI70" s="215"/>
      <c r="CJ70" s="215"/>
      <c r="CK70" s="215"/>
      <c r="CL70" s="215"/>
      <c r="CM70" s="215"/>
      <c r="CN70" s="215"/>
      <c r="CO70" s="215"/>
      <c r="CP70" s="215"/>
      <c r="CQ70" s="215"/>
      <c r="CR70" s="215"/>
      <c r="CS70" s="215"/>
      <c r="CT70" s="215"/>
      <c r="CU70" s="215"/>
      <c r="CV70" s="215"/>
      <c r="CW70" s="215"/>
      <c r="CX70" s="215"/>
      <c r="CY70" s="215"/>
      <c r="CZ70" s="215"/>
      <c r="DA70" s="215"/>
      <c r="DB70" s="215"/>
      <c r="DC70" s="215"/>
      <c r="DD70" s="215"/>
      <c r="DE70" s="215"/>
      <c r="DF70" s="215"/>
      <c r="DG70" s="215"/>
      <c r="DH70" s="215"/>
      <c r="DI70" s="215"/>
      <c r="DJ70" s="215"/>
      <c r="DK70" s="215"/>
      <c r="DL70" s="215"/>
      <c r="DM70" s="215"/>
      <c r="DN70" s="215"/>
      <c r="DO70" s="215"/>
      <c r="DP70" s="215"/>
      <c r="DQ70" s="215"/>
      <c r="DR70" s="215"/>
      <c r="DS70" s="215"/>
      <c r="DT70" s="215"/>
      <c r="DU70" s="215"/>
      <c r="DV70" s="215"/>
      <c r="DW70" s="215"/>
      <c r="DX70" s="215"/>
      <c r="DY70" s="215"/>
      <c r="DZ70" s="215"/>
      <c r="EA70" s="215"/>
      <c r="EB70" s="215"/>
      <c r="EC70" s="215"/>
      <c r="ED70" s="215"/>
      <c r="EE70" s="215"/>
      <c r="EF70" s="215"/>
      <c r="EG70" s="215"/>
      <c r="EH70" s="215"/>
      <c r="EI70" s="215"/>
      <c r="EJ70" s="215"/>
      <c r="EK70" s="215"/>
      <c r="EL70" s="215"/>
      <c r="EM70" s="215"/>
      <c r="EN70" s="215"/>
      <c r="EO70" s="215"/>
      <c r="EP70" s="215"/>
      <c r="EQ70" s="215"/>
      <c r="ER70" s="215"/>
      <c r="ES70" s="215"/>
      <c r="ET70" s="215"/>
      <c r="EU70" s="215"/>
      <c r="EV70" s="215"/>
      <c r="EW70" s="215"/>
      <c r="EX70" s="215"/>
      <c r="EY70" s="215"/>
      <c r="EZ70" s="215"/>
      <c r="FA70" s="215"/>
      <c r="FB70" s="215"/>
      <c r="FC70" s="215"/>
      <c r="FD70" s="215"/>
      <c r="FE70" s="215"/>
      <c r="FF70" s="215"/>
      <c r="FG70" s="215"/>
      <c r="FH70" s="215"/>
      <c r="FI70" s="215"/>
      <c r="FJ70" s="215"/>
      <c r="FK70" s="215"/>
      <c r="FL70" s="215"/>
      <c r="FM70" s="215"/>
      <c r="FN70" s="215"/>
      <c r="FO70" s="215"/>
      <c r="FP70" s="215"/>
      <c r="FQ70" s="215"/>
      <c r="FR70" s="215"/>
      <c r="FS70" s="215"/>
      <c r="FT70" s="215"/>
      <c r="FU70" s="215"/>
      <c r="FV70" s="215"/>
      <c r="FW70" s="215"/>
      <c r="FX70" s="215"/>
      <c r="FY70" s="215"/>
      <c r="FZ70" s="215"/>
      <c r="GA70" s="215"/>
      <c r="GB70" s="215"/>
      <c r="GC70" s="215"/>
      <c r="GD70" s="215"/>
      <c r="GE70" s="215"/>
      <c r="GF70" s="215"/>
      <c r="GG70" s="215"/>
      <c r="GH70" s="215"/>
      <c r="GI70" s="215"/>
      <c r="GJ70" s="215"/>
      <c r="GK70" s="215"/>
      <c r="GL70" s="215"/>
      <c r="GM70" s="215"/>
      <c r="GN70" s="215"/>
      <c r="GO70" s="215"/>
      <c r="GP70" s="215"/>
      <c r="GQ70" s="215"/>
      <c r="GR70" s="215"/>
      <c r="GS70" s="215"/>
      <c r="GT70" s="215"/>
      <c r="GU70" s="215"/>
      <c r="GV70" s="215"/>
      <c r="GW70" s="215"/>
      <c r="GX70" s="215"/>
      <c r="GY70" s="215"/>
      <c r="GZ70" s="215"/>
      <c r="HA70" s="215"/>
      <c r="HB70" s="215"/>
      <c r="HC70" s="215"/>
      <c r="HD70" s="215"/>
      <c r="HE70" s="215"/>
      <c r="HF70" s="215"/>
      <c r="HG70" s="215"/>
      <c r="HH70" s="215"/>
      <c r="HI70" s="215"/>
      <c r="HJ70" s="215"/>
      <c r="HK70" s="215"/>
      <c r="HL70" s="215"/>
      <c r="HM70" s="215"/>
      <c r="HN70" s="215"/>
      <c r="HO70" s="215"/>
      <c r="HP70" s="215"/>
      <c r="HQ70" s="215"/>
      <c r="HR70" s="215"/>
      <c r="HS70" s="215"/>
      <c r="HT70" s="215"/>
      <c r="HU70" s="215"/>
      <c r="HV70" s="215"/>
      <c r="HW70" s="215"/>
      <c r="HX70" s="215"/>
      <c r="HY70" s="215"/>
      <c r="HZ70" s="215"/>
      <c r="IA70" s="215"/>
      <c r="IB70" s="215"/>
      <c r="IC70" s="215"/>
      <c r="ID70" s="215"/>
      <c r="IE70" s="215"/>
      <c r="IF70" s="215"/>
      <c r="IG70" s="215"/>
      <c r="IH70" s="215"/>
      <c r="II70" s="215"/>
      <c r="IJ70" s="215"/>
      <c r="IK70" s="215"/>
      <c r="IL70" s="215"/>
      <c r="IM70" s="215"/>
      <c r="IN70" s="215"/>
      <c r="IO70" s="215"/>
      <c r="IP70" s="215"/>
      <c r="IQ70" s="215"/>
      <c r="IR70" s="215"/>
      <c r="IS70" s="215"/>
      <c r="IT70" s="215"/>
      <c r="IU70" s="215"/>
      <c r="IV70" s="215"/>
      <c r="IW70" s="215"/>
      <c r="IX70" s="215"/>
      <c r="IY70" s="215"/>
      <c r="IZ70" s="215"/>
      <c r="JA70" s="215"/>
      <c r="JB70" s="215"/>
      <c r="JC70" s="215"/>
      <c r="JD70" s="215"/>
      <c r="JE70" s="215"/>
      <c r="JF70" s="215"/>
      <c r="JG70" s="215"/>
      <c r="JH70" s="215"/>
      <c r="JI70" s="215"/>
      <c r="JJ70" s="215"/>
      <c r="JK70" s="215"/>
      <c r="JL70" s="215"/>
      <c r="JM70" s="215"/>
      <c r="JN70" s="215"/>
      <c r="JO70" s="215"/>
      <c r="JP70" s="215"/>
      <c r="JQ70" s="215"/>
      <c r="JR70" s="215"/>
      <c r="JS70" s="215"/>
      <c r="JT70" s="215"/>
      <c r="JU70" s="215"/>
      <c r="JV70" s="215"/>
      <c r="JW70" s="215"/>
      <c r="JX70" s="215"/>
      <c r="JY70" s="215"/>
      <c r="JZ70" s="215"/>
      <c r="KA70" s="215"/>
      <c r="KB70" s="215"/>
      <c r="KC70" s="215"/>
      <c r="KD70" s="215"/>
      <c r="KE70" s="215"/>
      <c r="KF70" s="215"/>
      <c r="KG70" s="215"/>
      <c r="KH70" s="215"/>
      <c r="KI70" s="215"/>
      <c r="KJ70" s="215"/>
      <c r="KK70" s="215"/>
      <c r="KL70" s="215"/>
      <c r="KM70" s="215"/>
      <c r="KN70" s="215"/>
      <c r="KO70" s="215"/>
      <c r="KP70" s="215"/>
      <c r="KQ70" s="215"/>
      <c r="KR70" s="215"/>
      <c r="KS70" s="215"/>
      <c r="KT70" s="215"/>
      <c r="KU70" s="215"/>
      <c r="KV70" s="215"/>
      <c r="KW70" s="215"/>
      <c r="KX70" s="215"/>
      <c r="KY70" s="215"/>
      <c r="KZ70" s="215"/>
      <c r="LA70" s="215"/>
      <c r="LB70" s="215"/>
      <c r="LC70" s="215"/>
      <c r="LD70" s="215"/>
      <c r="LE70" s="215"/>
      <c r="LF70" s="215"/>
      <c r="LG70" s="215"/>
      <c r="LH70" s="215"/>
      <c r="LI70" s="215"/>
      <c r="LJ70" s="215"/>
      <c r="LK70" s="215"/>
    </row>
    <row r="71" spans="1:323" s="311" customFormat="1" ht="30" hidden="1" customHeight="1" x14ac:dyDescent="0.25">
      <c r="A71" s="306"/>
      <c r="B71" s="307"/>
      <c r="C71" s="297"/>
      <c r="D71" s="297"/>
      <c r="E71" s="297"/>
      <c r="F71" s="297"/>
      <c r="G71" s="297"/>
      <c r="H71" s="308"/>
      <c r="I71" s="308"/>
      <c r="J71" s="308"/>
      <c r="K71" s="308"/>
      <c r="L71" s="308"/>
      <c r="M71" s="308"/>
      <c r="N71" s="297"/>
      <c r="O71" s="307"/>
      <c r="P71" s="297"/>
      <c r="Q71" s="297"/>
      <c r="R71" s="297"/>
      <c r="S71" s="308"/>
      <c r="T71" s="308"/>
      <c r="U71" s="308"/>
      <c r="V71" s="308"/>
      <c r="W71" s="308"/>
      <c r="X71" s="308"/>
      <c r="Y71" s="297"/>
      <c r="Z71" s="297"/>
      <c r="AA71" s="297"/>
      <c r="AB71" s="297"/>
      <c r="AC71" s="297"/>
      <c r="AD71" s="308"/>
      <c r="AE71" s="308"/>
      <c r="AF71" s="308"/>
      <c r="AG71" s="308"/>
      <c r="AH71" s="308"/>
      <c r="AI71" s="308"/>
      <c r="AJ71" s="297"/>
      <c r="AK71" s="308"/>
      <c r="AL71" s="309"/>
      <c r="AM71" s="310"/>
      <c r="AN71" s="297"/>
      <c r="AO71" s="297"/>
      <c r="AP71" s="297"/>
      <c r="AQ71" s="297"/>
      <c r="AR71" s="297"/>
      <c r="AS71" s="297"/>
      <c r="AT71" s="297"/>
      <c r="AU71" s="297"/>
      <c r="AV71" s="297"/>
      <c r="AW71" s="297"/>
      <c r="AX71" s="297"/>
      <c r="AY71" s="297"/>
      <c r="AZ71" s="297"/>
      <c r="BA71" s="217"/>
      <c r="BB71" s="217"/>
      <c r="BC71" s="217"/>
      <c r="BD71" s="217"/>
      <c r="BE71" s="217"/>
      <c r="BF71" s="217"/>
      <c r="BG71" s="217"/>
      <c r="BH71" s="217"/>
      <c r="BI71" s="217"/>
      <c r="BJ71" s="217"/>
      <c r="BK71" s="217"/>
      <c r="BL71" s="217"/>
      <c r="BM71" s="217"/>
      <c r="BN71" s="217"/>
      <c r="BO71" s="217"/>
      <c r="BP71" s="217"/>
      <c r="BQ71" s="217"/>
      <c r="BR71" s="215"/>
      <c r="BS71" s="215"/>
      <c r="BT71" s="215"/>
      <c r="BU71" s="215"/>
      <c r="BV71" s="215"/>
      <c r="BW71" s="215"/>
      <c r="BX71" s="215"/>
      <c r="BY71" s="215"/>
      <c r="BZ71" s="215"/>
      <c r="CA71" s="215"/>
      <c r="CB71" s="215"/>
      <c r="CC71" s="215"/>
      <c r="CD71" s="215"/>
      <c r="CE71" s="215"/>
      <c r="CF71" s="215"/>
      <c r="CG71" s="215"/>
      <c r="CH71" s="215"/>
      <c r="CI71" s="215"/>
      <c r="CJ71" s="215"/>
      <c r="CK71" s="215"/>
      <c r="CL71" s="215"/>
      <c r="CM71" s="215"/>
      <c r="CN71" s="215"/>
      <c r="CO71" s="215"/>
      <c r="CP71" s="215"/>
      <c r="CQ71" s="215"/>
      <c r="CR71" s="215"/>
      <c r="CS71" s="215"/>
      <c r="CT71" s="215"/>
      <c r="CU71" s="215"/>
      <c r="CV71" s="215"/>
      <c r="CW71" s="215"/>
      <c r="CX71" s="215"/>
      <c r="CY71" s="215"/>
      <c r="CZ71" s="215"/>
      <c r="DA71" s="215"/>
      <c r="DB71" s="215"/>
      <c r="DC71" s="215"/>
      <c r="DD71" s="215"/>
      <c r="DE71" s="215"/>
      <c r="DF71" s="215"/>
      <c r="DG71" s="215"/>
      <c r="DH71" s="215"/>
      <c r="DI71" s="215"/>
      <c r="DJ71" s="215"/>
      <c r="DK71" s="215"/>
      <c r="DL71" s="215"/>
      <c r="DM71" s="215"/>
      <c r="DN71" s="215"/>
      <c r="DO71" s="215"/>
      <c r="DP71" s="215"/>
      <c r="DQ71" s="215"/>
      <c r="DR71" s="215"/>
      <c r="DS71" s="215"/>
      <c r="DT71" s="215"/>
      <c r="DU71" s="215"/>
      <c r="DV71" s="215"/>
      <c r="DW71" s="215"/>
      <c r="DX71" s="215"/>
      <c r="DY71" s="215"/>
      <c r="DZ71" s="215"/>
      <c r="EA71" s="215"/>
      <c r="EB71" s="215"/>
      <c r="EC71" s="215"/>
      <c r="ED71" s="215"/>
      <c r="EE71" s="215"/>
      <c r="EF71" s="215"/>
      <c r="EG71" s="215"/>
      <c r="EH71" s="215"/>
      <c r="EI71" s="215"/>
      <c r="EJ71" s="215"/>
      <c r="EK71" s="215"/>
      <c r="EL71" s="215"/>
      <c r="EM71" s="215"/>
      <c r="EN71" s="215"/>
      <c r="EO71" s="215"/>
      <c r="EP71" s="215"/>
      <c r="EQ71" s="215"/>
      <c r="ER71" s="215"/>
      <c r="ES71" s="215"/>
      <c r="ET71" s="215"/>
      <c r="EU71" s="215"/>
      <c r="EV71" s="215"/>
      <c r="EW71" s="215"/>
      <c r="EX71" s="215"/>
      <c r="EY71" s="215"/>
      <c r="EZ71" s="215"/>
      <c r="FA71" s="215"/>
      <c r="FB71" s="215"/>
      <c r="FC71" s="215"/>
      <c r="FD71" s="215"/>
      <c r="FE71" s="215"/>
      <c r="FF71" s="215"/>
      <c r="FG71" s="215"/>
      <c r="FH71" s="215"/>
      <c r="FI71" s="215"/>
      <c r="FJ71" s="215"/>
      <c r="FK71" s="215"/>
      <c r="FL71" s="215"/>
      <c r="FM71" s="215"/>
      <c r="FN71" s="215"/>
      <c r="FO71" s="215"/>
      <c r="FP71" s="215"/>
      <c r="FQ71" s="215"/>
      <c r="FR71" s="215"/>
      <c r="FS71" s="215"/>
      <c r="FT71" s="215"/>
      <c r="FU71" s="215"/>
      <c r="FV71" s="215"/>
      <c r="FW71" s="215"/>
      <c r="FX71" s="215"/>
      <c r="FY71" s="215"/>
      <c r="FZ71" s="215"/>
      <c r="GA71" s="215"/>
      <c r="GB71" s="215"/>
      <c r="GC71" s="215"/>
      <c r="GD71" s="215"/>
      <c r="GE71" s="215"/>
      <c r="GF71" s="215"/>
      <c r="GG71" s="215"/>
      <c r="GH71" s="215"/>
      <c r="GI71" s="215"/>
      <c r="GJ71" s="215"/>
      <c r="GK71" s="215"/>
      <c r="GL71" s="215"/>
      <c r="GM71" s="215"/>
      <c r="GN71" s="215"/>
      <c r="GO71" s="215"/>
      <c r="GP71" s="215"/>
      <c r="GQ71" s="215"/>
      <c r="GR71" s="215"/>
      <c r="GS71" s="215"/>
      <c r="GT71" s="215"/>
      <c r="GU71" s="215"/>
      <c r="GV71" s="215"/>
      <c r="GW71" s="215"/>
      <c r="GX71" s="215"/>
      <c r="GY71" s="215"/>
      <c r="GZ71" s="215"/>
      <c r="HA71" s="215"/>
      <c r="HB71" s="215"/>
      <c r="HC71" s="215"/>
      <c r="HD71" s="215"/>
      <c r="HE71" s="215"/>
      <c r="HF71" s="215"/>
      <c r="HG71" s="215"/>
      <c r="HH71" s="215"/>
      <c r="HI71" s="215"/>
      <c r="HJ71" s="215"/>
      <c r="HK71" s="215"/>
      <c r="HL71" s="215"/>
      <c r="HM71" s="215"/>
      <c r="HN71" s="215"/>
      <c r="HO71" s="215"/>
      <c r="HP71" s="215"/>
      <c r="HQ71" s="215"/>
      <c r="HR71" s="215"/>
      <c r="HS71" s="215"/>
      <c r="HT71" s="215"/>
      <c r="HU71" s="215"/>
      <c r="HV71" s="215"/>
      <c r="HW71" s="215"/>
      <c r="HX71" s="215"/>
      <c r="HY71" s="215"/>
      <c r="HZ71" s="215"/>
      <c r="IA71" s="215"/>
      <c r="IB71" s="215"/>
      <c r="IC71" s="215"/>
      <c r="ID71" s="215"/>
      <c r="IE71" s="215"/>
      <c r="IF71" s="215"/>
      <c r="IG71" s="215"/>
      <c r="IH71" s="215"/>
      <c r="II71" s="215"/>
      <c r="IJ71" s="215"/>
      <c r="IK71" s="215"/>
      <c r="IL71" s="215"/>
      <c r="IM71" s="215"/>
      <c r="IN71" s="215"/>
      <c r="IO71" s="215"/>
      <c r="IP71" s="215"/>
      <c r="IQ71" s="215"/>
      <c r="IR71" s="215"/>
      <c r="IS71" s="215"/>
      <c r="IT71" s="215"/>
      <c r="IU71" s="215"/>
      <c r="IV71" s="215"/>
      <c r="IW71" s="215"/>
      <c r="IX71" s="215"/>
      <c r="IY71" s="215"/>
      <c r="IZ71" s="215"/>
      <c r="JA71" s="215"/>
      <c r="JB71" s="215"/>
      <c r="JC71" s="215"/>
      <c r="JD71" s="215"/>
      <c r="JE71" s="215"/>
      <c r="JF71" s="215"/>
      <c r="JG71" s="215"/>
      <c r="JH71" s="215"/>
      <c r="JI71" s="215"/>
      <c r="JJ71" s="215"/>
      <c r="JK71" s="215"/>
      <c r="JL71" s="215"/>
      <c r="JM71" s="215"/>
      <c r="JN71" s="215"/>
      <c r="JO71" s="215"/>
      <c r="JP71" s="215"/>
      <c r="JQ71" s="215"/>
      <c r="JR71" s="215"/>
      <c r="JS71" s="215"/>
      <c r="JT71" s="215"/>
      <c r="JU71" s="215"/>
      <c r="JV71" s="215"/>
      <c r="JW71" s="215"/>
      <c r="JX71" s="215"/>
      <c r="JY71" s="215"/>
      <c r="JZ71" s="215"/>
      <c r="KA71" s="215"/>
      <c r="KB71" s="215"/>
      <c r="KC71" s="215"/>
      <c r="KD71" s="215"/>
      <c r="KE71" s="215"/>
      <c r="KF71" s="215"/>
      <c r="KG71" s="215"/>
      <c r="KH71" s="215"/>
      <c r="KI71" s="215"/>
      <c r="KJ71" s="215"/>
      <c r="KK71" s="215"/>
      <c r="KL71" s="215"/>
      <c r="KM71" s="215"/>
      <c r="KN71" s="215"/>
      <c r="KO71" s="215"/>
      <c r="KP71" s="215"/>
      <c r="KQ71" s="215"/>
      <c r="KR71" s="215"/>
      <c r="KS71" s="215"/>
      <c r="KT71" s="215"/>
      <c r="KU71" s="215"/>
      <c r="KV71" s="215"/>
      <c r="KW71" s="215"/>
      <c r="KX71" s="215"/>
      <c r="KY71" s="215"/>
      <c r="KZ71" s="215"/>
      <c r="LA71" s="215"/>
      <c r="LB71" s="215"/>
      <c r="LC71" s="215"/>
      <c r="LD71" s="215"/>
      <c r="LE71" s="215"/>
      <c r="LF71" s="215"/>
      <c r="LG71" s="215"/>
      <c r="LH71" s="215"/>
      <c r="LI71" s="215"/>
      <c r="LJ71" s="215"/>
      <c r="LK71" s="215"/>
    </row>
    <row r="72" spans="1:323" s="232" customFormat="1" ht="30" hidden="1" customHeight="1" x14ac:dyDescent="0.25">
      <c r="A72" s="312"/>
      <c r="B72" s="313"/>
      <c r="C72" s="314"/>
      <c r="D72" s="313"/>
      <c r="E72" s="313"/>
      <c r="F72" s="313"/>
      <c r="G72" s="314"/>
      <c r="H72" s="314"/>
      <c r="I72" s="314"/>
      <c r="J72" s="314"/>
      <c r="K72" s="314"/>
      <c r="L72" s="314"/>
      <c r="M72" s="314"/>
      <c r="N72" s="314"/>
      <c r="O72" s="314"/>
      <c r="P72" s="314"/>
      <c r="Q72" s="314"/>
      <c r="R72" s="314"/>
      <c r="S72" s="314"/>
      <c r="T72" s="314"/>
      <c r="U72" s="314"/>
      <c r="V72" s="314"/>
      <c r="W72" s="314"/>
      <c r="X72" s="291"/>
      <c r="Y72" s="291"/>
      <c r="Z72" s="291"/>
      <c r="AA72" s="291"/>
      <c r="AB72" s="291"/>
      <c r="AC72" s="291"/>
      <c r="AD72" s="291"/>
      <c r="AE72" s="291"/>
      <c r="AF72" s="291"/>
      <c r="AG72" s="291"/>
      <c r="AH72" s="291"/>
      <c r="AI72" s="291"/>
      <c r="AJ72" s="314"/>
      <c r="AK72" s="215"/>
      <c r="AL72" s="273"/>
      <c r="AM72" s="217"/>
      <c r="AN72" s="215"/>
      <c r="AO72" s="215"/>
      <c r="AP72" s="215"/>
      <c r="AQ72" s="215"/>
      <c r="AR72" s="215"/>
      <c r="AS72" s="215"/>
      <c r="AT72" s="215"/>
      <c r="AU72" s="215"/>
      <c r="AV72" s="215"/>
      <c r="AW72" s="215"/>
      <c r="AX72" s="215"/>
      <c r="AY72" s="215"/>
      <c r="AZ72" s="215"/>
      <c r="BA72" s="215"/>
      <c r="BB72" s="215"/>
      <c r="BC72" s="215"/>
      <c r="BD72" s="215"/>
      <c r="BE72" s="215"/>
      <c r="BF72" s="215"/>
      <c r="BG72" s="215"/>
      <c r="BH72" s="215"/>
      <c r="BI72" s="215"/>
      <c r="BJ72" s="215"/>
      <c r="BK72" s="215"/>
      <c r="BL72" s="215"/>
      <c r="BM72" s="215"/>
      <c r="BN72" s="215"/>
      <c r="BO72" s="215"/>
      <c r="BP72" s="215"/>
      <c r="BQ72" s="215"/>
      <c r="BR72" s="215"/>
      <c r="BS72" s="215"/>
      <c r="BT72" s="215"/>
      <c r="BU72" s="215"/>
      <c r="BV72" s="215"/>
      <c r="BW72" s="215"/>
      <c r="BX72" s="215"/>
      <c r="BY72" s="215"/>
      <c r="BZ72" s="215"/>
      <c r="CA72" s="215"/>
      <c r="CB72" s="215"/>
      <c r="CC72" s="215"/>
      <c r="CD72" s="215"/>
      <c r="CE72" s="215"/>
      <c r="CF72" s="215"/>
      <c r="CG72" s="215"/>
      <c r="CH72" s="215"/>
      <c r="CI72" s="215"/>
      <c r="CJ72" s="215"/>
      <c r="CK72" s="215"/>
      <c r="CL72" s="215"/>
      <c r="CM72" s="215"/>
      <c r="CN72" s="215"/>
      <c r="CO72" s="215"/>
      <c r="CP72" s="215"/>
      <c r="CQ72" s="215"/>
      <c r="CR72" s="215"/>
      <c r="CS72" s="215"/>
      <c r="CT72" s="215"/>
      <c r="CU72" s="215"/>
      <c r="CV72" s="215"/>
      <c r="CW72" s="215"/>
      <c r="CX72" s="215"/>
      <c r="CY72" s="215"/>
      <c r="CZ72" s="215"/>
      <c r="DA72" s="215"/>
      <c r="DB72" s="215"/>
      <c r="DC72" s="215"/>
      <c r="DD72" s="215"/>
      <c r="DE72" s="215"/>
      <c r="DF72" s="215"/>
      <c r="DG72" s="215"/>
      <c r="DH72" s="215"/>
      <c r="DI72" s="215"/>
      <c r="DJ72" s="215"/>
      <c r="DK72" s="215"/>
      <c r="DL72" s="215"/>
      <c r="DM72" s="215"/>
      <c r="DN72" s="215"/>
      <c r="DO72" s="215"/>
      <c r="DP72" s="215"/>
      <c r="DQ72" s="215"/>
      <c r="DR72" s="215"/>
      <c r="DS72" s="215"/>
      <c r="DT72" s="215"/>
      <c r="DU72" s="215"/>
      <c r="DV72" s="215"/>
      <c r="DW72" s="215"/>
      <c r="DX72" s="215"/>
      <c r="DY72" s="215"/>
      <c r="DZ72" s="215"/>
      <c r="EA72" s="215"/>
      <c r="EB72" s="215"/>
      <c r="EC72" s="215"/>
      <c r="ED72" s="215"/>
      <c r="EE72" s="215"/>
      <c r="EF72" s="215"/>
      <c r="EG72" s="215"/>
      <c r="EH72" s="215"/>
      <c r="EI72" s="215"/>
      <c r="EJ72" s="215"/>
      <c r="EK72" s="215"/>
      <c r="EL72" s="215"/>
      <c r="EM72" s="215"/>
      <c r="EN72" s="215"/>
      <c r="EO72" s="215"/>
      <c r="EP72" s="215"/>
      <c r="EQ72" s="215"/>
      <c r="ER72" s="215"/>
      <c r="ES72" s="215"/>
      <c r="ET72" s="215"/>
      <c r="EU72" s="215"/>
      <c r="EV72" s="215"/>
      <c r="EW72" s="215"/>
      <c r="EX72" s="215"/>
      <c r="EY72" s="215"/>
      <c r="EZ72" s="215"/>
      <c r="FA72" s="215"/>
      <c r="FB72" s="215"/>
      <c r="FC72" s="215"/>
      <c r="FD72" s="215"/>
      <c r="FE72" s="215"/>
      <c r="FF72" s="215"/>
      <c r="FG72" s="215"/>
      <c r="FH72" s="215"/>
      <c r="FI72" s="215"/>
      <c r="FJ72" s="215"/>
      <c r="FK72" s="215"/>
      <c r="FL72" s="215"/>
      <c r="FM72" s="215"/>
      <c r="FN72" s="215"/>
      <c r="FO72" s="215"/>
      <c r="FP72" s="215"/>
      <c r="FQ72" s="215"/>
      <c r="FR72" s="215"/>
      <c r="FS72" s="215"/>
      <c r="FT72" s="215"/>
      <c r="FU72" s="215"/>
      <c r="FV72" s="215"/>
      <c r="FW72" s="215"/>
      <c r="FX72" s="215"/>
      <c r="FY72" s="215"/>
      <c r="FZ72" s="215"/>
      <c r="GA72" s="215"/>
      <c r="GB72" s="215"/>
      <c r="GC72" s="215"/>
      <c r="GD72" s="215"/>
      <c r="GE72" s="215"/>
      <c r="GF72" s="215"/>
      <c r="GG72" s="215"/>
      <c r="GH72" s="215"/>
      <c r="GI72" s="215"/>
      <c r="GJ72" s="215"/>
      <c r="GK72" s="215"/>
      <c r="GL72" s="215"/>
      <c r="GM72" s="215"/>
      <c r="GN72" s="215"/>
      <c r="GO72" s="215"/>
      <c r="GP72" s="215"/>
      <c r="GQ72" s="215"/>
      <c r="GR72" s="215"/>
      <c r="GS72" s="215"/>
      <c r="GT72" s="215"/>
      <c r="GU72" s="215"/>
      <c r="GV72" s="215"/>
      <c r="GW72" s="215"/>
      <c r="GX72" s="215"/>
      <c r="GY72" s="215"/>
      <c r="GZ72" s="215"/>
      <c r="HA72" s="215"/>
      <c r="HB72" s="215"/>
      <c r="HC72" s="215"/>
      <c r="HD72" s="215"/>
      <c r="HE72" s="215"/>
      <c r="HF72" s="215"/>
      <c r="HG72" s="215"/>
      <c r="HH72" s="215"/>
      <c r="HI72" s="215"/>
      <c r="HJ72" s="215"/>
      <c r="HK72" s="215"/>
      <c r="HL72" s="215"/>
      <c r="HM72" s="215"/>
      <c r="HN72" s="215"/>
      <c r="HO72" s="215"/>
      <c r="HP72" s="215"/>
      <c r="HQ72" s="215"/>
      <c r="HR72" s="215"/>
      <c r="HS72" s="215"/>
      <c r="HT72" s="215"/>
      <c r="HU72" s="215"/>
      <c r="HV72" s="215"/>
      <c r="HW72" s="215"/>
      <c r="HX72" s="215"/>
      <c r="HY72" s="215"/>
      <c r="HZ72" s="215"/>
      <c r="IA72" s="215"/>
      <c r="IB72" s="215"/>
      <c r="IC72" s="215"/>
      <c r="ID72" s="215"/>
      <c r="IE72" s="215"/>
      <c r="IF72" s="215"/>
      <c r="IG72" s="215"/>
      <c r="IH72" s="215"/>
      <c r="II72" s="215"/>
      <c r="IJ72" s="215"/>
      <c r="IK72" s="215"/>
      <c r="IL72" s="215"/>
      <c r="IM72" s="215"/>
      <c r="IN72" s="215"/>
      <c r="IO72" s="215"/>
      <c r="IP72" s="215"/>
      <c r="IQ72" s="215"/>
      <c r="IR72" s="215"/>
      <c r="IS72" s="215"/>
      <c r="IT72" s="215"/>
      <c r="IU72" s="215"/>
      <c r="IV72" s="215"/>
      <c r="IW72" s="215"/>
      <c r="IX72" s="215"/>
      <c r="IY72" s="215"/>
      <c r="IZ72" s="215"/>
      <c r="JA72" s="215"/>
      <c r="JB72" s="215"/>
      <c r="JC72" s="215"/>
      <c r="JD72" s="215"/>
      <c r="JE72" s="215"/>
      <c r="JF72" s="215"/>
      <c r="JG72" s="215"/>
      <c r="JH72" s="215"/>
      <c r="JI72" s="215"/>
      <c r="JJ72" s="215"/>
      <c r="JK72" s="215"/>
      <c r="JL72" s="215"/>
      <c r="JM72" s="215"/>
      <c r="JN72" s="215"/>
      <c r="JO72" s="215"/>
      <c r="JP72" s="215"/>
      <c r="JQ72" s="215"/>
      <c r="JR72" s="215"/>
      <c r="JS72" s="215"/>
      <c r="JT72" s="215"/>
      <c r="JU72" s="215"/>
      <c r="JV72" s="215"/>
      <c r="JW72" s="215"/>
      <c r="JX72" s="215"/>
      <c r="JY72" s="215"/>
      <c r="JZ72" s="215"/>
      <c r="KA72" s="215"/>
      <c r="KB72" s="215"/>
      <c r="KC72" s="215"/>
      <c r="KD72" s="215"/>
      <c r="KE72" s="215"/>
      <c r="KF72" s="215"/>
      <c r="KG72" s="215"/>
      <c r="KH72" s="215"/>
      <c r="KI72" s="215"/>
      <c r="KJ72" s="215"/>
      <c r="KK72" s="215"/>
      <c r="KL72" s="215"/>
      <c r="KM72" s="215"/>
      <c r="KN72" s="215"/>
      <c r="KO72" s="215"/>
      <c r="KP72" s="215"/>
      <c r="KQ72" s="215"/>
      <c r="KR72" s="215"/>
      <c r="KS72" s="215"/>
      <c r="KT72" s="215"/>
      <c r="KU72" s="215"/>
      <c r="KV72" s="215"/>
      <c r="KW72" s="215"/>
      <c r="KX72" s="215"/>
      <c r="KY72" s="215"/>
      <c r="KZ72" s="215"/>
      <c r="LA72" s="215"/>
      <c r="LB72" s="215"/>
      <c r="LC72" s="215"/>
      <c r="LD72" s="215"/>
      <c r="LE72" s="215"/>
      <c r="LF72" s="215"/>
      <c r="LG72" s="215"/>
      <c r="LH72" s="215"/>
      <c r="LI72" s="215"/>
      <c r="LJ72" s="215"/>
      <c r="LK72" s="215"/>
    </row>
    <row r="73" spans="1:323" ht="30" hidden="1" customHeight="1" x14ac:dyDescent="0.25">
      <c r="A73" s="315"/>
      <c r="B73" s="272"/>
      <c r="C73" s="272"/>
      <c r="D73" s="272"/>
      <c r="E73" s="272"/>
      <c r="F73" s="272"/>
      <c r="G73" s="272"/>
      <c r="H73" s="272"/>
      <c r="I73" s="272"/>
      <c r="J73" s="272"/>
      <c r="K73" s="272"/>
      <c r="L73" s="272"/>
      <c r="M73" s="272"/>
      <c r="N73" s="272"/>
      <c r="O73" s="272"/>
      <c r="P73" s="272"/>
      <c r="Q73" s="272"/>
      <c r="R73" s="272"/>
      <c r="S73" s="272"/>
      <c r="T73" s="272"/>
      <c r="U73" s="272"/>
      <c r="V73" s="272"/>
      <c r="W73" s="272"/>
      <c r="X73" s="272"/>
      <c r="Y73" s="272"/>
      <c r="Z73" s="272"/>
      <c r="AA73" s="272"/>
      <c r="AB73" s="272"/>
      <c r="AC73" s="272"/>
      <c r="AD73" s="272"/>
      <c r="AE73" s="272"/>
      <c r="AF73" s="272"/>
      <c r="AG73" s="272"/>
      <c r="AH73" s="272"/>
      <c r="AI73" s="272"/>
      <c r="AJ73" s="272"/>
      <c r="AK73" s="272"/>
      <c r="AL73" s="316"/>
      <c r="AZ73" s="272"/>
    </row>
    <row r="74" spans="1:323" ht="30" hidden="1" customHeight="1" x14ac:dyDescent="0.25">
      <c r="A74" s="315"/>
      <c r="B74" s="272"/>
      <c r="C74" s="272"/>
      <c r="D74" s="272"/>
      <c r="E74" s="272"/>
      <c r="F74" s="272"/>
      <c r="G74" s="272"/>
      <c r="H74" s="272" t="e">
        <f>H38+H56+H64</f>
        <v>#REF!</v>
      </c>
      <c r="I74" s="272"/>
      <c r="J74" s="272"/>
      <c r="K74" s="272"/>
      <c r="L74" s="272"/>
      <c r="M74" s="272"/>
      <c r="N74" s="272"/>
      <c r="O74" s="272"/>
      <c r="P74" s="272"/>
      <c r="Q74" s="272"/>
      <c r="R74" s="272"/>
      <c r="S74" s="272">
        <f>S38+S56+S64</f>
        <v>38.159999999999997</v>
      </c>
      <c r="T74" s="272"/>
      <c r="U74" s="272"/>
      <c r="V74" s="272"/>
      <c r="W74" s="272"/>
      <c r="X74" s="272"/>
      <c r="Y74" s="272"/>
      <c r="Z74" s="272"/>
      <c r="AA74" s="272"/>
      <c r="AB74" s="272"/>
      <c r="AC74" s="272"/>
      <c r="AD74" s="272">
        <f>AD38+AD56+AD64</f>
        <v>29.52</v>
      </c>
      <c r="AE74" s="272"/>
      <c r="AF74" s="272"/>
      <c r="AG74" s="272"/>
      <c r="AH74" s="272"/>
      <c r="AI74" s="272"/>
      <c r="AJ74" s="272"/>
      <c r="AK74" s="272"/>
      <c r="AL74" s="272"/>
      <c r="AM74" s="272"/>
      <c r="AO74" s="215" t="e">
        <f>SUM(H74:AJ74)</f>
        <v>#REF!</v>
      </c>
      <c r="AZ74" s="272"/>
    </row>
    <row r="75" spans="1:323" ht="30" hidden="1" customHeight="1" x14ac:dyDescent="0.25">
      <c r="A75" s="315"/>
      <c r="B75" s="272"/>
      <c r="C75" s="272"/>
      <c r="D75" s="272"/>
      <c r="E75" s="272"/>
      <c r="F75" s="272"/>
      <c r="G75" s="272"/>
      <c r="H75" s="272"/>
      <c r="I75" s="272" t="e">
        <f>I38+I56+I64</f>
        <v>#REF!</v>
      </c>
      <c r="J75" s="272" t="e">
        <f>J38+J56+J64</f>
        <v>#REF!</v>
      </c>
      <c r="K75" s="272">
        <f>K38+K56+K64</f>
        <v>0</v>
      </c>
      <c r="L75" s="272">
        <f>L38+L56+L64</f>
        <v>0</v>
      </c>
      <c r="M75" s="272"/>
      <c r="N75" s="272"/>
      <c r="O75" s="272"/>
      <c r="P75" s="272"/>
      <c r="Q75" s="272"/>
      <c r="R75" s="272"/>
      <c r="S75" s="272"/>
      <c r="T75" s="272">
        <f>T38+T56+T64</f>
        <v>159.60000000000002</v>
      </c>
      <c r="U75" s="272">
        <f>U38+U56+U64</f>
        <v>119.7</v>
      </c>
      <c r="V75" s="272">
        <f>V38+V56+V64</f>
        <v>0</v>
      </c>
      <c r="W75" s="272">
        <f>W38+W56+W64</f>
        <v>0</v>
      </c>
      <c r="X75" s="272"/>
      <c r="Y75" s="272"/>
      <c r="Z75" s="272"/>
      <c r="AA75" s="272"/>
      <c r="AB75" s="272"/>
      <c r="AC75" s="272"/>
      <c r="AD75" s="272"/>
      <c r="AE75" s="272">
        <f>AE38+AE56+AE64</f>
        <v>99.75</v>
      </c>
      <c r="AF75" s="272">
        <f>AF38+AF56+AF64</f>
        <v>119.7</v>
      </c>
      <c r="AG75" s="272">
        <f>AG38+AG56+AG64</f>
        <v>0</v>
      </c>
      <c r="AH75" s="272">
        <f>AH38+AH56+AH64</f>
        <v>0</v>
      </c>
      <c r="AI75" s="272"/>
      <c r="AJ75" s="272"/>
      <c r="AK75" s="272"/>
      <c r="AL75" s="316"/>
      <c r="AO75" s="215" t="e">
        <f>SUM(H75:AJ75)</f>
        <v>#REF!</v>
      </c>
      <c r="AZ75" s="272"/>
    </row>
    <row r="76" spans="1:323" ht="30" hidden="1" customHeight="1" x14ac:dyDescent="0.25">
      <c r="A76" s="315"/>
      <c r="B76" s="272"/>
      <c r="C76" s="272" t="s">
        <v>460</v>
      </c>
      <c r="D76" s="272">
        <f>0.2+0.2</f>
        <v>0.4</v>
      </c>
      <c r="E76" s="272"/>
      <c r="F76" s="272"/>
      <c r="G76" s="272"/>
      <c r="H76" s="272"/>
      <c r="I76" s="272"/>
      <c r="J76" s="272"/>
      <c r="K76" s="272"/>
      <c r="L76" s="272"/>
      <c r="M76" s="272"/>
      <c r="N76" s="272"/>
      <c r="O76" s="272"/>
      <c r="P76" s="272"/>
      <c r="Q76" s="272"/>
      <c r="R76" s="272"/>
      <c r="S76" s="272"/>
      <c r="T76" s="272"/>
      <c r="U76" s="272"/>
      <c r="V76" s="272"/>
      <c r="W76" s="272"/>
      <c r="X76" s="272"/>
      <c r="Y76" s="272"/>
      <c r="Z76" s="272"/>
      <c r="AA76" s="272"/>
      <c r="AB76" s="272"/>
      <c r="AC76" s="272"/>
      <c r="AD76" s="272"/>
      <c r="AE76" s="272"/>
      <c r="AF76" s="272"/>
      <c r="AG76" s="272"/>
      <c r="AH76" s="272"/>
      <c r="AI76" s="272"/>
      <c r="AJ76" s="272"/>
      <c r="AK76" s="272"/>
      <c r="AL76" s="316"/>
      <c r="AZ76" s="272"/>
    </row>
    <row r="77" spans="1:323" ht="30" hidden="1" customHeight="1" x14ac:dyDescent="0.25">
      <c r="A77" s="315"/>
      <c r="B77" s="272"/>
      <c r="C77" s="272" t="s">
        <v>461</v>
      </c>
      <c r="D77" s="272">
        <v>92</v>
      </c>
      <c r="E77" s="272"/>
      <c r="F77" s="272"/>
      <c r="G77" s="272"/>
      <c r="H77" s="272"/>
      <c r="I77" s="272"/>
      <c r="J77" s="272"/>
      <c r="K77" s="272"/>
      <c r="L77" s="272"/>
      <c r="M77" s="272"/>
      <c r="N77" s="272"/>
      <c r="O77" s="272"/>
      <c r="P77" s="272"/>
      <c r="Q77" s="272"/>
      <c r="R77" s="272"/>
      <c r="S77" s="272"/>
      <c r="T77" s="272"/>
      <c r="U77" s="272"/>
      <c r="V77" s="272"/>
      <c r="W77" s="272"/>
      <c r="X77" s="272"/>
      <c r="Y77" s="272"/>
      <c r="Z77" s="272"/>
      <c r="AA77" s="272"/>
      <c r="AB77" s="272"/>
      <c r="AC77" s="272"/>
      <c r="AD77" s="272"/>
      <c r="AE77" s="272" t="e">
        <f>I75+T75+AE75</f>
        <v>#REF!</v>
      </c>
      <c r="AF77" s="272" t="e">
        <f t="shared" ref="AF77:AG77" si="112">J75+U75+AF75</f>
        <v>#REF!</v>
      </c>
      <c r="AG77" s="272">
        <f t="shared" si="112"/>
        <v>0</v>
      </c>
      <c r="AH77" s="272"/>
      <c r="AI77" s="272"/>
      <c r="AJ77" s="272"/>
      <c r="AK77" s="272"/>
      <c r="AL77" s="316"/>
      <c r="AZ77" s="272"/>
    </row>
    <row r="78" spans="1:323" ht="24.95" hidden="1" customHeight="1" x14ac:dyDescent="0.25">
      <c r="A78" s="315"/>
      <c r="B78" s="317" t="s">
        <v>462</v>
      </c>
      <c r="C78" s="272"/>
      <c r="D78" s="272"/>
      <c r="E78" s="272"/>
      <c r="F78" s="272"/>
      <c r="G78" s="272"/>
      <c r="H78" s="272"/>
      <c r="I78" s="272"/>
      <c r="J78" s="272"/>
      <c r="K78" s="272"/>
      <c r="L78" s="272"/>
      <c r="M78" s="272"/>
      <c r="N78" s="272"/>
      <c r="O78" s="272"/>
      <c r="P78" s="272"/>
      <c r="Q78" s="272"/>
      <c r="R78" s="272"/>
      <c r="S78" s="272"/>
      <c r="T78" s="272"/>
      <c r="U78" s="272"/>
      <c r="V78" s="272"/>
      <c r="W78" s="272"/>
      <c r="X78" s="272"/>
      <c r="Y78" s="272"/>
      <c r="Z78" s="272"/>
      <c r="AA78" s="272"/>
      <c r="AB78" s="272"/>
      <c r="AC78" s="272"/>
      <c r="AD78" s="272"/>
      <c r="AE78" s="272"/>
      <c r="AF78" s="272"/>
      <c r="AG78" s="272"/>
      <c r="AH78" s="272"/>
      <c r="AI78" s="272"/>
      <c r="AJ78" s="272"/>
      <c r="AK78" s="272"/>
      <c r="AL78" s="316"/>
      <c r="AZ78" s="272"/>
    </row>
    <row r="79" spans="1:323" ht="24.95" customHeight="1" x14ac:dyDescent="0.25">
      <c r="A79" s="315"/>
      <c r="B79" s="317"/>
      <c r="C79" s="272"/>
      <c r="D79" s="272"/>
      <c r="E79" s="272"/>
      <c r="F79" s="272"/>
      <c r="G79" s="272"/>
      <c r="H79" s="272"/>
      <c r="I79" s="272"/>
      <c r="J79" s="272"/>
      <c r="K79" s="272"/>
      <c r="L79" s="272"/>
      <c r="M79" s="272"/>
      <c r="N79" s="272"/>
      <c r="O79" s="272"/>
      <c r="P79" s="272"/>
      <c r="Q79" s="272"/>
      <c r="R79" s="272"/>
      <c r="S79" s="272"/>
      <c r="T79" s="272"/>
      <c r="U79" s="272"/>
      <c r="V79" s="272"/>
      <c r="W79" s="272"/>
      <c r="X79" s="272"/>
      <c r="Y79" s="272"/>
      <c r="Z79" s="272"/>
      <c r="AA79" s="272"/>
      <c r="AB79" s="272"/>
      <c r="AC79" s="272"/>
      <c r="AD79" s="272"/>
      <c r="AE79" s="272"/>
      <c r="AF79" s="272"/>
      <c r="AG79" s="272"/>
      <c r="AH79" s="272"/>
      <c r="AI79" s="272"/>
      <c r="AJ79" s="272"/>
      <c r="AK79" s="272"/>
      <c r="AL79" s="316"/>
      <c r="AZ79" s="272"/>
    </row>
    <row r="80" spans="1:323" ht="24.95" customHeight="1" x14ac:dyDescent="0.25">
      <c r="A80" s="315"/>
      <c r="B80" s="317" t="s">
        <v>499</v>
      </c>
      <c r="C80" s="272"/>
      <c r="D80" s="272"/>
      <c r="E80" s="272"/>
      <c r="F80" s="272"/>
      <c r="G80" s="272"/>
      <c r="H80" s="272"/>
      <c r="I80" s="272"/>
      <c r="J80" s="272"/>
      <c r="K80" s="272"/>
      <c r="L80" s="272"/>
      <c r="M80" s="272"/>
      <c r="N80" s="272"/>
      <c r="O80" s="272"/>
      <c r="P80" s="272"/>
      <c r="Q80" s="272"/>
      <c r="R80" s="272"/>
      <c r="S80" s="272"/>
      <c r="T80" s="272"/>
      <c r="U80" s="272"/>
      <c r="V80" s="272"/>
      <c r="W80" s="272"/>
      <c r="X80" s="272"/>
      <c r="Y80" s="272"/>
      <c r="Z80" s="272"/>
      <c r="AA80" s="272"/>
      <c r="AB80" s="272"/>
      <c r="AC80" s="272"/>
      <c r="AD80" s="272"/>
      <c r="AE80" s="272"/>
      <c r="AF80" s="272"/>
      <c r="AG80" s="272"/>
      <c r="AH80" s="272"/>
      <c r="AI80" s="272"/>
      <c r="AJ80" s="272"/>
      <c r="AK80" s="272"/>
      <c r="AL80" s="316"/>
      <c r="AZ80" s="272"/>
    </row>
    <row r="81" spans="1:52" ht="24.95" customHeight="1" x14ac:dyDescent="0.25">
      <c r="A81" s="315"/>
      <c r="B81" s="317"/>
      <c r="C81" s="272"/>
      <c r="D81" s="316" t="s">
        <v>70</v>
      </c>
      <c r="E81" s="316" t="s">
        <v>90</v>
      </c>
      <c r="F81" s="272"/>
      <c r="G81" s="272"/>
      <c r="H81" s="272"/>
      <c r="I81" s="272"/>
      <c r="J81" s="272"/>
      <c r="K81" s="272"/>
      <c r="L81" s="272"/>
      <c r="M81" s="272"/>
      <c r="N81" s="272"/>
      <c r="O81" s="272"/>
      <c r="P81" s="272"/>
      <c r="Q81" s="272"/>
      <c r="R81" s="272"/>
      <c r="S81" s="272"/>
      <c r="T81" s="272"/>
      <c r="U81" s="272"/>
      <c r="V81" s="272"/>
      <c r="W81" s="272"/>
      <c r="X81" s="272"/>
      <c r="Y81" s="272"/>
      <c r="Z81" s="272"/>
      <c r="AA81" s="272"/>
      <c r="AB81" s="272"/>
      <c r="AC81" s="272"/>
      <c r="AD81" s="272"/>
      <c r="AE81" s="272"/>
      <c r="AF81" s="272"/>
      <c r="AG81" s="272"/>
      <c r="AH81" s="272"/>
      <c r="AI81" s="272"/>
      <c r="AJ81" s="272"/>
      <c r="AK81" s="272"/>
      <c r="AL81" s="316"/>
      <c r="AZ81" s="272"/>
    </row>
    <row r="82" spans="1:52" ht="24.95" customHeight="1" x14ac:dyDescent="0.25">
      <c r="A82" s="315">
        <v>1</v>
      </c>
      <c r="B82" s="317" t="s">
        <v>516</v>
      </c>
      <c r="C82" s="272"/>
      <c r="D82" s="272">
        <f>H136</f>
        <v>6.8092500000000014</v>
      </c>
      <c r="E82" s="272">
        <f>I136</f>
        <v>39.840000000000018</v>
      </c>
      <c r="F82" s="320" t="s">
        <v>594</v>
      </c>
      <c r="G82" s="272"/>
      <c r="H82" s="272"/>
      <c r="I82" s="272"/>
      <c r="J82" s="272"/>
      <c r="K82" s="272"/>
      <c r="L82" s="272"/>
      <c r="M82" s="272"/>
      <c r="N82" s="272"/>
      <c r="O82" s="272"/>
      <c r="P82" s="272"/>
      <c r="Q82" s="272"/>
      <c r="R82" s="272"/>
      <c r="S82" s="272"/>
      <c r="T82" s="272"/>
      <c r="U82" s="272"/>
      <c r="V82" s="272"/>
      <c r="W82" s="272"/>
      <c r="X82" s="272"/>
      <c r="Y82" s="272"/>
      <c r="Z82" s="272"/>
      <c r="AA82" s="272"/>
      <c r="AB82" s="272"/>
      <c r="AC82" s="272"/>
      <c r="AD82" s="272"/>
      <c r="AE82" s="272"/>
      <c r="AF82" s="272"/>
      <c r="AG82" s="272"/>
      <c r="AH82" s="272"/>
      <c r="AI82" s="272"/>
      <c r="AJ82" s="272"/>
      <c r="AK82" s="272"/>
      <c r="AL82" s="316"/>
      <c r="AZ82" s="272"/>
    </row>
    <row r="83" spans="1:52" ht="24.95" customHeight="1" x14ac:dyDescent="0.25">
      <c r="A83" s="315">
        <v>2</v>
      </c>
      <c r="B83" s="317" t="s">
        <v>517</v>
      </c>
      <c r="C83" s="272"/>
      <c r="D83" s="272">
        <f>H174</f>
        <v>13.421999999999995</v>
      </c>
      <c r="E83" s="272">
        <f>I174</f>
        <v>163.20999999999989</v>
      </c>
      <c r="F83" s="320" t="s">
        <v>594</v>
      </c>
      <c r="G83" s="272"/>
      <c r="H83" s="272"/>
      <c r="I83" s="272"/>
      <c r="J83" s="272"/>
      <c r="K83" s="272"/>
      <c r="L83" s="272"/>
      <c r="M83" s="272"/>
      <c r="N83" s="272"/>
      <c r="O83" s="272"/>
      <c r="P83" s="272"/>
      <c r="Q83" s="272"/>
      <c r="R83" s="272"/>
      <c r="S83" s="272"/>
      <c r="T83" s="272"/>
      <c r="U83" s="272"/>
      <c r="V83" s="272"/>
      <c r="W83" s="272"/>
      <c r="X83" s="272"/>
      <c r="Y83" s="272"/>
      <c r="Z83" s="272"/>
      <c r="AA83" s="272"/>
      <c r="AB83" s="272"/>
      <c r="AC83" s="272"/>
      <c r="AD83" s="272"/>
      <c r="AE83" s="272"/>
      <c r="AF83" s="272"/>
      <c r="AG83" s="272"/>
      <c r="AH83" s="272"/>
      <c r="AI83" s="272"/>
      <c r="AJ83" s="272"/>
      <c r="AK83" s="272"/>
      <c r="AL83" s="316"/>
      <c r="AZ83" s="272"/>
    </row>
    <row r="84" spans="1:52" ht="24.95" customHeight="1" x14ac:dyDescent="0.25">
      <c r="A84" s="315">
        <v>3</v>
      </c>
      <c r="B84" s="317" t="s">
        <v>518</v>
      </c>
      <c r="C84" s="272"/>
      <c r="D84" s="272">
        <f>H211</f>
        <v>10.064999999999996</v>
      </c>
      <c r="E84" s="272">
        <f>I211</f>
        <v>119.98499999999991</v>
      </c>
      <c r="F84" s="272"/>
      <c r="G84" s="272"/>
      <c r="H84" s="272"/>
      <c r="I84" s="272"/>
      <c r="J84" s="272"/>
      <c r="K84" s="272"/>
      <c r="L84" s="272"/>
      <c r="M84" s="272"/>
      <c r="N84" s="272"/>
      <c r="O84" s="272"/>
      <c r="P84" s="272"/>
      <c r="Q84" s="272"/>
      <c r="R84" s="272"/>
      <c r="S84" s="272"/>
      <c r="T84" s="272"/>
      <c r="U84" s="272"/>
      <c r="V84" s="272"/>
      <c r="W84" s="272"/>
      <c r="X84" s="272"/>
      <c r="Y84" s="272"/>
      <c r="Z84" s="272"/>
      <c r="AA84" s="272"/>
      <c r="AB84" s="272"/>
      <c r="AC84" s="272"/>
      <c r="AD84" s="272"/>
      <c r="AE84" s="272"/>
      <c r="AF84" s="272"/>
      <c r="AG84" s="272"/>
      <c r="AH84" s="272"/>
      <c r="AI84" s="272"/>
      <c r="AJ84" s="272"/>
      <c r="AK84" s="272"/>
      <c r="AL84" s="316"/>
      <c r="AZ84" s="272"/>
    </row>
    <row r="85" spans="1:52" ht="24.95" customHeight="1" x14ac:dyDescent="0.25">
      <c r="A85" s="315">
        <v>4</v>
      </c>
      <c r="B85" s="317" t="s">
        <v>519</v>
      </c>
      <c r="C85" s="272"/>
      <c r="D85" s="272">
        <f>H222</f>
        <v>0</v>
      </c>
      <c r="E85" s="272">
        <f>I222</f>
        <v>0</v>
      </c>
      <c r="F85" s="272"/>
      <c r="G85" s="272"/>
      <c r="H85" s="272"/>
      <c r="I85" s="272"/>
      <c r="J85" s="272"/>
      <c r="K85" s="272"/>
      <c r="L85" s="272"/>
      <c r="M85" s="272"/>
      <c r="N85" s="272"/>
      <c r="O85" s="272"/>
      <c r="P85" s="272"/>
      <c r="Q85" s="272"/>
      <c r="R85" s="272"/>
      <c r="S85" s="272"/>
      <c r="T85" s="272"/>
      <c r="U85" s="272"/>
      <c r="V85" s="272"/>
      <c r="W85" s="272"/>
      <c r="X85" s="272"/>
      <c r="Y85" s="272"/>
      <c r="Z85" s="272"/>
      <c r="AA85" s="272"/>
      <c r="AB85" s="272"/>
      <c r="AC85" s="272"/>
      <c r="AD85" s="272"/>
      <c r="AE85" s="272"/>
      <c r="AF85" s="272"/>
      <c r="AG85" s="272"/>
      <c r="AH85" s="272"/>
      <c r="AI85" s="272"/>
      <c r="AJ85" s="272"/>
      <c r="AK85" s="272"/>
      <c r="AL85" s="316"/>
      <c r="AZ85" s="272"/>
    </row>
    <row r="86" spans="1:52" ht="24.95" customHeight="1" x14ac:dyDescent="0.25">
      <c r="A86" s="315">
        <v>5</v>
      </c>
      <c r="B86" s="317" t="s">
        <v>520</v>
      </c>
      <c r="C86" s="272"/>
      <c r="D86" s="272">
        <f>H232</f>
        <v>1.7640000000000031</v>
      </c>
      <c r="E86" s="272">
        <f>I232</f>
        <v>25.200000000000045</v>
      </c>
      <c r="F86" s="272"/>
      <c r="G86" s="272"/>
      <c r="H86" s="272"/>
      <c r="I86" s="272"/>
      <c r="J86" s="272"/>
      <c r="K86" s="272"/>
      <c r="L86" s="272"/>
      <c r="M86" s="272"/>
      <c r="N86" s="272"/>
      <c r="O86" s="272"/>
      <c r="P86" s="272"/>
      <c r="Q86" s="272"/>
      <c r="R86" s="272"/>
      <c r="S86" s="272"/>
      <c r="T86" s="272"/>
      <c r="U86" s="272"/>
      <c r="V86" s="272"/>
      <c r="W86" s="272"/>
      <c r="X86" s="272"/>
      <c r="Y86" s="272"/>
      <c r="Z86" s="272"/>
      <c r="AA86" s="272"/>
      <c r="AB86" s="272"/>
      <c r="AC86" s="272"/>
      <c r="AD86" s="272"/>
      <c r="AE86" s="272"/>
      <c r="AF86" s="272"/>
      <c r="AG86" s="272"/>
      <c r="AH86" s="272"/>
      <c r="AI86" s="272"/>
      <c r="AJ86" s="272"/>
      <c r="AK86" s="272"/>
      <c r="AL86" s="316"/>
      <c r="AZ86" s="272"/>
    </row>
    <row r="87" spans="1:52" ht="24.95" customHeight="1" x14ac:dyDescent="0.25">
      <c r="A87" s="315"/>
      <c r="B87" s="317"/>
      <c r="C87" s="272"/>
      <c r="D87" s="316">
        <f>SUM(D82:D86)</f>
        <v>32.060249999999996</v>
      </c>
      <c r="E87" s="316">
        <f>SUM(E82:E86)</f>
        <v>348.23499999999984</v>
      </c>
      <c r="F87" s="272"/>
      <c r="G87" s="272"/>
      <c r="H87" s="272"/>
      <c r="I87" s="272"/>
      <c r="J87" s="272"/>
      <c r="K87" s="272"/>
      <c r="L87" s="272"/>
      <c r="M87" s="272"/>
      <c r="N87" s="272"/>
      <c r="O87" s="272"/>
      <c r="P87" s="272"/>
      <c r="Q87" s="272"/>
      <c r="R87" s="272"/>
      <c r="S87" s="272"/>
      <c r="T87" s="272"/>
      <c r="U87" s="272"/>
      <c r="V87" s="272"/>
      <c r="W87" s="272"/>
      <c r="X87" s="272"/>
      <c r="Y87" s="272"/>
      <c r="Z87" s="272"/>
      <c r="AA87" s="272"/>
      <c r="AB87" s="272"/>
      <c r="AC87" s="272"/>
      <c r="AD87" s="272"/>
      <c r="AE87" s="272"/>
      <c r="AF87" s="272"/>
      <c r="AG87" s="272"/>
      <c r="AH87" s="272"/>
      <c r="AI87" s="272"/>
      <c r="AJ87" s="272"/>
      <c r="AK87" s="272"/>
      <c r="AL87" s="316"/>
      <c r="AZ87" s="272"/>
    </row>
    <row r="88" spans="1:52" ht="24.95" customHeight="1" x14ac:dyDescent="0.25">
      <c r="A88" s="315"/>
      <c r="B88" s="317"/>
      <c r="C88" s="272"/>
      <c r="D88" s="272"/>
      <c r="E88" s="272"/>
      <c r="F88" s="272"/>
      <c r="G88" s="272"/>
      <c r="H88" s="272"/>
      <c r="I88" s="272"/>
      <c r="J88" s="272"/>
      <c r="K88" s="272"/>
      <c r="L88" s="272"/>
      <c r="M88" s="272"/>
      <c r="N88" s="272"/>
      <c r="O88" s="272"/>
      <c r="P88" s="272"/>
      <c r="Q88" s="272"/>
      <c r="R88" s="272"/>
      <c r="S88" s="272"/>
      <c r="T88" s="272"/>
      <c r="U88" s="272"/>
      <c r="V88" s="272"/>
      <c r="W88" s="272"/>
      <c r="X88" s="272"/>
      <c r="Y88" s="272"/>
      <c r="Z88" s="272"/>
      <c r="AA88" s="272"/>
      <c r="AB88" s="272"/>
      <c r="AC88" s="272"/>
      <c r="AD88" s="272"/>
      <c r="AE88" s="272"/>
      <c r="AF88" s="272"/>
      <c r="AG88" s="272"/>
      <c r="AH88" s="272"/>
      <c r="AI88" s="272"/>
      <c r="AJ88" s="272"/>
      <c r="AK88" s="272"/>
      <c r="AL88" s="316"/>
      <c r="AZ88" s="272"/>
    </row>
    <row r="89" spans="1:52" ht="24.95" customHeight="1" x14ac:dyDescent="0.25">
      <c r="A89" s="315"/>
      <c r="B89" s="317"/>
      <c r="C89" s="272"/>
      <c r="D89" s="272"/>
      <c r="E89" s="272"/>
      <c r="F89" s="272"/>
      <c r="G89" s="272"/>
      <c r="H89" s="272"/>
      <c r="I89" s="272"/>
      <c r="J89" s="272"/>
      <c r="K89" s="272"/>
      <c r="L89" s="272"/>
      <c r="M89" s="272"/>
      <c r="N89" s="272"/>
      <c r="O89" s="272"/>
      <c r="P89" s="272"/>
      <c r="Q89" s="272"/>
      <c r="R89" s="272"/>
      <c r="S89" s="272"/>
      <c r="T89" s="272"/>
      <c r="U89" s="272"/>
      <c r="V89" s="272"/>
      <c r="W89" s="272"/>
      <c r="X89" s="272"/>
      <c r="Y89" s="272"/>
      <c r="Z89" s="272"/>
      <c r="AA89" s="272"/>
      <c r="AB89" s="272"/>
      <c r="AC89" s="272"/>
      <c r="AD89" s="272"/>
      <c r="AE89" s="272"/>
      <c r="AF89" s="272"/>
      <c r="AG89" s="272"/>
      <c r="AH89" s="272"/>
      <c r="AI89" s="272"/>
      <c r="AJ89" s="272"/>
      <c r="AK89" s="272"/>
      <c r="AL89" s="316"/>
      <c r="AZ89" s="272"/>
    </row>
    <row r="90" spans="1:52" ht="24.95" customHeight="1" x14ac:dyDescent="0.25">
      <c r="A90" s="225"/>
      <c r="B90" s="322" t="s">
        <v>463</v>
      </c>
      <c r="C90" s="225"/>
      <c r="D90" s="272">
        <f>1.5-0.45</f>
        <v>1.05</v>
      </c>
      <c r="E90" s="272">
        <f>1.5-0.45</f>
        <v>1.05</v>
      </c>
      <c r="F90" s="272"/>
      <c r="G90" s="272"/>
      <c r="H90" s="272"/>
      <c r="I90" s="272"/>
      <c r="J90" s="272"/>
      <c r="K90" s="272"/>
      <c r="L90" s="272"/>
      <c r="M90" s="272"/>
      <c r="N90" s="272"/>
      <c r="O90" s="272"/>
      <c r="P90" s="272"/>
      <c r="Q90" s="272"/>
      <c r="R90" s="272"/>
      <c r="S90" s="272"/>
      <c r="T90" s="272"/>
      <c r="U90" s="272"/>
      <c r="V90" s="272"/>
      <c r="W90" s="272"/>
      <c r="X90" s="272"/>
      <c r="Y90" s="272"/>
      <c r="Z90" s="272"/>
      <c r="AA90" s="272"/>
      <c r="AB90" s="272"/>
      <c r="AC90" s="272"/>
      <c r="AD90" s="272"/>
      <c r="AE90" s="272"/>
      <c r="AF90" s="272"/>
      <c r="AG90" s="272"/>
      <c r="AH90" s="272"/>
      <c r="AI90" s="272"/>
      <c r="AJ90" s="272"/>
      <c r="AK90" s="272"/>
      <c r="AL90" s="316"/>
      <c r="AZ90" s="272"/>
    </row>
    <row r="91" spans="1:52" ht="24.95" customHeight="1" x14ac:dyDescent="0.25">
      <c r="A91" s="318"/>
      <c r="B91" s="322" t="s">
        <v>464</v>
      </c>
      <c r="C91" s="318"/>
      <c r="D91" s="272">
        <f>103.05-99.75</f>
        <v>3.2999999999999972</v>
      </c>
      <c r="E91" s="272"/>
      <c r="F91" s="272"/>
      <c r="G91" s="272"/>
      <c r="H91" s="272"/>
      <c r="I91" s="272"/>
      <c r="J91" s="272"/>
      <c r="K91" s="272"/>
      <c r="L91" s="272"/>
      <c r="M91" s="272"/>
      <c r="N91" s="272"/>
      <c r="O91" s="272"/>
      <c r="P91" s="272"/>
      <c r="Q91" s="272"/>
      <c r="R91" s="272"/>
      <c r="S91" s="272"/>
      <c r="T91" s="272"/>
      <c r="U91" s="272"/>
      <c r="V91" s="272"/>
      <c r="W91" s="272"/>
      <c r="X91" s="272"/>
      <c r="Y91" s="272"/>
      <c r="Z91" s="272"/>
      <c r="AA91" s="272"/>
      <c r="AB91" s="272"/>
      <c r="AC91" s="272"/>
      <c r="AD91" s="272"/>
      <c r="AE91" s="272"/>
      <c r="AF91" s="272"/>
      <c r="AG91" s="272"/>
      <c r="AH91" s="272"/>
      <c r="AI91" s="272"/>
      <c r="AJ91" s="272"/>
      <c r="AK91" s="272"/>
      <c r="AL91" s="316"/>
      <c r="AZ91" s="272"/>
    </row>
    <row r="92" spans="1:52" ht="24.95" customHeight="1" x14ac:dyDescent="0.25">
      <c r="A92" s="318"/>
      <c r="B92" s="322" t="s">
        <v>465</v>
      </c>
      <c r="C92" s="318"/>
      <c r="D92" s="272">
        <f>106.35-103.05</f>
        <v>3.2999999999999972</v>
      </c>
      <c r="E92" s="272"/>
      <c r="F92" s="272"/>
      <c r="G92" s="272"/>
      <c r="H92" s="316"/>
      <c r="I92" s="316"/>
      <c r="J92" s="272"/>
      <c r="K92" s="272"/>
      <c r="L92" s="272"/>
      <c r="M92" s="272"/>
      <c r="N92" s="272"/>
      <c r="O92" s="272"/>
      <c r="P92" s="272"/>
      <c r="Q92" s="272"/>
      <c r="R92" s="272"/>
      <c r="S92" s="272"/>
      <c r="T92" s="272"/>
      <c r="U92" s="272"/>
      <c r="V92" s="272"/>
      <c r="W92" s="272"/>
      <c r="X92" s="272"/>
      <c r="Y92" s="272"/>
      <c r="Z92" s="272"/>
      <c r="AA92" s="272"/>
      <c r="AB92" s="272"/>
      <c r="AC92" s="272"/>
      <c r="AD92" s="272"/>
      <c r="AE92" s="272"/>
      <c r="AF92" s="272"/>
      <c r="AG92" s="272"/>
      <c r="AH92" s="272"/>
      <c r="AI92" s="272"/>
      <c r="AJ92" s="272"/>
      <c r="AK92" s="272"/>
      <c r="AL92" s="316"/>
      <c r="AZ92" s="272"/>
    </row>
    <row r="93" spans="1:52" ht="24.95" customHeight="1" x14ac:dyDescent="0.25">
      <c r="A93" s="318"/>
      <c r="B93" s="322" t="s">
        <v>466</v>
      </c>
      <c r="C93" s="318"/>
      <c r="D93" s="272"/>
      <c r="E93" s="272"/>
      <c r="F93" s="272"/>
      <c r="G93" s="272"/>
      <c r="H93" s="272"/>
      <c r="I93" s="272"/>
      <c r="J93" s="272"/>
      <c r="K93" s="272"/>
      <c r="L93" s="272"/>
      <c r="M93" s="272"/>
      <c r="N93" s="272"/>
      <c r="O93" s="272"/>
      <c r="P93" s="272"/>
      <c r="Q93" s="272"/>
      <c r="R93" s="272"/>
      <c r="S93" s="272"/>
      <c r="T93" s="272"/>
      <c r="U93" s="272"/>
      <c r="V93" s="272"/>
      <c r="W93" s="272"/>
      <c r="X93" s="272"/>
      <c r="Y93" s="272"/>
      <c r="Z93" s="272"/>
      <c r="AA93" s="272"/>
      <c r="AB93" s="272"/>
      <c r="AC93" s="272"/>
      <c r="AD93" s="272"/>
      <c r="AE93" s="272"/>
      <c r="AF93" s="272"/>
      <c r="AG93" s="272"/>
      <c r="AH93" s="272"/>
      <c r="AI93" s="272"/>
      <c r="AJ93" s="272"/>
      <c r="AK93" s="272"/>
      <c r="AL93" s="316"/>
      <c r="AZ93" s="272"/>
    </row>
    <row r="94" spans="1:52" ht="24.95" customHeight="1" x14ac:dyDescent="0.25">
      <c r="A94" s="318"/>
      <c r="B94" s="322" t="s">
        <v>467</v>
      </c>
      <c r="C94" s="318"/>
      <c r="D94" s="272"/>
      <c r="E94" s="272"/>
      <c r="F94" s="272"/>
      <c r="G94" s="272"/>
      <c r="H94" s="272"/>
      <c r="I94" s="272"/>
      <c r="J94" s="272"/>
      <c r="K94" s="272"/>
      <c r="L94" s="272"/>
      <c r="M94" s="272"/>
      <c r="N94" s="272"/>
      <c r="O94" s="272"/>
      <c r="P94" s="272"/>
      <c r="Q94" s="272"/>
      <c r="R94" s="272"/>
      <c r="S94" s="272"/>
      <c r="T94" s="272"/>
      <c r="U94" s="272"/>
      <c r="V94" s="272"/>
      <c r="W94" s="272"/>
      <c r="X94" s="272"/>
      <c r="Y94" s="272"/>
      <c r="Z94" s="272"/>
      <c r="AA94" s="272"/>
      <c r="AB94" s="272"/>
      <c r="AC94" s="272"/>
      <c r="AD94" s="272"/>
      <c r="AE94" s="272"/>
      <c r="AF94" s="272"/>
      <c r="AG94" s="272"/>
      <c r="AH94" s="272"/>
      <c r="AI94" s="272"/>
      <c r="AJ94" s="272"/>
      <c r="AK94" s="272"/>
      <c r="AL94" s="316"/>
      <c r="AZ94" s="272"/>
    </row>
    <row r="95" spans="1:52" ht="24.95" customHeight="1" x14ac:dyDescent="0.25">
      <c r="A95" s="318"/>
      <c r="B95" s="322" t="s">
        <v>468</v>
      </c>
      <c r="C95" s="318"/>
      <c r="D95" s="272">
        <v>0</v>
      </c>
      <c r="E95" s="272"/>
      <c r="F95" s="272"/>
      <c r="G95" s="272"/>
      <c r="H95" s="272"/>
      <c r="I95" s="272"/>
      <c r="J95" s="272"/>
      <c r="K95" s="272"/>
      <c r="L95" s="272"/>
      <c r="M95" s="272"/>
      <c r="N95" s="272"/>
      <c r="O95" s="272"/>
      <c r="P95" s="272"/>
      <c r="Q95" s="272"/>
      <c r="R95" s="272"/>
      <c r="S95" s="272"/>
      <c r="T95" s="272"/>
      <c r="U95" s="272"/>
      <c r="V95" s="272"/>
      <c r="W95" s="272"/>
      <c r="X95" s="272"/>
      <c r="Y95" s="272"/>
      <c r="Z95" s="272"/>
      <c r="AA95" s="272"/>
      <c r="AB95" s="272"/>
      <c r="AC95" s="272"/>
      <c r="AD95" s="272"/>
      <c r="AE95" s="272"/>
      <c r="AF95" s="272"/>
      <c r="AG95" s="272"/>
      <c r="AH95" s="272"/>
      <c r="AI95" s="272"/>
      <c r="AJ95" s="272"/>
      <c r="AK95" s="272"/>
      <c r="AL95" s="316"/>
      <c r="AZ95" s="272"/>
    </row>
    <row r="96" spans="1:52" ht="24.95" customHeight="1" x14ac:dyDescent="0.25">
      <c r="A96" s="318"/>
      <c r="B96" s="322" t="s">
        <v>367</v>
      </c>
      <c r="C96" s="318"/>
      <c r="D96" s="272">
        <f>109.5-106.35</f>
        <v>3.1500000000000057</v>
      </c>
      <c r="E96" s="272"/>
      <c r="F96" s="272"/>
      <c r="G96" s="272"/>
      <c r="H96" s="272"/>
      <c r="I96" s="272"/>
      <c r="J96" s="272"/>
      <c r="K96" s="272"/>
      <c r="L96" s="272"/>
      <c r="M96" s="272"/>
      <c r="N96" s="272"/>
      <c r="O96" s="272"/>
      <c r="P96" s="272"/>
      <c r="Q96" s="272"/>
      <c r="R96" s="272"/>
      <c r="S96" s="272"/>
      <c r="T96" s="272"/>
      <c r="U96" s="272"/>
      <c r="V96" s="272"/>
      <c r="W96" s="272"/>
      <c r="X96" s="272"/>
      <c r="Y96" s="272"/>
      <c r="Z96" s="272"/>
      <c r="AA96" s="272"/>
      <c r="AB96" s="272"/>
      <c r="AC96" s="272"/>
      <c r="AD96" s="272"/>
      <c r="AE96" s="272"/>
      <c r="AF96" s="272"/>
      <c r="AG96" s="272"/>
      <c r="AH96" s="272"/>
      <c r="AI96" s="272"/>
      <c r="AJ96" s="272"/>
      <c r="AK96" s="272"/>
      <c r="AL96" s="316"/>
      <c r="AZ96" s="272"/>
    </row>
    <row r="97" spans="1:52" ht="24.95" customHeight="1" x14ac:dyDescent="0.25">
      <c r="A97" s="318"/>
      <c r="B97" s="318"/>
      <c r="C97" s="318"/>
      <c r="D97" s="272"/>
      <c r="E97" s="272"/>
      <c r="F97" s="272"/>
      <c r="G97" s="272"/>
      <c r="H97" s="272"/>
      <c r="I97" s="272"/>
      <c r="J97" s="272"/>
      <c r="K97" s="272"/>
      <c r="L97" s="272"/>
      <c r="M97" s="272"/>
      <c r="N97" s="272"/>
      <c r="O97" s="272"/>
      <c r="P97" s="272"/>
      <c r="Q97" s="272"/>
      <c r="R97" s="272"/>
      <c r="S97" s="272"/>
      <c r="T97" s="272"/>
      <c r="U97" s="272"/>
      <c r="V97" s="272"/>
      <c r="W97" s="272"/>
      <c r="X97" s="272"/>
      <c r="Y97" s="272"/>
      <c r="Z97" s="272"/>
      <c r="AA97" s="272"/>
      <c r="AB97" s="272"/>
      <c r="AC97" s="272"/>
      <c r="AD97" s="272"/>
      <c r="AE97" s="272"/>
      <c r="AF97" s="272"/>
      <c r="AG97" s="272"/>
      <c r="AH97" s="272"/>
      <c r="AI97" s="272"/>
      <c r="AJ97" s="272"/>
      <c r="AK97" s="272"/>
      <c r="AL97" s="316"/>
      <c r="AZ97" s="272"/>
    </row>
    <row r="98" spans="1:52" ht="24.95" customHeight="1" x14ac:dyDescent="0.25">
      <c r="A98" s="318"/>
      <c r="B98" s="322" t="s">
        <v>398</v>
      </c>
      <c r="C98" s="318"/>
      <c r="D98" s="272">
        <v>0.45</v>
      </c>
      <c r="E98" s="272"/>
      <c r="F98" s="272"/>
      <c r="G98" s="272"/>
      <c r="H98" s="272"/>
      <c r="I98" s="272"/>
      <c r="J98" s="272"/>
      <c r="K98" s="272"/>
      <c r="L98" s="272"/>
      <c r="M98" s="272"/>
      <c r="N98" s="272"/>
      <c r="O98" s="272"/>
      <c r="P98" s="272"/>
      <c r="Q98" s="272"/>
      <c r="R98" s="272"/>
      <c r="S98" s="272"/>
      <c r="T98" s="272"/>
      <c r="U98" s="272"/>
      <c r="V98" s="272"/>
      <c r="W98" s="272"/>
      <c r="X98" s="272"/>
      <c r="Y98" s="272"/>
      <c r="Z98" s="272"/>
      <c r="AA98" s="272"/>
      <c r="AB98" s="272"/>
      <c r="AC98" s="272"/>
      <c r="AD98" s="272"/>
      <c r="AE98" s="272"/>
      <c r="AF98" s="272"/>
      <c r="AG98" s="272"/>
      <c r="AH98" s="272"/>
      <c r="AI98" s="272"/>
      <c r="AJ98" s="272"/>
      <c r="AK98" s="272"/>
      <c r="AL98" s="316"/>
      <c r="AZ98" s="272"/>
    </row>
    <row r="99" spans="1:52" ht="24.95" customHeight="1" x14ac:dyDescent="0.25">
      <c r="A99" s="318"/>
      <c r="B99" s="318"/>
      <c r="C99" s="318"/>
      <c r="D99" s="272"/>
      <c r="E99" s="272"/>
      <c r="F99" s="272"/>
      <c r="G99" s="272"/>
      <c r="H99" s="272"/>
      <c r="I99" s="272"/>
      <c r="J99" s="272"/>
      <c r="K99" s="272"/>
      <c r="L99" s="272"/>
      <c r="M99" s="272"/>
      <c r="N99" s="272"/>
      <c r="O99" s="272"/>
      <c r="P99" s="272"/>
      <c r="Q99" s="272"/>
      <c r="R99" s="272"/>
      <c r="S99" s="272"/>
      <c r="T99" s="272"/>
      <c r="U99" s="272"/>
      <c r="V99" s="272"/>
      <c r="W99" s="272"/>
      <c r="X99" s="272"/>
      <c r="Y99" s="272"/>
      <c r="Z99" s="272"/>
      <c r="AA99" s="272"/>
      <c r="AB99" s="272"/>
      <c r="AC99" s="272"/>
      <c r="AD99" s="272"/>
      <c r="AE99" s="272"/>
      <c r="AF99" s="272"/>
      <c r="AG99" s="272"/>
      <c r="AH99" s="272"/>
      <c r="AI99" s="272"/>
      <c r="AJ99" s="272"/>
      <c r="AK99" s="272"/>
      <c r="AL99" s="316"/>
      <c r="AZ99" s="272"/>
    </row>
    <row r="100" spans="1:52" ht="24.95" customHeight="1" x14ac:dyDescent="0.25">
      <c r="A100" s="318"/>
      <c r="B100" s="318" t="s">
        <v>512</v>
      </c>
      <c r="C100" s="318"/>
      <c r="D100" s="272"/>
      <c r="E100" s="272"/>
      <c r="F100" s="272"/>
      <c r="G100" s="272"/>
      <c r="H100" s="272"/>
      <c r="I100" s="272"/>
      <c r="J100" s="272"/>
      <c r="K100" s="272"/>
      <c r="L100" s="272"/>
      <c r="M100" s="272"/>
      <c r="N100" s="272"/>
      <c r="O100" s="272"/>
      <c r="P100" s="272"/>
      <c r="Q100" s="272"/>
      <c r="R100" s="272"/>
      <c r="S100" s="272"/>
      <c r="T100" s="272"/>
      <c r="U100" s="272"/>
      <c r="V100" s="272"/>
      <c r="W100" s="272"/>
      <c r="X100" s="272"/>
      <c r="Y100" s="272"/>
      <c r="Z100" s="272"/>
      <c r="AA100" s="272"/>
      <c r="AB100" s="272"/>
      <c r="AC100" s="272"/>
      <c r="AD100" s="272"/>
      <c r="AE100" s="272"/>
      <c r="AF100" s="272"/>
      <c r="AG100" s="272"/>
      <c r="AH100" s="272"/>
      <c r="AI100" s="272"/>
      <c r="AJ100" s="272"/>
      <c r="AK100" s="272"/>
      <c r="AL100" s="316"/>
      <c r="AZ100" s="272"/>
    </row>
    <row r="101" spans="1:52" ht="24.95" customHeight="1" x14ac:dyDescent="0.25">
      <c r="A101" s="318" t="s">
        <v>424</v>
      </c>
      <c r="B101" s="316" t="s">
        <v>1</v>
      </c>
      <c r="C101" s="316" t="s">
        <v>2</v>
      </c>
      <c r="D101" s="316" t="s">
        <v>469</v>
      </c>
      <c r="E101" s="316" t="s">
        <v>470</v>
      </c>
      <c r="F101" s="316" t="s">
        <v>471</v>
      </c>
      <c r="G101" s="316" t="s">
        <v>472</v>
      </c>
      <c r="H101" s="316" t="s">
        <v>473</v>
      </c>
      <c r="I101" s="319" t="s">
        <v>474</v>
      </c>
      <c r="J101" s="272"/>
      <c r="K101" s="272"/>
      <c r="L101" s="272"/>
      <c r="M101" s="272"/>
      <c r="N101" s="272"/>
      <c r="O101" s="272"/>
      <c r="P101" s="272"/>
      <c r="Q101" s="272"/>
      <c r="R101" s="272"/>
      <c r="S101" s="272"/>
      <c r="T101" s="272"/>
      <c r="U101" s="272"/>
      <c r="V101" s="272"/>
      <c r="W101" s="272"/>
      <c r="X101" s="272"/>
      <c r="Y101" s="272"/>
      <c r="Z101" s="272"/>
      <c r="AA101" s="272"/>
      <c r="AB101" s="272"/>
      <c r="AC101" s="272"/>
      <c r="AD101" s="272"/>
      <c r="AE101" s="272"/>
      <c r="AF101" s="272"/>
      <c r="AG101" s="272"/>
      <c r="AH101" s="272"/>
      <c r="AI101" s="272"/>
      <c r="AJ101" s="272"/>
      <c r="AK101" s="272"/>
      <c r="AL101" s="316"/>
      <c r="AZ101" s="272"/>
    </row>
    <row r="102" spans="1:52" ht="24.95" customHeight="1" x14ac:dyDescent="0.25">
      <c r="A102" s="315">
        <v>1</v>
      </c>
      <c r="B102" s="320" t="s">
        <v>453</v>
      </c>
      <c r="C102" s="272">
        <v>1</v>
      </c>
      <c r="D102" s="272">
        <v>0.35</v>
      </c>
      <c r="E102" s="272">
        <v>0.45</v>
      </c>
      <c r="F102" s="272">
        <f>$D$90</f>
        <v>1.05</v>
      </c>
      <c r="G102" s="272"/>
      <c r="H102" s="272">
        <f>C102*(D102*E102*F102)</f>
        <v>0.16537500000000002</v>
      </c>
      <c r="I102" s="272">
        <f>C102*(D102+E102)*2*(F102-$D$98)</f>
        <v>0.96000000000000019</v>
      </c>
      <c r="J102" s="272"/>
      <c r="K102" s="272"/>
      <c r="L102" s="272"/>
      <c r="M102" s="272"/>
      <c r="N102" s="272"/>
      <c r="O102" s="272"/>
      <c r="P102" s="272"/>
      <c r="Q102" s="272"/>
      <c r="R102" s="272"/>
      <c r="S102" s="272"/>
      <c r="T102" s="272"/>
      <c r="U102" s="272"/>
      <c r="V102" s="272"/>
      <c r="W102" s="272"/>
      <c r="X102" s="272"/>
      <c r="Y102" s="272"/>
      <c r="Z102" s="272"/>
      <c r="AA102" s="272"/>
      <c r="AB102" s="272"/>
      <c r="AC102" s="272"/>
      <c r="AD102" s="272"/>
      <c r="AE102" s="272"/>
      <c r="AF102" s="272"/>
      <c r="AG102" s="272"/>
      <c r="AH102" s="272"/>
      <c r="AI102" s="272"/>
      <c r="AJ102" s="272"/>
      <c r="AK102" s="272"/>
      <c r="AL102" s="316"/>
      <c r="AZ102" s="272"/>
    </row>
    <row r="103" spans="1:52" ht="24.95" customHeight="1" x14ac:dyDescent="0.25">
      <c r="A103" s="315"/>
      <c r="B103" s="320" t="s">
        <v>454</v>
      </c>
      <c r="C103" s="272">
        <v>1</v>
      </c>
      <c r="D103" s="272">
        <v>0.35</v>
      </c>
      <c r="E103" s="272">
        <v>0.45</v>
      </c>
      <c r="F103" s="272">
        <f t="shared" ref="F103:F135" si="113">$D$90</f>
        <v>1.05</v>
      </c>
      <c r="G103" s="272"/>
      <c r="H103" s="272">
        <f t="shared" ref="H103:H128" si="114">C103*(D103*E103*F103)</f>
        <v>0.16537500000000002</v>
      </c>
      <c r="I103" s="272">
        <f t="shared" ref="I103:I135" si="115">C103*(D103+E103)*2*(F103-$D$98)</f>
        <v>0.96000000000000019</v>
      </c>
      <c r="J103" s="272"/>
      <c r="K103" s="272"/>
      <c r="L103" s="272"/>
      <c r="M103" s="272"/>
      <c r="N103" s="272"/>
      <c r="O103" s="272"/>
      <c r="P103" s="272"/>
      <c r="Q103" s="272"/>
      <c r="R103" s="272"/>
      <c r="S103" s="272"/>
      <c r="T103" s="272"/>
      <c r="U103" s="272"/>
      <c r="V103" s="272"/>
      <c r="W103" s="272"/>
      <c r="X103" s="272"/>
      <c r="Y103" s="272"/>
      <c r="Z103" s="272"/>
      <c r="AA103" s="272"/>
      <c r="AB103" s="272"/>
      <c r="AC103" s="272"/>
      <c r="AD103" s="272"/>
      <c r="AE103" s="272"/>
      <c r="AF103" s="272"/>
      <c r="AG103" s="272"/>
      <c r="AH103" s="272"/>
      <c r="AI103" s="272"/>
      <c r="AJ103" s="272"/>
      <c r="AK103" s="272"/>
      <c r="AL103" s="316"/>
      <c r="AZ103" s="272"/>
    </row>
    <row r="104" spans="1:52" ht="24.95" customHeight="1" x14ac:dyDescent="0.25">
      <c r="A104" s="315"/>
      <c r="B104" s="320" t="s">
        <v>455</v>
      </c>
      <c r="C104" s="272">
        <v>1</v>
      </c>
      <c r="D104" s="272">
        <v>0.35</v>
      </c>
      <c r="E104" s="272">
        <v>0.45</v>
      </c>
      <c r="F104" s="272">
        <f t="shared" si="113"/>
        <v>1.05</v>
      </c>
      <c r="G104" s="272"/>
      <c r="H104" s="272">
        <f t="shared" si="114"/>
        <v>0.16537500000000002</v>
      </c>
      <c r="I104" s="272">
        <f t="shared" si="115"/>
        <v>0.96000000000000019</v>
      </c>
      <c r="J104" s="272"/>
      <c r="K104" s="272"/>
      <c r="L104" s="272"/>
      <c r="M104" s="272"/>
      <c r="N104" s="272"/>
      <c r="O104" s="272"/>
      <c r="P104" s="272"/>
      <c r="Q104" s="272"/>
      <c r="R104" s="272"/>
      <c r="S104" s="272"/>
      <c r="T104" s="272"/>
      <c r="U104" s="272"/>
      <c r="V104" s="272"/>
      <c r="W104" s="272"/>
      <c r="X104" s="272"/>
      <c r="Y104" s="272"/>
      <c r="Z104" s="272"/>
      <c r="AA104" s="272"/>
      <c r="AB104" s="272"/>
      <c r="AC104" s="272"/>
      <c r="AD104" s="272"/>
      <c r="AE104" s="272"/>
      <c r="AF104" s="272"/>
      <c r="AG104" s="272"/>
      <c r="AH104" s="272"/>
      <c r="AI104" s="272"/>
      <c r="AJ104" s="272"/>
      <c r="AK104" s="272"/>
      <c r="AL104" s="316"/>
      <c r="AZ104" s="272"/>
    </row>
    <row r="105" spans="1:52" ht="24.95" customHeight="1" x14ac:dyDescent="0.25">
      <c r="A105" s="315"/>
      <c r="B105" s="320" t="s">
        <v>475</v>
      </c>
      <c r="C105" s="272">
        <v>1</v>
      </c>
      <c r="D105" s="272">
        <v>0.35</v>
      </c>
      <c r="E105" s="272">
        <v>0.45</v>
      </c>
      <c r="F105" s="272">
        <f t="shared" si="113"/>
        <v>1.05</v>
      </c>
      <c r="G105" s="272"/>
      <c r="H105" s="272">
        <f t="shared" si="114"/>
        <v>0.16537500000000002</v>
      </c>
      <c r="I105" s="272">
        <f t="shared" si="115"/>
        <v>0.96000000000000019</v>
      </c>
      <c r="J105" s="272"/>
      <c r="K105" s="272"/>
      <c r="L105" s="272"/>
      <c r="M105" s="272"/>
      <c r="N105" s="272"/>
      <c r="O105" s="272"/>
      <c r="P105" s="272"/>
      <c r="Q105" s="272"/>
      <c r="R105" s="272"/>
      <c r="S105" s="272"/>
      <c r="T105" s="272"/>
      <c r="U105" s="272"/>
      <c r="V105" s="272"/>
      <c r="W105" s="272"/>
      <c r="X105" s="272"/>
      <c r="Y105" s="272"/>
      <c r="Z105" s="272"/>
      <c r="AA105" s="272"/>
      <c r="AB105" s="272"/>
      <c r="AC105" s="272"/>
      <c r="AD105" s="272"/>
      <c r="AE105" s="272"/>
      <c r="AF105" s="272"/>
      <c r="AG105" s="272"/>
      <c r="AH105" s="272"/>
      <c r="AI105" s="272"/>
      <c r="AJ105" s="272"/>
      <c r="AK105" s="272"/>
      <c r="AL105" s="316"/>
      <c r="AZ105" s="272"/>
    </row>
    <row r="106" spans="1:52" ht="24.95" customHeight="1" x14ac:dyDescent="0.25">
      <c r="A106" s="315"/>
      <c r="B106" s="320" t="s">
        <v>476</v>
      </c>
      <c r="C106" s="272">
        <v>1</v>
      </c>
      <c r="D106" s="272">
        <v>0.35</v>
      </c>
      <c r="E106" s="272">
        <v>0.45</v>
      </c>
      <c r="F106" s="272">
        <f t="shared" si="113"/>
        <v>1.05</v>
      </c>
      <c r="G106" s="272"/>
      <c r="H106" s="272">
        <f t="shared" si="114"/>
        <v>0.16537500000000002</v>
      </c>
      <c r="I106" s="272">
        <f t="shared" si="115"/>
        <v>0.96000000000000019</v>
      </c>
      <c r="J106" s="272"/>
      <c r="K106" s="272"/>
      <c r="L106" s="272"/>
      <c r="M106" s="272"/>
      <c r="N106" s="272"/>
      <c r="O106" s="272"/>
      <c r="P106" s="272"/>
      <c r="Q106" s="272"/>
      <c r="R106" s="272"/>
      <c r="S106" s="272"/>
      <c r="T106" s="272"/>
      <c r="U106" s="272"/>
      <c r="V106" s="272"/>
      <c r="W106" s="272"/>
      <c r="X106" s="272"/>
      <c r="Y106" s="272"/>
      <c r="Z106" s="272"/>
      <c r="AA106" s="272"/>
      <c r="AB106" s="272"/>
      <c r="AC106" s="272"/>
      <c r="AD106" s="272"/>
      <c r="AE106" s="272"/>
      <c r="AF106" s="272"/>
      <c r="AG106" s="272"/>
      <c r="AH106" s="272"/>
      <c r="AI106" s="272"/>
      <c r="AJ106" s="272"/>
      <c r="AK106" s="272"/>
      <c r="AL106" s="316"/>
      <c r="AZ106" s="272"/>
    </row>
    <row r="107" spans="1:52" ht="24.95" customHeight="1" x14ac:dyDescent="0.25">
      <c r="A107" s="315"/>
      <c r="B107" s="320" t="s">
        <v>477</v>
      </c>
      <c r="C107" s="272">
        <v>1</v>
      </c>
      <c r="D107" s="272">
        <v>0.35</v>
      </c>
      <c r="E107" s="272">
        <v>0.45</v>
      </c>
      <c r="F107" s="272">
        <f t="shared" si="113"/>
        <v>1.05</v>
      </c>
      <c r="G107" s="272"/>
      <c r="H107" s="272">
        <f t="shared" si="114"/>
        <v>0.16537500000000002</v>
      </c>
      <c r="I107" s="272">
        <f t="shared" si="115"/>
        <v>0.96000000000000019</v>
      </c>
      <c r="J107" s="272"/>
      <c r="K107" s="272"/>
      <c r="L107" s="272"/>
      <c r="M107" s="272"/>
      <c r="N107" s="272"/>
      <c r="O107" s="272"/>
      <c r="P107" s="272"/>
      <c r="Q107" s="272"/>
      <c r="R107" s="272"/>
      <c r="S107" s="272"/>
      <c r="T107" s="272"/>
      <c r="U107" s="272"/>
      <c r="V107" s="272"/>
      <c r="W107" s="272"/>
      <c r="X107" s="272"/>
      <c r="Y107" s="272"/>
      <c r="Z107" s="272"/>
      <c r="AA107" s="272"/>
      <c r="AB107" s="272"/>
      <c r="AC107" s="272"/>
      <c r="AD107" s="272"/>
      <c r="AE107" s="272"/>
      <c r="AF107" s="272"/>
      <c r="AG107" s="272"/>
      <c r="AH107" s="272"/>
      <c r="AI107" s="272"/>
      <c r="AJ107" s="272"/>
      <c r="AK107" s="272"/>
      <c r="AL107" s="316"/>
      <c r="AZ107" s="272"/>
    </row>
    <row r="108" spans="1:52" ht="24.95" customHeight="1" x14ac:dyDescent="0.25">
      <c r="B108" s="320" t="s">
        <v>478</v>
      </c>
      <c r="C108" s="272">
        <v>1</v>
      </c>
      <c r="D108" s="272">
        <v>0.35</v>
      </c>
      <c r="E108" s="272">
        <v>0.45</v>
      </c>
      <c r="F108" s="272">
        <f t="shared" si="113"/>
        <v>1.05</v>
      </c>
      <c r="H108" s="272">
        <f t="shared" si="114"/>
        <v>0.16537500000000002</v>
      </c>
      <c r="I108" s="272">
        <f t="shared" si="115"/>
        <v>0.96000000000000019</v>
      </c>
    </row>
    <row r="109" spans="1:52" ht="24.95" customHeight="1" x14ac:dyDescent="0.25">
      <c r="B109" s="320" t="s">
        <v>479</v>
      </c>
      <c r="C109" s="272">
        <v>1</v>
      </c>
      <c r="D109" s="272">
        <v>0.35</v>
      </c>
      <c r="E109" s="272">
        <v>0.45</v>
      </c>
      <c r="F109" s="272">
        <f t="shared" si="113"/>
        <v>1.05</v>
      </c>
      <c r="H109" s="272">
        <f t="shared" si="114"/>
        <v>0.16537500000000002</v>
      </c>
      <c r="I109" s="272">
        <f t="shared" si="115"/>
        <v>0.96000000000000019</v>
      </c>
    </row>
    <row r="110" spans="1:52" ht="24.95" customHeight="1" x14ac:dyDescent="0.25">
      <c r="B110" s="320" t="s">
        <v>480</v>
      </c>
      <c r="C110" s="272">
        <v>1</v>
      </c>
      <c r="D110" s="272">
        <v>0.35</v>
      </c>
      <c r="E110" s="272">
        <v>0.65</v>
      </c>
      <c r="F110" s="272">
        <f t="shared" si="113"/>
        <v>1.05</v>
      </c>
      <c r="H110" s="272">
        <f t="shared" si="114"/>
        <v>0.23887499999999998</v>
      </c>
      <c r="I110" s="272">
        <f t="shared" si="115"/>
        <v>1.2000000000000002</v>
      </c>
    </row>
    <row r="111" spans="1:52" ht="24.95" customHeight="1" x14ac:dyDescent="0.25">
      <c r="B111" s="320" t="s">
        <v>481</v>
      </c>
      <c r="C111" s="272">
        <v>1</v>
      </c>
      <c r="D111" s="272">
        <v>0.35</v>
      </c>
      <c r="E111" s="272">
        <v>0.45</v>
      </c>
      <c r="F111" s="272">
        <f t="shared" si="113"/>
        <v>1.05</v>
      </c>
      <c r="H111" s="272">
        <f t="shared" si="114"/>
        <v>0.16537500000000002</v>
      </c>
      <c r="I111" s="272">
        <f t="shared" si="115"/>
        <v>0.96000000000000019</v>
      </c>
    </row>
    <row r="112" spans="1:52" ht="24.95" customHeight="1" x14ac:dyDescent="0.25">
      <c r="B112" s="320" t="s">
        <v>482</v>
      </c>
      <c r="C112" s="272">
        <v>1</v>
      </c>
      <c r="D112" s="272">
        <v>0.3</v>
      </c>
      <c r="E112" s="272">
        <v>1.2</v>
      </c>
      <c r="F112" s="272">
        <f t="shared" si="113"/>
        <v>1.05</v>
      </c>
      <c r="H112" s="272">
        <f t="shared" si="114"/>
        <v>0.378</v>
      </c>
      <c r="I112" s="272">
        <f t="shared" si="115"/>
        <v>1.8000000000000003</v>
      </c>
    </row>
    <row r="113" spans="2:9" ht="24.95" customHeight="1" x14ac:dyDescent="0.25">
      <c r="B113" s="320" t="s">
        <v>483</v>
      </c>
      <c r="C113" s="272">
        <v>1</v>
      </c>
      <c r="D113" s="272">
        <v>0.35</v>
      </c>
      <c r="E113" s="272">
        <v>0.45</v>
      </c>
      <c r="F113" s="272">
        <f t="shared" si="113"/>
        <v>1.05</v>
      </c>
      <c r="H113" s="272">
        <f t="shared" si="114"/>
        <v>0.16537500000000002</v>
      </c>
      <c r="I113" s="272">
        <f t="shared" si="115"/>
        <v>0.96000000000000019</v>
      </c>
    </row>
    <row r="114" spans="2:9" ht="24.95" customHeight="1" x14ac:dyDescent="0.25">
      <c r="B114" s="320" t="s">
        <v>484</v>
      </c>
      <c r="C114" s="272">
        <v>1</v>
      </c>
      <c r="D114" s="272">
        <v>0.35</v>
      </c>
      <c r="E114" s="272">
        <v>0.45</v>
      </c>
      <c r="F114" s="272">
        <f t="shared" si="113"/>
        <v>1.05</v>
      </c>
      <c r="H114" s="272">
        <f t="shared" si="114"/>
        <v>0.16537500000000002</v>
      </c>
      <c r="I114" s="272">
        <f t="shared" si="115"/>
        <v>0.96000000000000019</v>
      </c>
    </row>
    <row r="115" spans="2:9" ht="24.95" customHeight="1" x14ac:dyDescent="0.25">
      <c r="B115" s="320" t="s">
        <v>485</v>
      </c>
      <c r="C115" s="272">
        <v>1</v>
      </c>
      <c r="D115" s="272">
        <v>0.45</v>
      </c>
      <c r="E115" s="272">
        <v>0.6</v>
      </c>
      <c r="F115" s="272">
        <f t="shared" si="113"/>
        <v>1.05</v>
      </c>
      <c r="H115" s="272">
        <f t="shared" si="114"/>
        <v>0.28350000000000003</v>
      </c>
      <c r="I115" s="272">
        <f t="shared" si="115"/>
        <v>1.2600000000000002</v>
      </c>
    </row>
    <row r="116" spans="2:9" ht="24.95" customHeight="1" x14ac:dyDescent="0.25">
      <c r="B116" s="320" t="s">
        <v>486</v>
      </c>
      <c r="C116" s="272">
        <v>1</v>
      </c>
      <c r="D116" s="272">
        <v>0.45</v>
      </c>
      <c r="E116" s="272">
        <v>0.6</v>
      </c>
      <c r="F116" s="272">
        <f t="shared" si="113"/>
        <v>1.05</v>
      </c>
      <c r="H116" s="272">
        <f t="shared" si="114"/>
        <v>0.28350000000000003</v>
      </c>
      <c r="I116" s="272">
        <f t="shared" si="115"/>
        <v>1.2600000000000002</v>
      </c>
    </row>
    <row r="117" spans="2:9" ht="24.95" customHeight="1" x14ac:dyDescent="0.25">
      <c r="B117" s="320" t="s">
        <v>487</v>
      </c>
      <c r="C117" s="272">
        <v>1</v>
      </c>
      <c r="D117" s="272">
        <v>0.35</v>
      </c>
      <c r="E117" s="272">
        <v>0.45</v>
      </c>
      <c r="F117" s="272">
        <f t="shared" si="113"/>
        <v>1.05</v>
      </c>
      <c r="H117" s="272">
        <f t="shared" si="114"/>
        <v>0.16537500000000002</v>
      </c>
      <c r="I117" s="272">
        <f t="shared" si="115"/>
        <v>0.96000000000000019</v>
      </c>
    </row>
    <row r="118" spans="2:9" ht="24.95" customHeight="1" x14ac:dyDescent="0.25">
      <c r="B118" s="320" t="s">
        <v>488</v>
      </c>
      <c r="C118" s="272">
        <v>1</v>
      </c>
      <c r="D118" s="272">
        <v>0.35</v>
      </c>
      <c r="E118" s="272">
        <v>0.45</v>
      </c>
      <c r="F118" s="272">
        <f t="shared" si="113"/>
        <v>1.05</v>
      </c>
      <c r="H118" s="272">
        <f t="shared" si="114"/>
        <v>0.16537500000000002</v>
      </c>
      <c r="I118" s="272">
        <f t="shared" si="115"/>
        <v>0.96000000000000019</v>
      </c>
    </row>
    <row r="119" spans="2:9" ht="24.95" customHeight="1" x14ac:dyDescent="0.25">
      <c r="B119" s="320" t="s">
        <v>489</v>
      </c>
      <c r="C119" s="272">
        <v>1</v>
      </c>
      <c r="D119" s="272">
        <v>0.35</v>
      </c>
      <c r="E119" s="272">
        <v>0.65</v>
      </c>
      <c r="F119" s="272">
        <f t="shared" si="113"/>
        <v>1.05</v>
      </c>
      <c r="H119" s="272">
        <f t="shared" si="114"/>
        <v>0.23887499999999998</v>
      </c>
      <c r="I119" s="272">
        <f t="shared" si="115"/>
        <v>1.2000000000000002</v>
      </c>
    </row>
    <row r="120" spans="2:9" ht="24.95" customHeight="1" x14ac:dyDescent="0.25">
      <c r="B120" s="320" t="s">
        <v>490</v>
      </c>
      <c r="C120" s="272">
        <v>1</v>
      </c>
      <c r="D120" s="272">
        <v>0.35</v>
      </c>
      <c r="E120" s="272">
        <v>0.45</v>
      </c>
      <c r="F120" s="272">
        <f t="shared" si="113"/>
        <v>1.05</v>
      </c>
      <c r="H120" s="272">
        <f t="shared" si="114"/>
        <v>0.16537500000000002</v>
      </c>
      <c r="I120" s="272">
        <f t="shared" si="115"/>
        <v>0.96000000000000019</v>
      </c>
    </row>
    <row r="121" spans="2:9" ht="24.95" customHeight="1" x14ac:dyDescent="0.25">
      <c r="B121" s="320" t="s">
        <v>491</v>
      </c>
      <c r="C121" s="272">
        <v>1</v>
      </c>
      <c r="D121" s="272">
        <v>0.35</v>
      </c>
      <c r="E121" s="272">
        <v>0.45</v>
      </c>
      <c r="F121" s="272">
        <f t="shared" si="113"/>
        <v>1.05</v>
      </c>
      <c r="H121" s="272">
        <f t="shared" si="114"/>
        <v>0.16537500000000002</v>
      </c>
      <c r="I121" s="272">
        <f t="shared" si="115"/>
        <v>0.96000000000000019</v>
      </c>
    </row>
    <row r="122" spans="2:9" ht="24.95" customHeight="1" x14ac:dyDescent="0.25">
      <c r="B122" s="320" t="s">
        <v>492</v>
      </c>
      <c r="C122" s="272">
        <v>1</v>
      </c>
      <c r="D122" s="272">
        <v>0.35</v>
      </c>
      <c r="E122" s="272">
        <v>0.45</v>
      </c>
      <c r="F122" s="272">
        <f t="shared" si="113"/>
        <v>1.05</v>
      </c>
      <c r="H122" s="272">
        <f t="shared" ref="H122:H127" si="116">C122*(D122*E122*F122)</f>
        <v>0.16537500000000002</v>
      </c>
      <c r="I122" s="272">
        <f t="shared" si="115"/>
        <v>0.96000000000000019</v>
      </c>
    </row>
    <row r="123" spans="2:9" ht="24.95" customHeight="1" x14ac:dyDescent="0.25">
      <c r="B123" s="320" t="s">
        <v>500</v>
      </c>
      <c r="C123" s="272">
        <v>1</v>
      </c>
      <c r="D123" s="272">
        <v>0.35</v>
      </c>
      <c r="E123" s="272">
        <v>0.45</v>
      </c>
      <c r="F123" s="272">
        <f t="shared" si="113"/>
        <v>1.05</v>
      </c>
      <c r="H123" s="272">
        <f t="shared" si="116"/>
        <v>0.16537500000000002</v>
      </c>
      <c r="I123" s="272">
        <f t="shared" si="115"/>
        <v>0.96000000000000019</v>
      </c>
    </row>
    <row r="124" spans="2:9" ht="24.95" customHeight="1" x14ac:dyDescent="0.25">
      <c r="B124" s="320" t="s">
        <v>501</v>
      </c>
      <c r="C124" s="272">
        <v>1</v>
      </c>
      <c r="D124" s="272">
        <v>0.35</v>
      </c>
      <c r="E124" s="272">
        <v>0.45</v>
      </c>
      <c r="F124" s="272">
        <f t="shared" si="113"/>
        <v>1.05</v>
      </c>
      <c r="H124" s="272">
        <f t="shared" si="116"/>
        <v>0.16537500000000002</v>
      </c>
      <c r="I124" s="272">
        <f t="shared" si="115"/>
        <v>0.96000000000000019</v>
      </c>
    </row>
    <row r="125" spans="2:9" ht="24.95" customHeight="1" x14ac:dyDescent="0.25">
      <c r="B125" s="320" t="s">
        <v>502</v>
      </c>
      <c r="C125" s="272">
        <v>1</v>
      </c>
      <c r="D125" s="272">
        <v>0.35</v>
      </c>
      <c r="E125" s="272">
        <v>0.45</v>
      </c>
      <c r="F125" s="272">
        <f t="shared" si="113"/>
        <v>1.05</v>
      </c>
      <c r="H125" s="272">
        <f t="shared" si="116"/>
        <v>0.16537500000000002</v>
      </c>
      <c r="I125" s="272">
        <f t="shared" si="115"/>
        <v>0.96000000000000019</v>
      </c>
    </row>
    <row r="126" spans="2:9" ht="24.95" customHeight="1" x14ac:dyDescent="0.25">
      <c r="B126" s="320" t="s">
        <v>503</v>
      </c>
      <c r="C126" s="272">
        <v>1</v>
      </c>
      <c r="D126" s="272">
        <v>0.35</v>
      </c>
      <c r="E126" s="272">
        <v>0.45</v>
      </c>
      <c r="F126" s="272">
        <f t="shared" si="113"/>
        <v>1.05</v>
      </c>
      <c r="H126" s="272">
        <f t="shared" si="116"/>
        <v>0.16537500000000002</v>
      </c>
      <c r="I126" s="272">
        <f t="shared" si="115"/>
        <v>0.96000000000000019</v>
      </c>
    </row>
    <row r="127" spans="2:9" ht="24.95" customHeight="1" x14ac:dyDescent="0.25">
      <c r="B127" s="320" t="s">
        <v>504</v>
      </c>
      <c r="C127" s="272">
        <v>1</v>
      </c>
      <c r="D127" s="272">
        <v>0.35</v>
      </c>
      <c r="E127" s="272">
        <v>0.45</v>
      </c>
      <c r="F127" s="272">
        <f t="shared" si="113"/>
        <v>1.05</v>
      </c>
      <c r="H127" s="272">
        <f t="shared" si="116"/>
        <v>0.16537500000000002</v>
      </c>
      <c r="I127" s="272">
        <f t="shared" si="115"/>
        <v>0.96000000000000019</v>
      </c>
    </row>
    <row r="128" spans="2:9" ht="24.95" customHeight="1" x14ac:dyDescent="0.25">
      <c r="B128" s="320" t="s">
        <v>505</v>
      </c>
      <c r="C128" s="272">
        <v>1</v>
      </c>
      <c r="D128" s="272">
        <v>0.35</v>
      </c>
      <c r="E128" s="272">
        <v>0.45</v>
      </c>
      <c r="F128" s="272">
        <f t="shared" si="113"/>
        <v>1.05</v>
      </c>
      <c r="H128" s="272">
        <f t="shared" si="114"/>
        <v>0.16537500000000002</v>
      </c>
      <c r="I128" s="272">
        <f t="shared" si="115"/>
        <v>0.96000000000000019</v>
      </c>
    </row>
    <row r="129" spans="1:52" ht="24.95" customHeight="1" x14ac:dyDescent="0.25">
      <c r="B129" s="320" t="s">
        <v>506</v>
      </c>
      <c r="C129" s="272">
        <v>1</v>
      </c>
      <c r="D129" s="272">
        <v>0.35</v>
      </c>
      <c r="E129" s="272">
        <v>0.45</v>
      </c>
      <c r="F129" s="272">
        <f t="shared" si="113"/>
        <v>1.05</v>
      </c>
      <c r="H129" s="272">
        <f t="shared" ref="H129:H134" si="117">C129*(D129*E129*F129)</f>
        <v>0.16537500000000002</v>
      </c>
      <c r="I129" s="272">
        <f t="shared" si="115"/>
        <v>0.96000000000000019</v>
      </c>
    </row>
    <row r="130" spans="1:52" ht="24.95" customHeight="1" x14ac:dyDescent="0.25">
      <c r="B130" s="320" t="s">
        <v>507</v>
      </c>
      <c r="C130" s="272">
        <v>1</v>
      </c>
      <c r="D130" s="272">
        <v>0.35</v>
      </c>
      <c r="E130" s="272">
        <v>0.45</v>
      </c>
      <c r="F130" s="272">
        <f t="shared" si="113"/>
        <v>1.05</v>
      </c>
      <c r="H130" s="272">
        <f t="shared" si="117"/>
        <v>0.16537500000000002</v>
      </c>
      <c r="I130" s="272">
        <f t="shared" si="115"/>
        <v>0.96000000000000019</v>
      </c>
    </row>
    <row r="131" spans="1:52" ht="24.95" customHeight="1" x14ac:dyDescent="0.25">
      <c r="B131" s="320" t="s">
        <v>508</v>
      </c>
      <c r="C131" s="272">
        <v>1</v>
      </c>
      <c r="D131" s="272">
        <v>0.35</v>
      </c>
      <c r="E131" s="272">
        <v>0.45</v>
      </c>
      <c r="F131" s="272">
        <f t="shared" si="113"/>
        <v>1.05</v>
      </c>
      <c r="H131" s="272">
        <f t="shared" si="117"/>
        <v>0.16537500000000002</v>
      </c>
      <c r="I131" s="272">
        <f t="shared" si="115"/>
        <v>0.96000000000000019</v>
      </c>
    </row>
    <row r="132" spans="1:52" ht="24.95" customHeight="1" x14ac:dyDescent="0.25">
      <c r="B132" s="320" t="s">
        <v>509</v>
      </c>
      <c r="C132" s="272">
        <v>1</v>
      </c>
      <c r="D132" s="272">
        <v>0.35</v>
      </c>
      <c r="E132" s="272">
        <v>0.45</v>
      </c>
      <c r="F132" s="272">
        <f t="shared" si="113"/>
        <v>1.05</v>
      </c>
      <c r="H132" s="272">
        <f t="shared" si="117"/>
        <v>0.16537500000000002</v>
      </c>
      <c r="I132" s="272">
        <f t="shared" si="115"/>
        <v>0.96000000000000019</v>
      </c>
    </row>
    <row r="133" spans="1:52" ht="24.95" customHeight="1" x14ac:dyDescent="0.25">
      <c r="B133" s="320" t="s">
        <v>510</v>
      </c>
      <c r="C133" s="272">
        <v>1</v>
      </c>
      <c r="D133" s="272">
        <v>0.35</v>
      </c>
      <c r="E133" s="272">
        <v>0.45</v>
      </c>
      <c r="F133" s="272">
        <f t="shared" si="113"/>
        <v>1.05</v>
      </c>
      <c r="H133" s="272">
        <f t="shared" si="117"/>
        <v>0.16537500000000002</v>
      </c>
      <c r="I133" s="272">
        <f t="shared" si="115"/>
        <v>0.96000000000000019</v>
      </c>
    </row>
    <row r="134" spans="1:52" ht="24.95" customHeight="1" x14ac:dyDescent="0.25">
      <c r="B134" s="320" t="s">
        <v>511</v>
      </c>
      <c r="C134" s="272">
        <v>1</v>
      </c>
      <c r="D134" s="272">
        <v>0.35</v>
      </c>
      <c r="E134" s="272">
        <v>0.45</v>
      </c>
      <c r="F134" s="272">
        <f t="shared" si="113"/>
        <v>1.05</v>
      </c>
      <c r="H134" s="272">
        <f t="shared" si="117"/>
        <v>0.16537500000000002</v>
      </c>
      <c r="I134" s="272">
        <f t="shared" ref="I134" si="118">C134*(D134+E134)*2*(F134-$D$98)</f>
        <v>0.96000000000000019</v>
      </c>
    </row>
    <row r="135" spans="1:52" ht="24.95" customHeight="1" x14ac:dyDescent="0.25">
      <c r="B135" s="320" t="s">
        <v>592</v>
      </c>
      <c r="C135" s="272">
        <f>3+3+2</f>
        <v>8</v>
      </c>
      <c r="D135" s="272">
        <v>0.2</v>
      </c>
      <c r="E135" s="272">
        <v>0.45</v>
      </c>
      <c r="F135" s="272">
        <f t="shared" si="113"/>
        <v>1.05</v>
      </c>
      <c r="H135" s="272">
        <f t="shared" ref="H135" si="119">C135*(D135*E135*F135)</f>
        <v>0.75600000000000012</v>
      </c>
      <c r="I135" s="272">
        <f t="shared" si="115"/>
        <v>6.2400000000000011</v>
      </c>
    </row>
    <row r="136" spans="1:52" ht="24.95" customHeight="1" x14ac:dyDescent="0.25">
      <c r="B136" s="317" t="s">
        <v>30</v>
      </c>
      <c r="C136" s="316">
        <f>SUM(C102:C135)</f>
        <v>41</v>
      </c>
      <c r="D136" s="272"/>
      <c r="E136" s="272"/>
      <c r="F136" s="272"/>
      <c r="H136" s="316">
        <f>SUM(H102:H135)</f>
        <v>6.8092500000000014</v>
      </c>
      <c r="I136" s="316">
        <f>SUM(I102:I135)</f>
        <v>39.840000000000018</v>
      </c>
    </row>
    <row r="137" spans="1:52" ht="24.95" customHeight="1" x14ac:dyDescent="0.25">
      <c r="B137" s="320"/>
      <c r="C137" s="272"/>
      <c r="D137" s="272"/>
      <c r="E137" s="272"/>
      <c r="F137" s="272"/>
      <c r="H137" s="272"/>
      <c r="I137" s="272"/>
    </row>
    <row r="138" spans="1:52" ht="24.95" customHeight="1" x14ac:dyDescent="0.25">
      <c r="A138" s="318"/>
      <c r="B138" s="318" t="s">
        <v>513</v>
      </c>
      <c r="C138" s="318"/>
      <c r="D138" s="272"/>
      <c r="E138" s="272"/>
      <c r="F138" s="272"/>
      <c r="G138" s="272"/>
      <c r="H138" s="272"/>
      <c r="I138" s="272"/>
      <c r="J138" s="272"/>
      <c r="K138" s="272"/>
      <c r="L138" s="272"/>
      <c r="M138" s="272"/>
      <c r="N138" s="272"/>
      <c r="O138" s="272"/>
      <c r="P138" s="272"/>
      <c r="Q138" s="272"/>
      <c r="R138" s="272"/>
      <c r="S138" s="272"/>
      <c r="T138" s="272"/>
      <c r="U138" s="272"/>
      <c r="V138" s="272"/>
      <c r="W138" s="272"/>
      <c r="X138" s="272"/>
      <c r="Y138" s="272"/>
      <c r="Z138" s="272"/>
      <c r="AA138" s="272"/>
      <c r="AB138" s="272"/>
      <c r="AC138" s="272"/>
      <c r="AD138" s="272"/>
      <c r="AE138" s="272"/>
      <c r="AF138" s="272"/>
      <c r="AG138" s="272"/>
      <c r="AH138" s="272"/>
      <c r="AI138" s="272"/>
      <c r="AJ138" s="272"/>
      <c r="AK138" s="272"/>
      <c r="AL138" s="316"/>
      <c r="AZ138" s="272"/>
    </row>
    <row r="139" spans="1:52" ht="24.95" customHeight="1" x14ac:dyDescent="0.25">
      <c r="A139" s="318" t="s">
        <v>424</v>
      </c>
      <c r="B139" s="316" t="s">
        <v>1</v>
      </c>
      <c r="C139" s="316" t="s">
        <v>2</v>
      </c>
      <c r="D139" s="316" t="s">
        <v>469</v>
      </c>
      <c r="E139" s="316" t="s">
        <v>470</v>
      </c>
      <c r="F139" s="316" t="s">
        <v>471</v>
      </c>
      <c r="G139" s="316" t="s">
        <v>472</v>
      </c>
      <c r="H139" s="316" t="s">
        <v>473</v>
      </c>
      <c r="I139" s="319" t="s">
        <v>474</v>
      </c>
      <c r="J139" s="272"/>
      <c r="K139" s="272"/>
      <c r="L139" s="272"/>
      <c r="M139" s="272"/>
      <c r="N139" s="272"/>
      <c r="O139" s="272"/>
      <c r="P139" s="272"/>
      <c r="Q139" s="272"/>
      <c r="R139" s="272"/>
      <c r="S139" s="272"/>
      <c r="T139" s="272"/>
      <c r="U139" s="272"/>
      <c r="V139" s="272"/>
      <c r="W139" s="272"/>
      <c r="X139" s="272"/>
      <c r="Y139" s="272"/>
      <c r="Z139" s="272"/>
      <c r="AA139" s="272"/>
      <c r="AB139" s="272"/>
      <c r="AC139" s="272"/>
      <c r="AD139" s="272"/>
      <c r="AE139" s="272"/>
      <c r="AF139" s="272"/>
      <c r="AG139" s="272"/>
      <c r="AH139" s="272"/>
      <c r="AI139" s="272"/>
      <c r="AJ139" s="272"/>
      <c r="AK139" s="272"/>
      <c r="AL139" s="316"/>
      <c r="AZ139" s="272"/>
    </row>
    <row r="140" spans="1:52" ht="24.95" customHeight="1" x14ac:dyDescent="0.25">
      <c r="A140" s="315">
        <v>1</v>
      </c>
      <c r="B140" s="320" t="s">
        <v>453</v>
      </c>
      <c r="C140" s="272">
        <v>1</v>
      </c>
      <c r="D140" s="272">
        <v>0.2</v>
      </c>
      <c r="E140" s="272">
        <v>0.45</v>
      </c>
      <c r="F140" s="272">
        <f>$D$91</f>
        <v>3.2999999999999972</v>
      </c>
      <c r="G140" s="272"/>
      <c r="H140" s="272">
        <f>C140*(D140*E140*F140)</f>
        <v>0.29699999999999976</v>
      </c>
      <c r="I140" s="272">
        <f t="shared" ref="I140:I173" si="120">C140*(D140+E140)*2*(F140-$D$98)</f>
        <v>3.7049999999999961</v>
      </c>
      <c r="J140" s="272"/>
      <c r="K140" s="272"/>
      <c r="L140" s="272"/>
      <c r="M140" s="272"/>
      <c r="N140" s="272"/>
      <c r="O140" s="272"/>
      <c r="P140" s="272"/>
      <c r="Q140" s="272"/>
      <c r="R140" s="272"/>
      <c r="S140" s="272"/>
      <c r="T140" s="272"/>
      <c r="U140" s="272"/>
      <c r="V140" s="272"/>
      <c r="W140" s="272"/>
      <c r="X140" s="272"/>
      <c r="Y140" s="272"/>
      <c r="Z140" s="272"/>
      <c r="AA140" s="272"/>
      <c r="AB140" s="272"/>
      <c r="AC140" s="272"/>
      <c r="AD140" s="272"/>
      <c r="AE140" s="272"/>
      <c r="AF140" s="272"/>
      <c r="AG140" s="272"/>
      <c r="AH140" s="272"/>
      <c r="AI140" s="272"/>
      <c r="AJ140" s="272"/>
      <c r="AK140" s="272"/>
      <c r="AL140" s="316"/>
      <c r="AZ140" s="272"/>
    </row>
    <row r="141" spans="1:52" ht="24.95" customHeight="1" x14ac:dyDescent="0.25">
      <c r="A141" s="315"/>
      <c r="B141" s="320" t="s">
        <v>454</v>
      </c>
      <c r="C141" s="272">
        <v>1</v>
      </c>
      <c r="D141" s="272">
        <v>0.2</v>
      </c>
      <c r="E141" s="272">
        <v>0.45</v>
      </c>
      <c r="F141" s="272">
        <f t="shared" ref="F141:F172" si="121">$D$91</f>
        <v>3.2999999999999972</v>
      </c>
      <c r="G141" s="272"/>
      <c r="H141" s="272">
        <f t="shared" ref="H141:H173" si="122">C141*(D141*E141*F141)</f>
        <v>0.29699999999999976</v>
      </c>
      <c r="I141" s="272">
        <f t="shared" si="120"/>
        <v>3.7049999999999961</v>
      </c>
      <c r="J141" s="272"/>
      <c r="K141" s="272"/>
      <c r="L141" s="272"/>
      <c r="M141" s="272"/>
      <c r="N141" s="272"/>
      <c r="O141" s="272"/>
      <c r="P141" s="272"/>
      <c r="Q141" s="272"/>
      <c r="R141" s="272"/>
      <c r="S141" s="272"/>
      <c r="T141" s="272"/>
      <c r="U141" s="272"/>
      <c r="V141" s="272"/>
      <c r="W141" s="272"/>
      <c r="X141" s="272"/>
      <c r="Y141" s="272"/>
      <c r="Z141" s="272"/>
      <c r="AA141" s="272"/>
      <c r="AB141" s="272"/>
      <c r="AC141" s="272"/>
      <c r="AD141" s="272"/>
      <c r="AE141" s="272"/>
      <c r="AF141" s="272"/>
      <c r="AG141" s="272"/>
      <c r="AH141" s="272"/>
      <c r="AI141" s="272"/>
      <c r="AJ141" s="272"/>
      <c r="AK141" s="272"/>
      <c r="AL141" s="316"/>
      <c r="AZ141" s="272"/>
    </row>
    <row r="142" spans="1:52" ht="24.95" customHeight="1" x14ac:dyDescent="0.25">
      <c r="A142" s="315"/>
      <c r="B142" s="320" t="s">
        <v>455</v>
      </c>
      <c r="C142" s="272">
        <v>1</v>
      </c>
      <c r="D142" s="272">
        <v>0.2</v>
      </c>
      <c r="E142" s="272">
        <v>0.45</v>
      </c>
      <c r="F142" s="272">
        <f t="shared" si="121"/>
        <v>3.2999999999999972</v>
      </c>
      <c r="G142" s="272"/>
      <c r="H142" s="272">
        <f t="shared" si="122"/>
        <v>0.29699999999999976</v>
      </c>
      <c r="I142" s="272">
        <f t="shared" si="120"/>
        <v>3.7049999999999961</v>
      </c>
      <c r="J142" s="272"/>
      <c r="K142" s="272"/>
      <c r="L142" s="272"/>
      <c r="M142" s="272"/>
      <c r="N142" s="272"/>
      <c r="O142" s="272"/>
      <c r="P142" s="272"/>
      <c r="Q142" s="272"/>
      <c r="R142" s="272"/>
      <c r="S142" s="272"/>
      <c r="T142" s="272"/>
      <c r="U142" s="272"/>
      <c r="V142" s="272"/>
      <c r="W142" s="272"/>
      <c r="X142" s="272"/>
      <c r="Y142" s="272"/>
      <c r="Z142" s="272"/>
      <c r="AA142" s="272"/>
      <c r="AB142" s="272"/>
      <c r="AC142" s="272"/>
      <c r="AD142" s="272"/>
      <c r="AE142" s="272"/>
      <c r="AF142" s="272"/>
      <c r="AG142" s="272"/>
      <c r="AH142" s="272"/>
      <c r="AI142" s="272"/>
      <c r="AJ142" s="272"/>
      <c r="AK142" s="272"/>
      <c r="AL142" s="316"/>
      <c r="AZ142" s="272"/>
    </row>
    <row r="143" spans="1:52" ht="24.95" customHeight="1" x14ac:dyDescent="0.25">
      <c r="A143" s="315"/>
      <c r="B143" s="320" t="s">
        <v>475</v>
      </c>
      <c r="C143" s="272">
        <v>1</v>
      </c>
      <c r="D143" s="272">
        <v>0.2</v>
      </c>
      <c r="E143" s="272">
        <v>0.45</v>
      </c>
      <c r="F143" s="272">
        <f t="shared" si="121"/>
        <v>3.2999999999999972</v>
      </c>
      <c r="G143" s="272"/>
      <c r="H143" s="272">
        <f t="shared" si="122"/>
        <v>0.29699999999999976</v>
      </c>
      <c r="I143" s="272">
        <f t="shared" si="120"/>
        <v>3.7049999999999961</v>
      </c>
      <c r="J143" s="272"/>
      <c r="K143" s="272"/>
      <c r="L143" s="272"/>
      <c r="M143" s="272"/>
      <c r="N143" s="272"/>
      <c r="O143" s="272"/>
      <c r="P143" s="272"/>
      <c r="Q143" s="272"/>
      <c r="R143" s="272"/>
      <c r="S143" s="272"/>
      <c r="T143" s="272"/>
      <c r="U143" s="272"/>
      <c r="V143" s="272"/>
      <c r="W143" s="272"/>
      <c r="X143" s="272"/>
      <c r="Y143" s="272"/>
      <c r="Z143" s="272"/>
      <c r="AA143" s="272"/>
      <c r="AB143" s="272"/>
      <c r="AC143" s="272"/>
      <c r="AD143" s="272"/>
      <c r="AE143" s="272"/>
      <c r="AF143" s="272"/>
      <c r="AG143" s="272"/>
      <c r="AH143" s="272"/>
      <c r="AI143" s="272"/>
      <c r="AJ143" s="272"/>
      <c r="AK143" s="272"/>
      <c r="AL143" s="316"/>
      <c r="AZ143" s="272"/>
    </row>
    <row r="144" spans="1:52" ht="24.95" customHeight="1" x14ac:dyDescent="0.25">
      <c r="A144" s="315"/>
      <c r="B144" s="320" t="s">
        <v>476</v>
      </c>
      <c r="C144" s="272">
        <v>1</v>
      </c>
      <c r="D144" s="272">
        <v>0.2</v>
      </c>
      <c r="E144" s="272">
        <v>0.45</v>
      </c>
      <c r="F144" s="272">
        <f t="shared" si="121"/>
        <v>3.2999999999999972</v>
      </c>
      <c r="G144" s="272"/>
      <c r="H144" s="272">
        <f t="shared" si="122"/>
        <v>0.29699999999999976</v>
      </c>
      <c r="I144" s="272">
        <f t="shared" si="120"/>
        <v>3.7049999999999961</v>
      </c>
      <c r="J144" s="272"/>
      <c r="K144" s="272"/>
      <c r="L144" s="272"/>
      <c r="M144" s="272"/>
      <c r="N144" s="272"/>
      <c r="O144" s="272"/>
      <c r="P144" s="272"/>
      <c r="Q144" s="272"/>
      <c r="R144" s="272"/>
      <c r="S144" s="272"/>
      <c r="T144" s="272"/>
      <c r="U144" s="272"/>
      <c r="V144" s="272"/>
      <c r="W144" s="272"/>
      <c r="X144" s="272"/>
      <c r="Y144" s="272"/>
      <c r="Z144" s="272"/>
      <c r="AA144" s="272"/>
      <c r="AB144" s="272"/>
      <c r="AC144" s="272"/>
      <c r="AD144" s="272"/>
      <c r="AE144" s="272"/>
      <c r="AF144" s="272"/>
      <c r="AG144" s="272"/>
      <c r="AH144" s="272"/>
      <c r="AI144" s="272"/>
      <c r="AJ144" s="272"/>
      <c r="AK144" s="272"/>
      <c r="AL144" s="316"/>
      <c r="AZ144" s="272"/>
    </row>
    <row r="145" spans="1:52" ht="24.95" customHeight="1" x14ac:dyDescent="0.25">
      <c r="A145" s="315"/>
      <c r="B145" s="320" t="s">
        <v>477</v>
      </c>
      <c r="C145" s="272">
        <v>1</v>
      </c>
      <c r="D145" s="272">
        <v>0.2</v>
      </c>
      <c r="E145" s="272">
        <v>0.45</v>
      </c>
      <c r="F145" s="272">
        <f t="shared" si="121"/>
        <v>3.2999999999999972</v>
      </c>
      <c r="G145" s="272"/>
      <c r="H145" s="272">
        <f t="shared" si="122"/>
        <v>0.29699999999999976</v>
      </c>
      <c r="I145" s="272">
        <f t="shared" si="120"/>
        <v>3.7049999999999961</v>
      </c>
      <c r="J145" s="272"/>
      <c r="K145" s="272"/>
      <c r="L145" s="272"/>
      <c r="M145" s="272"/>
      <c r="N145" s="272"/>
      <c r="O145" s="272"/>
      <c r="P145" s="272"/>
      <c r="Q145" s="272"/>
      <c r="R145" s="272"/>
      <c r="S145" s="272"/>
      <c r="T145" s="272"/>
      <c r="U145" s="272"/>
      <c r="V145" s="272"/>
      <c r="W145" s="272"/>
      <c r="X145" s="272"/>
      <c r="Y145" s="272"/>
      <c r="Z145" s="272"/>
      <c r="AA145" s="272"/>
      <c r="AB145" s="272"/>
      <c r="AC145" s="272"/>
      <c r="AD145" s="272"/>
      <c r="AE145" s="272"/>
      <c r="AF145" s="272"/>
      <c r="AG145" s="272"/>
      <c r="AH145" s="272"/>
      <c r="AI145" s="272"/>
      <c r="AJ145" s="272"/>
      <c r="AK145" s="272"/>
      <c r="AL145" s="316"/>
      <c r="AZ145" s="272"/>
    </row>
    <row r="146" spans="1:52" ht="24.95" customHeight="1" x14ac:dyDescent="0.25">
      <c r="B146" s="320" t="s">
        <v>478</v>
      </c>
      <c r="C146" s="272">
        <v>1</v>
      </c>
      <c r="D146" s="272">
        <v>0.2</v>
      </c>
      <c r="E146" s="272">
        <v>0.45</v>
      </c>
      <c r="F146" s="272">
        <f t="shared" si="121"/>
        <v>3.2999999999999972</v>
      </c>
      <c r="H146" s="272">
        <f t="shared" si="122"/>
        <v>0.29699999999999976</v>
      </c>
      <c r="I146" s="272">
        <f t="shared" si="120"/>
        <v>3.7049999999999961</v>
      </c>
    </row>
    <row r="147" spans="1:52" ht="24.95" customHeight="1" x14ac:dyDescent="0.25">
      <c r="B147" s="320" t="s">
        <v>479</v>
      </c>
      <c r="C147" s="272">
        <v>1</v>
      </c>
      <c r="D147" s="272">
        <v>0.2</v>
      </c>
      <c r="E147" s="272">
        <v>0.45</v>
      </c>
      <c r="F147" s="272">
        <f t="shared" si="121"/>
        <v>3.2999999999999972</v>
      </c>
      <c r="H147" s="272">
        <f t="shared" si="122"/>
        <v>0.29699999999999976</v>
      </c>
      <c r="I147" s="272">
        <f t="shared" si="120"/>
        <v>3.7049999999999961</v>
      </c>
    </row>
    <row r="148" spans="1:52" ht="24.95" customHeight="1" x14ac:dyDescent="0.25">
      <c r="B148" s="320" t="s">
        <v>480</v>
      </c>
      <c r="C148" s="272">
        <v>1</v>
      </c>
      <c r="D148" s="272">
        <v>0.2</v>
      </c>
      <c r="E148" s="272">
        <v>0.65</v>
      </c>
      <c r="F148" s="272">
        <f t="shared" si="121"/>
        <v>3.2999999999999972</v>
      </c>
      <c r="H148" s="272">
        <f t="shared" si="122"/>
        <v>0.42899999999999966</v>
      </c>
      <c r="I148" s="272">
        <f t="shared" si="120"/>
        <v>4.8449999999999953</v>
      </c>
    </row>
    <row r="149" spans="1:52" ht="24.95" customHeight="1" x14ac:dyDescent="0.25">
      <c r="B149" s="320" t="s">
        <v>481</v>
      </c>
      <c r="C149" s="272">
        <v>1</v>
      </c>
      <c r="D149" s="272">
        <v>0.2</v>
      </c>
      <c r="E149" s="272">
        <v>0.45</v>
      </c>
      <c r="F149" s="272">
        <f t="shared" si="121"/>
        <v>3.2999999999999972</v>
      </c>
      <c r="H149" s="272">
        <f t="shared" si="122"/>
        <v>0.29699999999999976</v>
      </c>
      <c r="I149" s="272">
        <f t="shared" si="120"/>
        <v>3.7049999999999961</v>
      </c>
    </row>
    <row r="150" spans="1:52" ht="24.95" customHeight="1" x14ac:dyDescent="0.25">
      <c r="B150" s="320" t="s">
        <v>482</v>
      </c>
      <c r="C150" s="272">
        <v>1</v>
      </c>
      <c r="D150" s="272">
        <v>0.2</v>
      </c>
      <c r="E150" s="272">
        <v>0.45</v>
      </c>
      <c r="F150" s="272">
        <f t="shared" si="121"/>
        <v>3.2999999999999972</v>
      </c>
      <c r="H150" s="272">
        <f t="shared" si="122"/>
        <v>0.29699999999999976</v>
      </c>
      <c r="I150" s="272">
        <f t="shared" si="120"/>
        <v>3.7049999999999961</v>
      </c>
    </row>
    <row r="151" spans="1:52" ht="24.95" customHeight="1" x14ac:dyDescent="0.25">
      <c r="B151" s="320" t="s">
        <v>483</v>
      </c>
      <c r="C151" s="272">
        <v>1</v>
      </c>
      <c r="D151" s="272">
        <v>0.2</v>
      </c>
      <c r="E151" s="272">
        <v>0.45</v>
      </c>
      <c r="F151" s="272">
        <f t="shared" si="121"/>
        <v>3.2999999999999972</v>
      </c>
      <c r="H151" s="272">
        <f t="shared" si="122"/>
        <v>0.29699999999999976</v>
      </c>
      <c r="I151" s="272">
        <f t="shared" si="120"/>
        <v>3.7049999999999961</v>
      </c>
    </row>
    <row r="152" spans="1:52" ht="24.95" customHeight="1" x14ac:dyDescent="0.25">
      <c r="B152" s="320" t="s">
        <v>484</v>
      </c>
      <c r="C152" s="272">
        <v>1</v>
      </c>
      <c r="D152" s="272">
        <v>0.2</v>
      </c>
      <c r="E152" s="272">
        <v>0.45</v>
      </c>
      <c r="F152" s="272">
        <f t="shared" si="121"/>
        <v>3.2999999999999972</v>
      </c>
      <c r="H152" s="272">
        <f t="shared" si="122"/>
        <v>0.29699999999999976</v>
      </c>
      <c r="I152" s="272">
        <f t="shared" si="120"/>
        <v>3.7049999999999961</v>
      </c>
    </row>
    <row r="153" spans="1:52" ht="24.95" customHeight="1" x14ac:dyDescent="0.25">
      <c r="B153" s="320" t="s">
        <v>485</v>
      </c>
      <c r="C153" s="272">
        <v>1</v>
      </c>
      <c r="D153" s="272">
        <v>0.3</v>
      </c>
      <c r="E153" s="272">
        <v>0.6</v>
      </c>
      <c r="F153" s="272">
        <f t="shared" si="121"/>
        <v>3.2999999999999972</v>
      </c>
      <c r="H153" s="272">
        <f t="shared" si="122"/>
        <v>0.59399999999999942</v>
      </c>
      <c r="I153" s="272">
        <f t="shared" si="120"/>
        <v>5.1299999999999937</v>
      </c>
    </row>
    <row r="154" spans="1:52" ht="24.95" customHeight="1" x14ac:dyDescent="0.25">
      <c r="B154" s="320" t="s">
        <v>486</v>
      </c>
      <c r="C154" s="272">
        <v>1</v>
      </c>
      <c r="D154" s="272">
        <v>0.3</v>
      </c>
      <c r="E154" s="272">
        <v>0.6</v>
      </c>
      <c r="F154" s="272">
        <f t="shared" si="121"/>
        <v>3.2999999999999972</v>
      </c>
      <c r="H154" s="272">
        <f t="shared" si="122"/>
        <v>0.59399999999999942</v>
      </c>
      <c r="I154" s="272">
        <f t="shared" si="120"/>
        <v>5.1299999999999937</v>
      </c>
    </row>
    <row r="155" spans="1:52" ht="24.95" customHeight="1" x14ac:dyDescent="0.25">
      <c r="B155" s="320" t="s">
        <v>487</v>
      </c>
      <c r="C155" s="272">
        <v>1</v>
      </c>
      <c r="D155" s="272">
        <v>0.2</v>
      </c>
      <c r="E155" s="272">
        <v>0.45</v>
      </c>
      <c r="F155" s="272">
        <f t="shared" si="121"/>
        <v>3.2999999999999972</v>
      </c>
      <c r="H155" s="272">
        <f t="shared" si="122"/>
        <v>0.29699999999999976</v>
      </c>
      <c r="I155" s="272">
        <f t="shared" si="120"/>
        <v>3.7049999999999961</v>
      </c>
    </row>
    <row r="156" spans="1:52" ht="24.95" customHeight="1" x14ac:dyDescent="0.25">
      <c r="B156" s="320" t="s">
        <v>488</v>
      </c>
      <c r="C156" s="272">
        <v>1</v>
      </c>
      <c r="D156" s="272">
        <v>0.2</v>
      </c>
      <c r="E156" s="272">
        <v>0.45</v>
      </c>
      <c r="F156" s="272">
        <f t="shared" si="121"/>
        <v>3.2999999999999972</v>
      </c>
      <c r="H156" s="272">
        <f t="shared" si="122"/>
        <v>0.29699999999999976</v>
      </c>
      <c r="I156" s="272">
        <f t="shared" si="120"/>
        <v>3.7049999999999961</v>
      </c>
    </row>
    <row r="157" spans="1:52" ht="24.95" customHeight="1" x14ac:dyDescent="0.25">
      <c r="B157" s="320" t="s">
        <v>489</v>
      </c>
      <c r="C157" s="272">
        <v>1</v>
      </c>
      <c r="D157" s="272">
        <v>0.2</v>
      </c>
      <c r="E157" s="272">
        <v>0.65</v>
      </c>
      <c r="F157" s="272">
        <f t="shared" si="121"/>
        <v>3.2999999999999972</v>
      </c>
      <c r="H157" s="272">
        <f t="shared" si="122"/>
        <v>0.42899999999999966</v>
      </c>
      <c r="I157" s="272">
        <f t="shared" si="120"/>
        <v>4.8449999999999953</v>
      </c>
    </row>
    <row r="158" spans="1:52" ht="24.95" customHeight="1" x14ac:dyDescent="0.25">
      <c r="B158" s="320" t="s">
        <v>490</v>
      </c>
      <c r="C158" s="272">
        <v>1</v>
      </c>
      <c r="D158" s="272">
        <v>0.2</v>
      </c>
      <c r="E158" s="272">
        <v>0.45</v>
      </c>
      <c r="F158" s="272">
        <f t="shared" si="121"/>
        <v>3.2999999999999972</v>
      </c>
      <c r="H158" s="272">
        <f t="shared" si="122"/>
        <v>0.29699999999999976</v>
      </c>
      <c r="I158" s="272">
        <f t="shared" si="120"/>
        <v>3.7049999999999961</v>
      </c>
    </row>
    <row r="159" spans="1:52" ht="24.95" customHeight="1" x14ac:dyDescent="0.25">
      <c r="B159" s="320" t="s">
        <v>491</v>
      </c>
      <c r="C159" s="272">
        <v>1</v>
      </c>
      <c r="D159" s="272">
        <v>0.2</v>
      </c>
      <c r="E159" s="272">
        <v>0.45</v>
      </c>
      <c r="F159" s="272">
        <f t="shared" si="121"/>
        <v>3.2999999999999972</v>
      </c>
      <c r="H159" s="272">
        <f t="shared" si="122"/>
        <v>0.29699999999999976</v>
      </c>
      <c r="I159" s="272">
        <f t="shared" si="120"/>
        <v>3.7049999999999961</v>
      </c>
    </row>
    <row r="160" spans="1:52" ht="24.95" customHeight="1" x14ac:dyDescent="0.25">
      <c r="B160" s="320" t="s">
        <v>492</v>
      </c>
      <c r="C160" s="272">
        <v>1</v>
      </c>
      <c r="D160" s="272">
        <v>0.2</v>
      </c>
      <c r="E160" s="272">
        <v>0.45</v>
      </c>
      <c r="F160" s="272">
        <f t="shared" si="121"/>
        <v>3.2999999999999972</v>
      </c>
      <c r="H160" s="272">
        <f t="shared" si="122"/>
        <v>0.29699999999999976</v>
      </c>
      <c r="I160" s="272">
        <f t="shared" si="120"/>
        <v>3.7049999999999961</v>
      </c>
    </row>
    <row r="161" spans="1:52" ht="24.95" customHeight="1" x14ac:dyDescent="0.25">
      <c r="B161" s="320" t="s">
        <v>500</v>
      </c>
      <c r="C161" s="272">
        <v>1</v>
      </c>
      <c r="D161" s="272">
        <v>0.2</v>
      </c>
      <c r="E161" s="272">
        <v>0.45</v>
      </c>
      <c r="F161" s="272">
        <f t="shared" si="121"/>
        <v>3.2999999999999972</v>
      </c>
      <c r="H161" s="272">
        <f t="shared" si="122"/>
        <v>0.29699999999999976</v>
      </c>
      <c r="I161" s="272">
        <f t="shared" si="120"/>
        <v>3.7049999999999961</v>
      </c>
    </row>
    <row r="162" spans="1:52" ht="24.95" customHeight="1" x14ac:dyDescent="0.25">
      <c r="B162" s="320" t="s">
        <v>501</v>
      </c>
      <c r="C162" s="272">
        <v>1</v>
      </c>
      <c r="D162" s="272">
        <v>0.2</v>
      </c>
      <c r="E162" s="272">
        <v>0.45</v>
      </c>
      <c r="F162" s="272">
        <f t="shared" si="121"/>
        <v>3.2999999999999972</v>
      </c>
      <c r="H162" s="272">
        <f t="shared" si="122"/>
        <v>0.29699999999999976</v>
      </c>
      <c r="I162" s="272">
        <f t="shared" si="120"/>
        <v>3.7049999999999961</v>
      </c>
    </row>
    <row r="163" spans="1:52" ht="24.95" customHeight="1" x14ac:dyDescent="0.25">
      <c r="B163" s="320" t="s">
        <v>502</v>
      </c>
      <c r="C163" s="272">
        <v>1</v>
      </c>
      <c r="D163" s="272">
        <v>0.2</v>
      </c>
      <c r="E163" s="272">
        <v>0.45</v>
      </c>
      <c r="F163" s="272">
        <f t="shared" si="121"/>
        <v>3.2999999999999972</v>
      </c>
      <c r="H163" s="272">
        <f t="shared" si="122"/>
        <v>0.29699999999999976</v>
      </c>
      <c r="I163" s="272">
        <f t="shared" si="120"/>
        <v>3.7049999999999961</v>
      </c>
    </row>
    <row r="164" spans="1:52" ht="24.95" customHeight="1" x14ac:dyDescent="0.25">
      <c r="B164" s="320" t="s">
        <v>503</v>
      </c>
      <c r="C164" s="272">
        <v>1</v>
      </c>
      <c r="D164" s="272">
        <v>0.2</v>
      </c>
      <c r="E164" s="272">
        <v>0.45</v>
      </c>
      <c r="F164" s="272">
        <f t="shared" si="121"/>
        <v>3.2999999999999972</v>
      </c>
      <c r="H164" s="272">
        <f t="shared" si="122"/>
        <v>0.29699999999999976</v>
      </c>
      <c r="I164" s="272">
        <f t="shared" si="120"/>
        <v>3.7049999999999961</v>
      </c>
    </row>
    <row r="165" spans="1:52" ht="24.95" customHeight="1" x14ac:dyDescent="0.25">
      <c r="B165" s="320" t="s">
        <v>504</v>
      </c>
      <c r="C165" s="272">
        <v>1</v>
      </c>
      <c r="D165" s="272">
        <v>0.2</v>
      </c>
      <c r="E165" s="272">
        <v>0.45</v>
      </c>
      <c r="F165" s="272">
        <f t="shared" si="121"/>
        <v>3.2999999999999972</v>
      </c>
      <c r="H165" s="272">
        <f t="shared" si="122"/>
        <v>0.29699999999999976</v>
      </c>
      <c r="I165" s="272">
        <f t="shared" si="120"/>
        <v>3.7049999999999961</v>
      </c>
    </row>
    <row r="166" spans="1:52" ht="24.95" customHeight="1" x14ac:dyDescent="0.25">
      <c r="B166" s="320" t="s">
        <v>505</v>
      </c>
      <c r="C166" s="272">
        <v>1</v>
      </c>
      <c r="D166" s="272">
        <v>0.2</v>
      </c>
      <c r="E166" s="272">
        <v>0.45</v>
      </c>
      <c r="F166" s="272">
        <f t="shared" si="121"/>
        <v>3.2999999999999972</v>
      </c>
      <c r="H166" s="272">
        <f t="shared" si="122"/>
        <v>0.29699999999999976</v>
      </c>
      <c r="I166" s="272">
        <f t="shared" si="120"/>
        <v>3.7049999999999961</v>
      </c>
    </row>
    <row r="167" spans="1:52" ht="24.95" customHeight="1" x14ac:dyDescent="0.25">
      <c r="B167" s="320" t="s">
        <v>506</v>
      </c>
      <c r="C167" s="272">
        <v>1</v>
      </c>
      <c r="D167" s="272">
        <v>0.2</v>
      </c>
      <c r="E167" s="272">
        <v>0.45</v>
      </c>
      <c r="F167" s="272">
        <f t="shared" si="121"/>
        <v>3.2999999999999972</v>
      </c>
      <c r="H167" s="272">
        <f t="shared" si="122"/>
        <v>0.29699999999999976</v>
      </c>
      <c r="I167" s="272">
        <f t="shared" si="120"/>
        <v>3.7049999999999961</v>
      </c>
    </row>
    <row r="168" spans="1:52" ht="24.95" customHeight="1" x14ac:dyDescent="0.25">
      <c r="B168" s="320" t="s">
        <v>507</v>
      </c>
      <c r="C168" s="272">
        <v>1</v>
      </c>
      <c r="D168" s="272">
        <v>0.2</v>
      </c>
      <c r="E168" s="272">
        <v>0.45</v>
      </c>
      <c r="F168" s="272">
        <f t="shared" si="121"/>
        <v>3.2999999999999972</v>
      </c>
      <c r="H168" s="272">
        <f t="shared" si="122"/>
        <v>0.29699999999999976</v>
      </c>
      <c r="I168" s="272">
        <f t="shared" si="120"/>
        <v>3.7049999999999961</v>
      </c>
    </row>
    <row r="169" spans="1:52" ht="24.95" customHeight="1" x14ac:dyDescent="0.25">
      <c r="B169" s="320" t="s">
        <v>508</v>
      </c>
      <c r="C169" s="272">
        <v>1</v>
      </c>
      <c r="D169" s="272">
        <v>0.2</v>
      </c>
      <c r="E169" s="272">
        <v>0.45</v>
      </c>
      <c r="F169" s="272">
        <f t="shared" si="121"/>
        <v>3.2999999999999972</v>
      </c>
      <c r="H169" s="272">
        <f t="shared" si="122"/>
        <v>0.29699999999999976</v>
      </c>
      <c r="I169" s="272">
        <f t="shared" si="120"/>
        <v>3.7049999999999961</v>
      </c>
    </row>
    <row r="170" spans="1:52" ht="24.95" customHeight="1" x14ac:dyDescent="0.25">
      <c r="B170" s="320" t="s">
        <v>509</v>
      </c>
      <c r="C170" s="272">
        <v>1</v>
      </c>
      <c r="D170" s="272">
        <v>0.2</v>
      </c>
      <c r="E170" s="272">
        <v>0.45</v>
      </c>
      <c r="F170" s="272">
        <f t="shared" si="121"/>
        <v>3.2999999999999972</v>
      </c>
      <c r="H170" s="272">
        <f t="shared" si="122"/>
        <v>0.29699999999999976</v>
      </c>
      <c r="I170" s="272">
        <f t="shared" si="120"/>
        <v>3.7049999999999961</v>
      </c>
    </row>
    <row r="171" spans="1:52" ht="24.95" customHeight="1" x14ac:dyDescent="0.25">
      <c r="B171" s="320" t="s">
        <v>510</v>
      </c>
      <c r="C171" s="272">
        <v>1</v>
      </c>
      <c r="D171" s="272">
        <v>0.2</v>
      </c>
      <c r="E171" s="272">
        <v>0.45</v>
      </c>
      <c r="F171" s="272">
        <f t="shared" si="121"/>
        <v>3.2999999999999972</v>
      </c>
      <c r="H171" s="272">
        <f t="shared" si="122"/>
        <v>0.29699999999999976</v>
      </c>
      <c r="I171" s="272">
        <f t="shared" si="120"/>
        <v>3.7049999999999961</v>
      </c>
    </row>
    <row r="172" spans="1:52" ht="24.95" customHeight="1" x14ac:dyDescent="0.25">
      <c r="B172" s="320" t="s">
        <v>511</v>
      </c>
      <c r="C172" s="272">
        <v>0</v>
      </c>
      <c r="D172" s="272">
        <v>0.2</v>
      </c>
      <c r="E172" s="272">
        <v>0.45</v>
      </c>
      <c r="F172" s="272">
        <f t="shared" si="121"/>
        <v>3.2999999999999972</v>
      </c>
      <c r="H172" s="272">
        <f t="shared" si="122"/>
        <v>0</v>
      </c>
      <c r="I172" s="272">
        <f t="shared" si="120"/>
        <v>0</v>
      </c>
    </row>
    <row r="173" spans="1:52" ht="24.95" customHeight="1" x14ac:dyDescent="0.25">
      <c r="B173" s="320" t="s">
        <v>592</v>
      </c>
      <c r="C173" s="272">
        <f>3+3+2</f>
        <v>8</v>
      </c>
      <c r="D173" s="272">
        <v>0.2</v>
      </c>
      <c r="E173" s="272">
        <v>0.45</v>
      </c>
      <c r="F173" s="272">
        <f>F172+0.95</f>
        <v>4.2499999999999973</v>
      </c>
      <c r="H173" s="272">
        <f t="shared" si="122"/>
        <v>3.0599999999999983</v>
      </c>
      <c r="I173" s="272">
        <f t="shared" si="120"/>
        <v>39.519999999999975</v>
      </c>
    </row>
    <row r="174" spans="1:52" ht="24.95" customHeight="1" x14ac:dyDescent="0.25">
      <c r="B174" s="317" t="s">
        <v>30</v>
      </c>
      <c r="C174" s="316">
        <f>SUM(C140:C172)</f>
        <v>32</v>
      </c>
      <c r="D174" s="272"/>
      <c r="E174" s="272"/>
      <c r="F174" s="272"/>
      <c r="H174" s="316">
        <f>SUM(H140:H173)</f>
        <v>13.421999999999995</v>
      </c>
      <c r="I174" s="316">
        <f>SUM(I140:I173)</f>
        <v>163.20999999999989</v>
      </c>
    </row>
    <row r="175" spans="1:52" ht="24.95" customHeight="1" x14ac:dyDescent="0.25">
      <c r="B175" s="320"/>
      <c r="C175" s="272"/>
      <c r="D175" s="272"/>
      <c r="E175" s="272"/>
      <c r="F175" s="272"/>
      <c r="H175" s="316"/>
      <c r="I175" s="316"/>
    </row>
    <row r="176" spans="1:52" ht="24.95" customHeight="1" x14ac:dyDescent="0.25">
      <c r="A176" s="318"/>
      <c r="B176" s="318" t="s">
        <v>514</v>
      </c>
      <c r="C176" s="318"/>
      <c r="D176" s="272"/>
      <c r="E176" s="272"/>
      <c r="F176" s="272"/>
      <c r="G176" s="272"/>
      <c r="H176" s="272"/>
      <c r="I176" s="272"/>
      <c r="J176" s="272"/>
      <c r="K176" s="272"/>
      <c r="L176" s="272"/>
      <c r="M176" s="272"/>
      <c r="N176" s="272"/>
      <c r="O176" s="272"/>
      <c r="P176" s="272"/>
      <c r="Q176" s="272"/>
      <c r="R176" s="272"/>
      <c r="S176" s="272"/>
      <c r="T176" s="272"/>
      <c r="U176" s="272"/>
      <c r="V176" s="272"/>
      <c r="W176" s="272"/>
      <c r="X176" s="272"/>
      <c r="Y176" s="272"/>
      <c r="Z176" s="272"/>
      <c r="AA176" s="272"/>
      <c r="AB176" s="272"/>
      <c r="AC176" s="272"/>
      <c r="AD176" s="272"/>
      <c r="AE176" s="272"/>
      <c r="AF176" s="272"/>
      <c r="AG176" s="272"/>
      <c r="AH176" s="272"/>
      <c r="AI176" s="272"/>
      <c r="AJ176" s="272"/>
      <c r="AK176" s="272"/>
      <c r="AL176" s="316"/>
      <c r="AZ176" s="272"/>
    </row>
    <row r="177" spans="1:52" ht="24.95" customHeight="1" x14ac:dyDescent="0.25">
      <c r="A177" s="318" t="s">
        <v>424</v>
      </c>
      <c r="B177" s="316" t="s">
        <v>1</v>
      </c>
      <c r="C177" s="316" t="s">
        <v>2</v>
      </c>
      <c r="D177" s="316" t="s">
        <v>469</v>
      </c>
      <c r="E177" s="316" t="s">
        <v>470</v>
      </c>
      <c r="F177" s="316" t="s">
        <v>471</v>
      </c>
      <c r="G177" s="316" t="s">
        <v>472</v>
      </c>
      <c r="H177" s="316" t="s">
        <v>473</v>
      </c>
      <c r="I177" s="319" t="s">
        <v>474</v>
      </c>
      <c r="J177" s="272"/>
      <c r="K177" s="272"/>
      <c r="L177" s="272"/>
      <c r="M177" s="272"/>
      <c r="N177" s="272"/>
      <c r="O177" s="272"/>
      <c r="P177" s="272"/>
      <c r="Q177" s="272"/>
      <c r="R177" s="272"/>
      <c r="S177" s="272"/>
      <c r="T177" s="272"/>
      <c r="U177" s="272"/>
      <c r="V177" s="272"/>
      <c r="W177" s="272"/>
      <c r="X177" s="272"/>
      <c r="Y177" s="272"/>
      <c r="Z177" s="272"/>
      <c r="AA177" s="272"/>
      <c r="AB177" s="272"/>
      <c r="AC177" s="272"/>
      <c r="AD177" s="272"/>
      <c r="AE177" s="272"/>
      <c r="AF177" s="272"/>
      <c r="AG177" s="272"/>
      <c r="AH177" s="272"/>
      <c r="AI177" s="272"/>
      <c r="AJ177" s="272"/>
      <c r="AK177" s="272"/>
      <c r="AL177" s="316"/>
      <c r="AZ177" s="272"/>
    </row>
    <row r="178" spans="1:52" ht="24.95" customHeight="1" x14ac:dyDescent="0.25">
      <c r="A178" s="315">
        <v>1</v>
      </c>
      <c r="B178" s="320" t="s">
        <v>453</v>
      </c>
      <c r="C178" s="272">
        <v>0</v>
      </c>
      <c r="D178" s="272">
        <v>0.2</v>
      </c>
      <c r="E178" s="272">
        <v>0.45</v>
      </c>
      <c r="F178" s="272">
        <f>$D$92</f>
        <v>3.2999999999999972</v>
      </c>
      <c r="G178" s="272"/>
      <c r="H178" s="272">
        <f>C178*(D178*E178*F178)</f>
        <v>0</v>
      </c>
      <c r="I178" s="272">
        <f t="shared" ref="I178:I210" si="123">C178*(D178+E178)*2*(F178-$D$98)</f>
        <v>0</v>
      </c>
      <c r="J178" s="272"/>
      <c r="K178" s="272"/>
      <c r="L178" s="272"/>
      <c r="M178" s="272"/>
      <c r="N178" s="272"/>
      <c r="O178" s="272"/>
      <c r="P178" s="272"/>
      <c r="Q178" s="272"/>
      <c r="R178" s="272"/>
      <c r="S178" s="272"/>
      <c r="T178" s="272"/>
      <c r="U178" s="272"/>
      <c r="V178" s="272"/>
      <c r="W178" s="272"/>
      <c r="X178" s="272"/>
      <c r="Y178" s="272"/>
      <c r="Z178" s="272"/>
      <c r="AA178" s="272"/>
      <c r="AB178" s="272"/>
      <c r="AC178" s="272"/>
      <c r="AD178" s="272"/>
      <c r="AE178" s="272"/>
      <c r="AF178" s="272"/>
      <c r="AG178" s="272"/>
      <c r="AH178" s="272"/>
      <c r="AI178" s="272"/>
      <c r="AJ178" s="272"/>
      <c r="AK178" s="272"/>
      <c r="AL178" s="316"/>
      <c r="AZ178" s="272"/>
    </row>
    <row r="179" spans="1:52" ht="24.95" customHeight="1" x14ac:dyDescent="0.25">
      <c r="A179" s="315"/>
      <c r="B179" s="320" t="s">
        <v>454</v>
      </c>
      <c r="C179" s="272">
        <v>1</v>
      </c>
      <c r="D179" s="272">
        <v>0.2</v>
      </c>
      <c r="E179" s="272">
        <v>0.45</v>
      </c>
      <c r="F179" s="272">
        <f t="shared" ref="F179:F210" si="124">$D$92</f>
        <v>3.2999999999999972</v>
      </c>
      <c r="G179" s="272"/>
      <c r="H179" s="272">
        <f t="shared" ref="H179:H210" si="125">C179*(D179*E179*F179)</f>
        <v>0.29699999999999976</v>
      </c>
      <c r="I179" s="272">
        <f t="shared" si="123"/>
        <v>3.7049999999999961</v>
      </c>
      <c r="J179" s="272"/>
      <c r="K179" s="272"/>
      <c r="L179" s="272"/>
      <c r="M179" s="272"/>
      <c r="N179" s="272"/>
      <c r="O179" s="272"/>
      <c r="P179" s="272"/>
      <c r="Q179" s="272"/>
      <c r="R179" s="272"/>
      <c r="S179" s="272"/>
      <c r="T179" s="272"/>
      <c r="U179" s="272"/>
      <c r="V179" s="272"/>
      <c r="W179" s="272"/>
      <c r="X179" s="272"/>
      <c r="Y179" s="272"/>
      <c r="Z179" s="272"/>
      <c r="AA179" s="272"/>
      <c r="AB179" s="272"/>
      <c r="AC179" s="272"/>
      <c r="AD179" s="272"/>
      <c r="AE179" s="272"/>
      <c r="AF179" s="272"/>
      <c r="AG179" s="272"/>
      <c r="AH179" s="272"/>
      <c r="AI179" s="272"/>
      <c r="AJ179" s="272"/>
      <c r="AK179" s="272"/>
      <c r="AL179" s="316"/>
      <c r="AZ179" s="272"/>
    </row>
    <row r="180" spans="1:52" ht="24.95" customHeight="1" x14ac:dyDescent="0.25">
      <c r="A180" s="315"/>
      <c r="B180" s="320" t="s">
        <v>455</v>
      </c>
      <c r="C180" s="272">
        <v>1</v>
      </c>
      <c r="D180" s="272">
        <v>0.2</v>
      </c>
      <c r="E180" s="272">
        <v>0.45</v>
      </c>
      <c r="F180" s="272">
        <f t="shared" si="124"/>
        <v>3.2999999999999972</v>
      </c>
      <c r="G180" s="272"/>
      <c r="H180" s="272">
        <f t="shared" si="125"/>
        <v>0.29699999999999976</v>
      </c>
      <c r="I180" s="272">
        <f t="shared" si="123"/>
        <v>3.7049999999999961</v>
      </c>
      <c r="J180" s="272"/>
      <c r="K180" s="272"/>
      <c r="L180" s="272"/>
      <c r="M180" s="272"/>
      <c r="N180" s="272"/>
      <c r="O180" s="272"/>
      <c r="P180" s="272"/>
      <c r="Q180" s="272"/>
      <c r="R180" s="272"/>
      <c r="S180" s="272"/>
      <c r="T180" s="272"/>
      <c r="U180" s="272"/>
      <c r="V180" s="272"/>
      <c r="W180" s="272"/>
      <c r="X180" s="272"/>
      <c r="Y180" s="272"/>
      <c r="Z180" s="272"/>
      <c r="AA180" s="272"/>
      <c r="AB180" s="272"/>
      <c r="AC180" s="272"/>
      <c r="AD180" s="272"/>
      <c r="AE180" s="272"/>
      <c r="AF180" s="272"/>
      <c r="AG180" s="272"/>
      <c r="AH180" s="272"/>
      <c r="AI180" s="272"/>
      <c r="AJ180" s="272"/>
      <c r="AK180" s="272"/>
      <c r="AL180" s="316"/>
      <c r="AZ180" s="272"/>
    </row>
    <row r="181" spans="1:52" ht="24.95" customHeight="1" x14ac:dyDescent="0.25">
      <c r="A181" s="315"/>
      <c r="B181" s="320" t="s">
        <v>475</v>
      </c>
      <c r="C181" s="272">
        <v>1</v>
      </c>
      <c r="D181" s="272">
        <v>0.2</v>
      </c>
      <c r="E181" s="272">
        <v>0.45</v>
      </c>
      <c r="F181" s="272">
        <f t="shared" si="124"/>
        <v>3.2999999999999972</v>
      </c>
      <c r="G181" s="272"/>
      <c r="H181" s="272">
        <f t="shared" si="125"/>
        <v>0.29699999999999976</v>
      </c>
      <c r="I181" s="272">
        <f t="shared" si="123"/>
        <v>3.7049999999999961</v>
      </c>
      <c r="J181" s="272"/>
      <c r="K181" s="272"/>
      <c r="L181" s="272"/>
      <c r="M181" s="272"/>
      <c r="N181" s="272"/>
      <c r="O181" s="272"/>
      <c r="P181" s="272"/>
      <c r="Q181" s="272"/>
      <c r="R181" s="272"/>
      <c r="S181" s="272"/>
      <c r="T181" s="272"/>
      <c r="U181" s="272"/>
      <c r="V181" s="272"/>
      <c r="W181" s="272"/>
      <c r="X181" s="272"/>
      <c r="Y181" s="272"/>
      <c r="Z181" s="272"/>
      <c r="AA181" s="272"/>
      <c r="AB181" s="272"/>
      <c r="AC181" s="272"/>
      <c r="AD181" s="272"/>
      <c r="AE181" s="272"/>
      <c r="AF181" s="272"/>
      <c r="AG181" s="272"/>
      <c r="AH181" s="272"/>
      <c r="AI181" s="272"/>
      <c r="AJ181" s="272"/>
      <c r="AK181" s="272"/>
      <c r="AL181" s="316"/>
      <c r="AZ181" s="272"/>
    </row>
    <row r="182" spans="1:52" ht="24.95" customHeight="1" x14ac:dyDescent="0.25">
      <c r="A182" s="315"/>
      <c r="B182" s="320" t="s">
        <v>476</v>
      </c>
      <c r="C182" s="272">
        <v>1</v>
      </c>
      <c r="D182" s="272">
        <v>0.2</v>
      </c>
      <c r="E182" s="272">
        <v>0.45</v>
      </c>
      <c r="F182" s="272">
        <f t="shared" si="124"/>
        <v>3.2999999999999972</v>
      </c>
      <c r="G182" s="272"/>
      <c r="H182" s="272">
        <f t="shared" si="125"/>
        <v>0.29699999999999976</v>
      </c>
      <c r="I182" s="272">
        <f t="shared" si="123"/>
        <v>3.7049999999999961</v>
      </c>
      <c r="J182" s="272"/>
      <c r="K182" s="272"/>
      <c r="L182" s="272"/>
      <c r="M182" s="272"/>
      <c r="N182" s="272"/>
      <c r="O182" s="272"/>
      <c r="P182" s="272"/>
      <c r="Q182" s="272"/>
      <c r="R182" s="272"/>
      <c r="S182" s="272"/>
      <c r="T182" s="272"/>
      <c r="U182" s="272"/>
      <c r="V182" s="272"/>
      <c r="W182" s="272"/>
      <c r="X182" s="272"/>
      <c r="Y182" s="272"/>
      <c r="Z182" s="272"/>
      <c r="AA182" s="272"/>
      <c r="AB182" s="272"/>
      <c r="AC182" s="272"/>
      <c r="AD182" s="272"/>
      <c r="AE182" s="272"/>
      <c r="AF182" s="272"/>
      <c r="AG182" s="272"/>
      <c r="AH182" s="272"/>
      <c r="AI182" s="272"/>
      <c r="AJ182" s="272"/>
      <c r="AK182" s="272"/>
      <c r="AL182" s="316"/>
      <c r="AZ182" s="272"/>
    </row>
    <row r="183" spans="1:52" ht="24.95" customHeight="1" x14ac:dyDescent="0.25">
      <c r="A183" s="315"/>
      <c r="B183" s="320" t="s">
        <v>477</v>
      </c>
      <c r="C183" s="272">
        <v>1</v>
      </c>
      <c r="D183" s="272">
        <v>0.2</v>
      </c>
      <c r="E183" s="272">
        <v>0.45</v>
      </c>
      <c r="F183" s="272">
        <f t="shared" si="124"/>
        <v>3.2999999999999972</v>
      </c>
      <c r="G183" s="272"/>
      <c r="H183" s="272">
        <f t="shared" si="125"/>
        <v>0.29699999999999976</v>
      </c>
      <c r="I183" s="272">
        <f t="shared" si="123"/>
        <v>3.7049999999999961</v>
      </c>
      <c r="J183" s="272"/>
      <c r="K183" s="272"/>
      <c r="L183" s="272"/>
      <c r="M183" s="272"/>
      <c r="N183" s="272"/>
      <c r="O183" s="272"/>
      <c r="P183" s="272"/>
      <c r="Q183" s="272"/>
      <c r="R183" s="272"/>
      <c r="S183" s="272"/>
      <c r="T183" s="272"/>
      <c r="U183" s="272"/>
      <c r="V183" s="272"/>
      <c r="W183" s="272"/>
      <c r="X183" s="272"/>
      <c r="Y183" s="272"/>
      <c r="Z183" s="272"/>
      <c r="AA183" s="272"/>
      <c r="AB183" s="272"/>
      <c r="AC183" s="272"/>
      <c r="AD183" s="272"/>
      <c r="AE183" s="272"/>
      <c r="AF183" s="272"/>
      <c r="AG183" s="272"/>
      <c r="AH183" s="272"/>
      <c r="AI183" s="272"/>
      <c r="AJ183" s="272"/>
      <c r="AK183" s="272"/>
      <c r="AL183" s="316"/>
      <c r="AZ183" s="272"/>
    </row>
    <row r="184" spans="1:52" ht="24.95" customHeight="1" x14ac:dyDescent="0.25">
      <c r="B184" s="320" t="s">
        <v>478</v>
      </c>
      <c r="C184" s="272">
        <v>1</v>
      </c>
      <c r="D184" s="272">
        <v>0.2</v>
      </c>
      <c r="E184" s="272">
        <v>0.45</v>
      </c>
      <c r="F184" s="272">
        <f t="shared" si="124"/>
        <v>3.2999999999999972</v>
      </c>
      <c r="H184" s="272">
        <f t="shared" si="125"/>
        <v>0.29699999999999976</v>
      </c>
      <c r="I184" s="272">
        <f t="shared" si="123"/>
        <v>3.7049999999999961</v>
      </c>
    </row>
    <row r="185" spans="1:52" ht="24.95" customHeight="1" x14ac:dyDescent="0.25">
      <c r="B185" s="320" t="s">
        <v>479</v>
      </c>
      <c r="C185" s="272">
        <v>1</v>
      </c>
      <c r="D185" s="272">
        <v>0.2</v>
      </c>
      <c r="E185" s="272">
        <v>0.45</v>
      </c>
      <c r="F185" s="272">
        <f t="shared" si="124"/>
        <v>3.2999999999999972</v>
      </c>
      <c r="H185" s="272">
        <f t="shared" si="125"/>
        <v>0.29699999999999976</v>
      </c>
      <c r="I185" s="272">
        <f t="shared" si="123"/>
        <v>3.7049999999999961</v>
      </c>
    </row>
    <row r="186" spans="1:52" ht="24.95" customHeight="1" x14ac:dyDescent="0.25">
      <c r="B186" s="320" t="s">
        <v>480</v>
      </c>
      <c r="C186" s="272">
        <v>1</v>
      </c>
      <c r="D186" s="272">
        <v>0.2</v>
      </c>
      <c r="E186" s="272">
        <v>0.65</v>
      </c>
      <c r="F186" s="272">
        <f t="shared" si="124"/>
        <v>3.2999999999999972</v>
      </c>
      <c r="H186" s="272">
        <f t="shared" si="125"/>
        <v>0.42899999999999966</v>
      </c>
      <c r="I186" s="272">
        <f t="shared" si="123"/>
        <v>4.8449999999999953</v>
      </c>
    </row>
    <row r="187" spans="1:52" ht="24.95" customHeight="1" x14ac:dyDescent="0.25">
      <c r="B187" s="320" t="s">
        <v>481</v>
      </c>
      <c r="C187" s="272">
        <v>1</v>
      </c>
      <c r="D187" s="272">
        <v>0.2</v>
      </c>
      <c r="E187" s="272">
        <v>0.45</v>
      </c>
      <c r="F187" s="272">
        <f t="shared" si="124"/>
        <v>3.2999999999999972</v>
      </c>
      <c r="H187" s="272">
        <f t="shared" si="125"/>
        <v>0.29699999999999976</v>
      </c>
      <c r="I187" s="272">
        <f t="shared" si="123"/>
        <v>3.7049999999999961</v>
      </c>
    </row>
    <row r="188" spans="1:52" ht="24.95" customHeight="1" x14ac:dyDescent="0.25">
      <c r="B188" s="320" t="s">
        <v>482</v>
      </c>
      <c r="C188" s="272">
        <v>1</v>
      </c>
      <c r="D188" s="272">
        <v>0.2</v>
      </c>
      <c r="E188" s="272">
        <v>0.45</v>
      </c>
      <c r="F188" s="272">
        <f t="shared" si="124"/>
        <v>3.2999999999999972</v>
      </c>
      <c r="H188" s="272">
        <f t="shared" si="125"/>
        <v>0.29699999999999976</v>
      </c>
      <c r="I188" s="272">
        <f t="shared" si="123"/>
        <v>3.7049999999999961</v>
      </c>
    </row>
    <row r="189" spans="1:52" ht="24.95" customHeight="1" x14ac:dyDescent="0.25">
      <c r="B189" s="320" t="s">
        <v>483</v>
      </c>
      <c r="C189" s="272">
        <v>1</v>
      </c>
      <c r="D189" s="272">
        <v>0.2</v>
      </c>
      <c r="E189" s="272">
        <v>0.45</v>
      </c>
      <c r="F189" s="272">
        <f t="shared" si="124"/>
        <v>3.2999999999999972</v>
      </c>
      <c r="H189" s="272">
        <f t="shared" si="125"/>
        <v>0.29699999999999976</v>
      </c>
      <c r="I189" s="272">
        <f t="shared" si="123"/>
        <v>3.7049999999999961</v>
      </c>
    </row>
    <row r="190" spans="1:52" ht="24.95" customHeight="1" x14ac:dyDescent="0.25">
      <c r="B190" s="320" t="s">
        <v>484</v>
      </c>
      <c r="C190" s="272">
        <v>1</v>
      </c>
      <c r="D190" s="272">
        <v>0.2</v>
      </c>
      <c r="E190" s="272">
        <v>0.45</v>
      </c>
      <c r="F190" s="272">
        <f t="shared" si="124"/>
        <v>3.2999999999999972</v>
      </c>
      <c r="H190" s="272">
        <f t="shared" si="125"/>
        <v>0.29699999999999976</v>
      </c>
      <c r="I190" s="272">
        <f t="shared" si="123"/>
        <v>3.7049999999999961</v>
      </c>
    </row>
    <row r="191" spans="1:52" ht="24.95" customHeight="1" x14ac:dyDescent="0.25">
      <c r="B191" s="320" t="s">
        <v>485</v>
      </c>
      <c r="C191" s="272">
        <v>1</v>
      </c>
      <c r="D191" s="272">
        <v>0.3</v>
      </c>
      <c r="E191" s="272">
        <v>0.6</v>
      </c>
      <c r="F191" s="272">
        <f t="shared" si="124"/>
        <v>3.2999999999999972</v>
      </c>
      <c r="H191" s="272">
        <f t="shared" si="125"/>
        <v>0.59399999999999942</v>
      </c>
      <c r="I191" s="272">
        <f t="shared" si="123"/>
        <v>5.1299999999999937</v>
      </c>
    </row>
    <row r="192" spans="1:52" ht="24.95" customHeight="1" x14ac:dyDescent="0.25">
      <c r="B192" s="320" t="s">
        <v>486</v>
      </c>
      <c r="C192" s="272">
        <v>1</v>
      </c>
      <c r="D192" s="272">
        <v>0.3</v>
      </c>
      <c r="E192" s="272">
        <v>0.6</v>
      </c>
      <c r="F192" s="272">
        <f t="shared" si="124"/>
        <v>3.2999999999999972</v>
      </c>
      <c r="H192" s="272">
        <f t="shared" si="125"/>
        <v>0.59399999999999942</v>
      </c>
      <c r="I192" s="272">
        <f t="shared" si="123"/>
        <v>5.1299999999999937</v>
      </c>
    </row>
    <row r="193" spans="2:9" ht="24.95" customHeight="1" x14ac:dyDescent="0.25">
      <c r="B193" s="320" t="s">
        <v>487</v>
      </c>
      <c r="C193" s="272">
        <v>1</v>
      </c>
      <c r="D193" s="272">
        <v>0.2</v>
      </c>
      <c r="E193" s="272">
        <v>0.45</v>
      </c>
      <c r="F193" s="272">
        <f t="shared" si="124"/>
        <v>3.2999999999999972</v>
      </c>
      <c r="H193" s="272">
        <f t="shared" si="125"/>
        <v>0.29699999999999976</v>
      </c>
      <c r="I193" s="272">
        <f t="shared" si="123"/>
        <v>3.7049999999999961</v>
      </c>
    </row>
    <row r="194" spans="2:9" ht="24.95" customHeight="1" x14ac:dyDescent="0.25">
      <c r="B194" s="320" t="s">
        <v>488</v>
      </c>
      <c r="C194" s="272">
        <v>1</v>
      </c>
      <c r="D194" s="272">
        <v>0.2</v>
      </c>
      <c r="E194" s="272">
        <v>0.45</v>
      </c>
      <c r="F194" s="272">
        <f t="shared" si="124"/>
        <v>3.2999999999999972</v>
      </c>
      <c r="H194" s="272">
        <f t="shared" si="125"/>
        <v>0.29699999999999976</v>
      </c>
      <c r="I194" s="272">
        <f t="shared" si="123"/>
        <v>3.7049999999999961</v>
      </c>
    </row>
    <row r="195" spans="2:9" ht="24.95" customHeight="1" x14ac:dyDescent="0.25">
      <c r="B195" s="320" t="s">
        <v>489</v>
      </c>
      <c r="C195" s="272">
        <v>1</v>
      </c>
      <c r="D195" s="272">
        <v>0.2</v>
      </c>
      <c r="E195" s="272">
        <v>0.65</v>
      </c>
      <c r="F195" s="272">
        <f t="shared" si="124"/>
        <v>3.2999999999999972</v>
      </c>
      <c r="H195" s="272">
        <f t="shared" si="125"/>
        <v>0.42899999999999966</v>
      </c>
      <c r="I195" s="272">
        <f t="shared" si="123"/>
        <v>4.8449999999999953</v>
      </c>
    </row>
    <row r="196" spans="2:9" ht="24.95" customHeight="1" x14ac:dyDescent="0.25">
      <c r="B196" s="320" t="s">
        <v>490</v>
      </c>
      <c r="C196" s="272">
        <v>1</v>
      </c>
      <c r="D196" s="272">
        <v>0.2</v>
      </c>
      <c r="E196" s="272">
        <v>0.45</v>
      </c>
      <c r="F196" s="272">
        <f t="shared" si="124"/>
        <v>3.2999999999999972</v>
      </c>
      <c r="H196" s="272">
        <f t="shared" si="125"/>
        <v>0.29699999999999976</v>
      </c>
      <c r="I196" s="272">
        <f t="shared" si="123"/>
        <v>3.7049999999999961</v>
      </c>
    </row>
    <row r="197" spans="2:9" ht="24.95" customHeight="1" x14ac:dyDescent="0.25">
      <c r="B197" s="320" t="s">
        <v>491</v>
      </c>
      <c r="C197" s="272">
        <v>1</v>
      </c>
      <c r="D197" s="272">
        <v>0.2</v>
      </c>
      <c r="E197" s="272">
        <v>0.45</v>
      </c>
      <c r="F197" s="272">
        <f t="shared" si="124"/>
        <v>3.2999999999999972</v>
      </c>
      <c r="H197" s="272">
        <f t="shared" si="125"/>
        <v>0.29699999999999976</v>
      </c>
      <c r="I197" s="272">
        <f t="shared" si="123"/>
        <v>3.7049999999999961</v>
      </c>
    </row>
    <row r="198" spans="2:9" ht="24.95" customHeight="1" x14ac:dyDescent="0.25">
      <c r="B198" s="320" t="s">
        <v>492</v>
      </c>
      <c r="C198" s="272">
        <v>1</v>
      </c>
      <c r="D198" s="272">
        <v>0.2</v>
      </c>
      <c r="E198" s="272">
        <v>0.45</v>
      </c>
      <c r="F198" s="272">
        <f t="shared" si="124"/>
        <v>3.2999999999999972</v>
      </c>
      <c r="H198" s="272">
        <f t="shared" si="125"/>
        <v>0.29699999999999976</v>
      </c>
      <c r="I198" s="272">
        <f t="shared" si="123"/>
        <v>3.7049999999999961</v>
      </c>
    </row>
    <row r="199" spans="2:9" ht="24.95" customHeight="1" x14ac:dyDescent="0.25">
      <c r="B199" s="320" t="s">
        <v>500</v>
      </c>
      <c r="C199" s="272">
        <v>1</v>
      </c>
      <c r="D199" s="272">
        <v>0.2</v>
      </c>
      <c r="E199" s="272">
        <v>0.45</v>
      </c>
      <c r="F199" s="272">
        <f t="shared" si="124"/>
        <v>3.2999999999999972</v>
      </c>
      <c r="H199" s="272">
        <f t="shared" si="125"/>
        <v>0.29699999999999976</v>
      </c>
      <c r="I199" s="272">
        <f t="shared" si="123"/>
        <v>3.7049999999999961</v>
      </c>
    </row>
    <row r="200" spans="2:9" ht="24.95" customHeight="1" x14ac:dyDescent="0.25">
      <c r="B200" s="320" t="s">
        <v>501</v>
      </c>
      <c r="C200" s="272">
        <v>1</v>
      </c>
      <c r="D200" s="272">
        <v>0.2</v>
      </c>
      <c r="E200" s="272">
        <v>0.45</v>
      </c>
      <c r="F200" s="272">
        <f t="shared" si="124"/>
        <v>3.2999999999999972</v>
      </c>
      <c r="H200" s="272">
        <f t="shared" si="125"/>
        <v>0.29699999999999976</v>
      </c>
      <c r="I200" s="272">
        <f t="shared" si="123"/>
        <v>3.7049999999999961</v>
      </c>
    </row>
    <row r="201" spans="2:9" ht="24.95" customHeight="1" x14ac:dyDescent="0.25">
      <c r="B201" s="320" t="s">
        <v>502</v>
      </c>
      <c r="C201" s="272">
        <v>1</v>
      </c>
      <c r="D201" s="272">
        <v>0.2</v>
      </c>
      <c r="E201" s="272">
        <v>0.45</v>
      </c>
      <c r="F201" s="272">
        <f t="shared" si="124"/>
        <v>3.2999999999999972</v>
      </c>
      <c r="H201" s="272">
        <f t="shared" si="125"/>
        <v>0.29699999999999976</v>
      </c>
      <c r="I201" s="272">
        <f t="shared" si="123"/>
        <v>3.7049999999999961</v>
      </c>
    </row>
    <row r="202" spans="2:9" ht="24.95" customHeight="1" x14ac:dyDescent="0.25">
      <c r="B202" s="320" t="s">
        <v>503</v>
      </c>
      <c r="C202" s="272">
        <v>1</v>
      </c>
      <c r="D202" s="272">
        <v>0.2</v>
      </c>
      <c r="E202" s="272">
        <v>0.45</v>
      </c>
      <c r="F202" s="272">
        <f t="shared" si="124"/>
        <v>3.2999999999999972</v>
      </c>
      <c r="H202" s="272">
        <f t="shared" si="125"/>
        <v>0.29699999999999976</v>
      </c>
      <c r="I202" s="272">
        <f t="shared" si="123"/>
        <v>3.7049999999999961</v>
      </c>
    </row>
    <row r="203" spans="2:9" ht="24.95" customHeight="1" x14ac:dyDescent="0.25">
      <c r="B203" s="320" t="s">
        <v>504</v>
      </c>
      <c r="C203" s="272">
        <v>1</v>
      </c>
      <c r="D203" s="272">
        <v>0.2</v>
      </c>
      <c r="E203" s="272">
        <v>0.45</v>
      </c>
      <c r="F203" s="272">
        <f t="shared" si="124"/>
        <v>3.2999999999999972</v>
      </c>
      <c r="H203" s="272">
        <f t="shared" si="125"/>
        <v>0.29699999999999976</v>
      </c>
      <c r="I203" s="272">
        <f t="shared" si="123"/>
        <v>3.7049999999999961</v>
      </c>
    </row>
    <row r="204" spans="2:9" ht="24.95" customHeight="1" x14ac:dyDescent="0.25">
      <c r="B204" s="320" t="s">
        <v>505</v>
      </c>
      <c r="C204" s="272">
        <v>1</v>
      </c>
      <c r="D204" s="272">
        <v>0.2</v>
      </c>
      <c r="E204" s="272">
        <v>0.45</v>
      </c>
      <c r="F204" s="272">
        <f t="shared" si="124"/>
        <v>3.2999999999999972</v>
      </c>
      <c r="H204" s="272">
        <f t="shared" si="125"/>
        <v>0.29699999999999976</v>
      </c>
      <c r="I204" s="272">
        <f t="shared" si="123"/>
        <v>3.7049999999999961</v>
      </c>
    </row>
    <row r="205" spans="2:9" ht="24.95" customHeight="1" x14ac:dyDescent="0.25">
      <c r="B205" s="320" t="s">
        <v>506</v>
      </c>
      <c r="C205" s="272">
        <v>1</v>
      </c>
      <c r="D205" s="272">
        <v>0.2</v>
      </c>
      <c r="E205" s="272">
        <v>0.45</v>
      </c>
      <c r="F205" s="272">
        <f t="shared" si="124"/>
        <v>3.2999999999999972</v>
      </c>
      <c r="H205" s="272">
        <f t="shared" si="125"/>
        <v>0.29699999999999976</v>
      </c>
      <c r="I205" s="272">
        <f t="shared" si="123"/>
        <v>3.7049999999999961</v>
      </c>
    </row>
    <row r="206" spans="2:9" ht="24.95" customHeight="1" x14ac:dyDescent="0.25">
      <c r="B206" s="320" t="s">
        <v>507</v>
      </c>
      <c r="C206" s="272">
        <v>1</v>
      </c>
      <c r="D206" s="272">
        <v>0.2</v>
      </c>
      <c r="E206" s="272">
        <v>0.45</v>
      </c>
      <c r="F206" s="272">
        <f t="shared" si="124"/>
        <v>3.2999999999999972</v>
      </c>
      <c r="H206" s="272">
        <f t="shared" si="125"/>
        <v>0.29699999999999976</v>
      </c>
      <c r="I206" s="272">
        <f t="shared" si="123"/>
        <v>3.7049999999999961</v>
      </c>
    </row>
    <row r="207" spans="2:9" ht="24.95" customHeight="1" x14ac:dyDescent="0.25">
      <c r="B207" s="320" t="s">
        <v>508</v>
      </c>
      <c r="C207" s="272">
        <v>1</v>
      </c>
      <c r="D207" s="272">
        <v>0.2</v>
      </c>
      <c r="E207" s="272">
        <v>0.45</v>
      </c>
      <c r="F207" s="272">
        <f t="shared" si="124"/>
        <v>3.2999999999999972</v>
      </c>
      <c r="H207" s="272">
        <f t="shared" si="125"/>
        <v>0.29699999999999976</v>
      </c>
      <c r="I207" s="272">
        <f t="shared" si="123"/>
        <v>3.7049999999999961</v>
      </c>
    </row>
    <row r="208" spans="2:9" ht="24.95" customHeight="1" x14ac:dyDescent="0.25">
      <c r="B208" s="320" t="s">
        <v>509</v>
      </c>
      <c r="C208" s="272">
        <v>1</v>
      </c>
      <c r="D208" s="272">
        <v>0.2</v>
      </c>
      <c r="E208" s="272">
        <v>0.45</v>
      </c>
      <c r="F208" s="272">
        <f t="shared" si="124"/>
        <v>3.2999999999999972</v>
      </c>
      <c r="H208" s="272">
        <f t="shared" si="125"/>
        <v>0.29699999999999976</v>
      </c>
      <c r="I208" s="272">
        <f t="shared" si="123"/>
        <v>3.7049999999999961</v>
      </c>
    </row>
    <row r="209" spans="1:9" ht="24.95" customHeight="1" x14ac:dyDescent="0.25">
      <c r="B209" s="320" t="s">
        <v>510</v>
      </c>
      <c r="C209" s="272">
        <v>1</v>
      </c>
      <c r="D209" s="272">
        <v>0.2</v>
      </c>
      <c r="E209" s="272">
        <v>0.45</v>
      </c>
      <c r="F209" s="272">
        <f t="shared" si="124"/>
        <v>3.2999999999999972</v>
      </c>
      <c r="H209" s="272">
        <f t="shared" si="125"/>
        <v>0.29699999999999976</v>
      </c>
      <c r="I209" s="272">
        <f t="shared" si="123"/>
        <v>3.7049999999999961</v>
      </c>
    </row>
    <row r="210" spans="1:9" ht="24.95" customHeight="1" x14ac:dyDescent="0.25">
      <c r="B210" s="320" t="s">
        <v>511</v>
      </c>
      <c r="C210" s="272">
        <v>0</v>
      </c>
      <c r="D210" s="272">
        <v>0.2</v>
      </c>
      <c r="E210" s="272">
        <v>0.45</v>
      </c>
      <c r="F210" s="272">
        <f t="shared" si="124"/>
        <v>3.2999999999999972</v>
      </c>
      <c r="H210" s="272">
        <f t="shared" si="125"/>
        <v>0</v>
      </c>
      <c r="I210" s="272">
        <f t="shared" si="123"/>
        <v>0</v>
      </c>
    </row>
    <row r="211" spans="1:9" ht="24.95" customHeight="1" x14ac:dyDescent="0.25">
      <c r="B211" s="317" t="s">
        <v>30</v>
      </c>
      <c r="C211" s="316">
        <f>SUM(C178:C210)</f>
        <v>31</v>
      </c>
      <c r="D211" s="272"/>
      <c r="E211" s="272"/>
      <c r="F211" s="272"/>
      <c r="H211" s="316">
        <f>SUM(H178:H210)</f>
        <v>10.064999999999996</v>
      </c>
      <c r="I211" s="316">
        <f>SUM(I178:I210)</f>
        <v>119.98499999999991</v>
      </c>
    </row>
    <row r="212" spans="1:9" ht="24.95" customHeight="1" x14ac:dyDescent="0.25">
      <c r="B212" s="320"/>
      <c r="C212" s="316"/>
      <c r="D212" s="272"/>
      <c r="E212" s="272"/>
      <c r="F212" s="272"/>
      <c r="H212" s="316"/>
      <c r="I212" s="316"/>
    </row>
    <row r="213" spans="1:9" ht="24.95" customHeight="1" x14ac:dyDescent="0.25">
      <c r="A213" s="318"/>
      <c r="B213" s="318" t="s">
        <v>493</v>
      </c>
      <c r="C213" s="318"/>
      <c r="D213" s="272"/>
      <c r="E213" s="272"/>
      <c r="F213" s="272"/>
      <c r="G213" s="272"/>
      <c r="H213" s="272"/>
      <c r="I213" s="272"/>
    </row>
    <row r="214" spans="1:9" ht="24.95" customHeight="1" x14ac:dyDescent="0.25">
      <c r="A214" s="318" t="s">
        <v>424</v>
      </c>
      <c r="B214" s="316" t="s">
        <v>1</v>
      </c>
      <c r="C214" s="316" t="s">
        <v>2</v>
      </c>
      <c r="D214" s="316" t="s">
        <v>469</v>
      </c>
      <c r="E214" s="316" t="s">
        <v>470</v>
      </c>
      <c r="F214" s="316" t="s">
        <v>471</v>
      </c>
      <c r="G214" s="316" t="s">
        <v>472</v>
      </c>
      <c r="H214" s="316" t="s">
        <v>473</v>
      </c>
      <c r="I214" s="319" t="s">
        <v>474</v>
      </c>
    </row>
    <row r="215" spans="1:9" ht="24.95" customHeight="1" x14ac:dyDescent="0.25">
      <c r="A215" s="315">
        <v>1</v>
      </c>
      <c r="B215" s="320" t="s">
        <v>453</v>
      </c>
      <c r="C215" s="272">
        <v>1</v>
      </c>
      <c r="D215" s="272">
        <v>0.2</v>
      </c>
      <c r="E215" s="272">
        <v>0.45</v>
      </c>
      <c r="F215" s="272">
        <f t="shared" ref="F215:F221" si="126">$D$95</f>
        <v>0</v>
      </c>
      <c r="G215" s="272"/>
      <c r="H215" s="272">
        <f t="shared" ref="H215:H221" si="127">C215*(D215*E215*F215)</f>
        <v>0</v>
      </c>
      <c r="I215" s="272">
        <f>C215*(D215+E215)*2*(F215-$D$98)*0</f>
        <v>0</v>
      </c>
    </row>
    <row r="216" spans="1:9" ht="24.95" customHeight="1" x14ac:dyDescent="0.25">
      <c r="A216" s="315"/>
      <c r="B216" s="320" t="s">
        <v>454</v>
      </c>
      <c r="C216" s="272">
        <v>1</v>
      </c>
      <c r="D216" s="272">
        <v>0.2</v>
      </c>
      <c r="E216" s="272">
        <v>0.45</v>
      </c>
      <c r="F216" s="272">
        <f t="shared" si="126"/>
        <v>0</v>
      </c>
      <c r="G216" s="272"/>
      <c r="H216" s="272">
        <f t="shared" si="127"/>
        <v>0</v>
      </c>
      <c r="I216" s="272">
        <f t="shared" ref="I216:I221" si="128">C216*(D216+E216)*2*(F216-$D$98)*0</f>
        <v>0</v>
      </c>
    </row>
    <row r="217" spans="1:9" ht="24.95" customHeight="1" x14ac:dyDescent="0.25">
      <c r="A217" s="315"/>
      <c r="B217" s="320" t="s">
        <v>455</v>
      </c>
      <c r="C217" s="272">
        <v>1</v>
      </c>
      <c r="D217" s="272">
        <v>0.2</v>
      </c>
      <c r="E217" s="272">
        <v>0.45</v>
      </c>
      <c r="F217" s="272">
        <f t="shared" si="126"/>
        <v>0</v>
      </c>
      <c r="G217" s="272"/>
      <c r="H217" s="272">
        <f t="shared" si="127"/>
        <v>0</v>
      </c>
      <c r="I217" s="272">
        <f t="shared" si="128"/>
        <v>0</v>
      </c>
    </row>
    <row r="218" spans="1:9" ht="24.95" customHeight="1" x14ac:dyDescent="0.25">
      <c r="A218" s="315"/>
      <c r="B218" s="320" t="s">
        <v>475</v>
      </c>
      <c r="C218" s="272">
        <v>1</v>
      </c>
      <c r="D218" s="272">
        <v>0.2</v>
      </c>
      <c r="E218" s="272">
        <v>0.45</v>
      </c>
      <c r="F218" s="272">
        <f t="shared" si="126"/>
        <v>0</v>
      </c>
      <c r="G218" s="272"/>
      <c r="H218" s="272">
        <f t="shared" si="127"/>
        <v>0</v>
      </c>
      <c r="I218" s="272">
        <f t="shared" si="128"/>
        <v>0</v>
      </c>
    </row>
    <row r="219" spans="1:9" ht="24.95" customHeight="1" x14ac:dyDescent="0.25">
      <c r="A219" s="315"/>
      <c r="B219" s="320" t="s">
        <v>476</v>
      </c>
      <c r="C219" s="272">
        <v>1</v>
      </c>
      <c r="D219" s="272">
        <v>0.2</v>
      </c>
      <c r="E219" s="272">
        <v>0.65</v>
      </c>
      <c r="F219" s="272">
        <f t="shared" si="126"/>
        <v>0</v>
      </c>
      <c r="G219" s="272"/>
      <c r="H219" s="272">
        <f t="shared" si="127"/>
        <v>0</v>
      </c>
      <c r="I219" s="272">
        <f t="shared" si="128"/>
        <v>0</v>
      </c>
    </row>
    <row r="220" spans="1:9" ht="24.95" customHeight="1" x14ac:dyDescent="0.25">
      <c r="A220" s="315"/>
      <c r="B220" s="320" t="s">
        <v>515</v>
      </c>
      <c r="C220" s="272">
        <v>1</v>
      </c>
      <c r="D220" s="272">
        <v>0.2</v>
      </c>
      <c r="E220" s="272">
        <v>0.6</v>
      </c>
      <c r="F220" s="272">
        <f t="shared" si="126"/>
        <v>0</v>
      </c>
      <c r="G220" s="272"/>
      <c r="H220" s="272">
        <f t="shared" si="127"/>
        <v>0</v>
      </c>
      <c r="I220" s="272">
        <f t="shared" si="128"/>
        <v>0</v>
      </c>
    </row>
    <row r="221" spans="1:9" ht="24.95" customHeight="1" x14ac:dyDescent="0.25">
      <c r="B221" s="320" t="s">
        <v>478</v>
      </c>
      <c r="C221" s="272">
        <v>1</v>
      </c>
      <c r="D221" s="272">
        <v>0.8</v>
      </c>
      <c r="E221" s="272">
        <v>0.2</v>
      </c>
      <c r="F221" s="272">
        <f t="shared" si="126"/>
        <v>0</v>
      </c>
      <c r="H221" s="272">
        <f t="shared" si="127"/>
        <v>0</v>
      </c>
      <c r="I221" s="272">
        <f t="shared" si="128"/>
        <v>0</v>
      </c>
    </row>
    <row r="222" spans="1:9" ht="24.95" customHeight="1" x14ac:dyDescent="0.25">
      <c r="B222" s="317" t="s">
        <v>30</v>
      </c>
      <c r="C222" s="316">
        <f>SUM(C215:C221)</f>
        <v>7</v>
      </c>
      <c r="D222" s="272"/>
      <c r="E222" s="272"/>
      <c r="F222" s="272"/>
      <c r="H222" s="316">
        <f>SUM(H215:H221)</f>
        <v>0</v>
      </c>
      <c r="I222" s="316">
        <f>SUM(I215:I221)</f>
        <v>0</v>
      </c>
    </row>
    <row r="223" spans="1:9" ht="24.95" customHeight="1" x14ac:dyDescent="0.25">
      <c r="B223" s="320"/>
      <c r="C223" s="316"/>
      <c r="D223" s="272"/>
      <c r="E223" s="272"/>
      <c r="F223" s="272"/>
      <c r="H223" s="316"/>
      <c r="I223" s="316"/>
    </row>
    <row r="224" spans="1:9" ht="24.95" customHeight="1" x14ac:dyDescent="0.25">
      <c r="A224" s="318"/>
      <c r="B224" s="318" t="s">
        <v>613</v>
      </c>
      <c r="C224" s="318"/>
      <c r="D224" s="272"/>
      <c r="E224" s="272"/>
      <c r="F224" s="272"/>
      <c r="G224" s="272"/>
      <c r="H224" s="272"/>
      <c r="I224" s="272"/>
    </row>
    <row r="225" spans="1:9" ht="24.95" customHeight="1" x14ac:dyDescent="0.25">
      <c r="A225" s="318" t="s">
        <v>424</v>
      </c>
      <c r="B225" s="316" t="s">
        <v>1</v>
      </c>
      <c r="C225" s="316" t="s">
        <v>2</v>
      </c>
      <c r="D225" s="316" t="s">
        <v>469</v>
      </c>
      <c r="E225" s="316" t="s">
        <v>470</v>
      </c>
      <c r="F225" s="316" t="s">
        <v>471</v>
      </c>
      <c r="G225" s="316" t="s">
        <v>472</v>
      </c>
      <c r="H225" s="316" t="s">
        <v>473</v>
      </c>
      <c r="I225" s="319" t="s">
        <v>474</v>
      </c>
    </row>
    <row r="226" spans="1:9" ht="24.95" customHeight="1" x14ac:dyDescent="0.25">
      <c r="A226" s="315">
        <v>1</v>
      </c>
      <c r="B226" s="320" t="s">
        <v>481</v>
      </c>
      <c r="C226" s="272">
        <v>1</v>
      </c>
      <c r="D226" s="272">
        <v>0.2</v>
      </c>
      <c r="E226" s="272">
        <v>0.45</v>
      </c>
      <c r="F226" s="272">
        <f>$D$96</f>
        <v>3.1500000000000057</v>
      </c>
      <c r="G226" s="272"/>
      <c r="H226" s="272">
        <f>C226*(D226*E226*F226)</f>
        <v>0.28350000000000053</v>
      </c>
      <c r="I226" s="272">
        <f>C226*(D226+E226)*2*F226</f>
        <v>4.0950000000000077</v>
      </c>
    </row>
    <row r="227" spans="1:9" ht="24.95" customHeight="1" x14ac:dyDescent="0.25">
      <c r="A227" s="315"/>
      <c r="B227" s="320" t="s">
        <v>515</v>
      </c>
      <c r="C227" s="272">
        <v>1</v>
      </c>
      <c r="D227" s="272">
        <v>0.2</v>
      </c>
      <c r="E227" s="272">
        <v>0.45</v>
      </c>
      <c r="F227" s="272">
        <f t="shared" ref="F227:F231" si="129">$D$96</f>
        <v>3.1500000000000057</v>
      </c>
      <c r="G227" s="272"/>
      <c r="H227" s="272">
        <f t="shared" ref="H227:H230" si="130">C227*(D227*E227*F227)</f>
        <v>0.28350000000000053</v>
      </c>
      <c r="I227" s="272">
        <f>C227*(D227+E227)*2*F227</f>
        <v>4.0950000000000077</v>
      </c>
    </row>
    <row r="228" spans="1:9" ht="24.95" customHeight="1" x14ac:dyDescent="0.25">
      <c r="A228" s="315"/>
      <c r="B228" s="320" t="s">
        <v>610</v>
      </c>
      <c r="C228" s="272">
        <v>1</v>
      </c>
      <c r="D228" s="272">
        <v>0.2</v>
      </c>
      <c r="E228" s="272">
        <v>0.6</v>
      </c>
      <c r="F228" s="272">
        <f t="shared" si="129"/>
        <v>3.1500000000000057</v>
      </c>
      <c r="G228" s="272"/>
      <c r="H228" s="272">
        <f t="shared" si="130"/>
        <v>0.37800000000000067</v>
      </c>
      <c r="I228" s="272">
        <f t="shared" ref="I228:I230" si="131">C228*(D228+E228)*2*F228</f>
        <v>5.0400000000000098</v>
      </c>
    </row>
    <row r="229" spans="1:9" ht="24.95" customHeight="1" x14ac:dyDescent="0.25">
      <c r="A229" s="315"/>
      <c r="B229" s="320" t="s">
        <v>488</v>
      </c>
      <c r="C229" s="272">
        <v>1</v>
      </c>
      <c r="D229" s="272">
        <v>0.2</v>
      </c>
      <c r="E229" s="272">
        <v>0.45</v>
      </c>
      <c r="F229" s="272">
        <f t="shared" si="129"/>
        <v>3.1500000000000057</v>
      </c>
      <c r="G229" s="272"/>
      <c r="H229" s="272">
        <f t="shared" si="130"/>
        <v>0.28350000000000053</v>
      </c>
      <c r="I229" s="272">
        <f t="shared" si="131"/>
        <v>4.0950000000000077</v>
      </c>
    </row>
    <row r="230" spans="1:9" ht="24.95" customHeight="1" x14ac:dyDescent="0.25">
      <c r="A230" s="315"/>
      <c r="B230" s="320" t="s">
        <v>611</v>
      </c>
      <c r="C230" s="272">
        <v>1</v>
      </c>
      <c r="D230" s="272">
        <v>0.2</v>
      </c>
      <c r="E230" s="272">
        <v>0.45</v>
      </c>
      <c r="F230" s="272">
        <f t="shared" si="129"/>
        <v>3.1500000000000057</v>
      </c>
      <c r="G230" s="272"/>
      <c r="H230" s="272">
        <f t="shared" si="130"/>
        <v>0.28350000000000053</v>
      </c>
      <c r="I230" s="272">
        <f t="shared" si="131"/>
        <v>4.0950000000000077</v>
      </c>
    </row>
    <row r="231" spans="1:9" ht="24.95" customHeight="1" x14ac:dyDescent="0.25">
      <c r="A231" s="315"/>
      <c r="B231" s="320" t="s">
        <v>612</v>
      </c>
      <c r="C231" s="272">
        <v>1</v>
      </c>
      <c r="D231" s="272">
        <v>0.2</v>
      </c>
      <c r="E231" s="272">
        <v>0.4</v>
      </c>
      <c r="F231" s="272">
        <f t="shared" si="129"/>
        <v>3.1500000000000057</v>
      </c>
      <c r="G231" s="272"/>
      <c r="H231" s="272">
        <f t="shared" ref="H231" si="132">C231*(D231*E231*F231)</f>
        <v>0.2520000000000005</v>
      </c>
      <c r="I231" s="272">
        <f t="shared" ref="I231" si="133">C231*(D231+E231)*2*F231</f>
        <v>3.7800000000000074</v>
      </c>
    </row>
    <row r="232" spans="1:9" ht="24.95" customHeight="1" x14ac:dyDescent="0.25">
      <c r="A232" s="315"/>
      <c r="B232" s="317" t="s">
        <v>30</v>
      </c>
      <c r="C232" s="316">
        <f>SUM(C226:C231)</f>
        <v>6</v>
      </c>
      <c r="D232" s="272"/>
      <c r="E232" s="272"/>
      <c r="F232" s="272"/>
      <c r="G232" s="272"/>
      <c r="H232" s="316">
        <f>SUM(H226:H231)</f>
        <v>1.7640000000000031</v>
      </c>
      <c r="I232" s="316">
        <f>SUM(I226:I231)</f>
        <v>25.200000000000045</v>
      </c>
    </row>
    <row r="233" spans="1:9" ht="24.95" customHeight="1" x14ac:dyDescent="0.25">
      <c r="B233" s="320"/>
      <c r="C233" s="272"/>
      <c r="D233" s="272"/>
      <c r="E233" s="272"/>
      <c r="F233" s="272"/>
      <c r="H233" s="272"/>
      <c r="I233" s="272"/>
    </row>
    <row r="234" spans="1:9" ht="24.95" customHeight="1" x14ac:dyDescent="0.25">
      <c r="B234" s="317"/>
      <c r="C234" s="272"/>
      <c r="D234" s="272"/>
      <c r="E234" s="272"/>
      <c r="F234" s="272"/>
      <c r="H234" s="272"/>
      <c r="I234" s="272"/>
    </row>
    <row r="235" spans="1:9" ht="24.95" customHeight="1" x14ac:dyDescent="0.25">
      <c r="B235" s="320"/>
      <c r="C235" s="272"/>
      <c r="D235" s="272"/>
      <c r="E235" s="272"/>
      <c r="F235" s="272"/>
      <c r="H235" s="272"/>
      <c r="I235" s="272"/>
    </row>
    <row r="236" spans="1:9" ht="24.95" customHeight="1" x14ac:dyDescent="0.25">
      <c r="B236" s="320"/>
      <c r="C236" s="272"/>
      <c r="D236" s="272"/>
      <c r="E236" s="272"/>
      <c r="F236" s="272"/>
      <c r="H236" s="272"/>
      <c r="I236" s="272"/>
    </row>
    <row r="237" spans="1:9" ht="30" customHeight="1" x14ac:dyDescent="0.25">
      <c r="B237" s="320"/>
      <c r="C237" s="272"/>
      <c r="D237" s="272"/>
      <c r="E237" s="272"/>
      <c r="F237" s="272"/>
      <c r="H237" s="272"/>
      <c r="I237" s="272"/>
    </row>
    <row r="238" spans="1:9" ht="30" customHeight="1" x14ac:dyDescent="0.25">
      <c r="B238" s="320"/>
      <c r="C238" s="272"/>
      <c r="D238" s="272"/>
      <c r="E238" s="272"/>
      <c r="F238" s="272"/>
      <c r="H238" s="272"/>
      <c r="I238" s="272"/>
    </row>
    <row r="239" spans="1:9" ht="30" customHeight="1" x14ac:dyDescent="0.25">
      <c r="B239" s="320"/>
      <c r="C239" s="272"/>
      <c r="D239" s="272"/>
      <c r="E239" s="272"/>
      <c r="F239" s="272"/>
      <c r="H239" s="272"/>
      <c r="I239" s="272"/>
    </row>
    <row r="240" spans="1:9" ht="30" customHeight="1" x14ac:dyDescent="0.25">
      <c r="B240" s="320"/>
      <c r="C240" s="272"/>
      <c r="D240" s="272"/>
      <c r="E240" s="272"/>
      <c r="F240" s="272"/>
      <c r="H240" s="272"/>
      <c r="I240" s="272"/>
    </row>
    <row r="241" spans="2:9" ht="30" customHeight="1" x14ac:dyDescent="0.25">
      <c r="B241" s="320"/>
      <c r="C241" s="272"/>
      <c r="D241" s="272"/>
      <c r="E241" s="272"/>
      <c r="F241" s="272"/>
      <c r="H241" s="272"/>
      <c r="I241" s="272"/>
    </row>
    <row r="242" spans="2:9" ht="30" customHeight="1" x14ac:dyDescent="0.25">
      <c r="B242" s="320"/>
      <c r="C242" s="272"/>
      <c r="D242" s="272"/>
      <c r="E242" s="272"/>
      <c r="F242" s="272"/>
      <c r="H242" s="272"/>
      <c r="I242" s="272"/>
    </row>
    <row r="243" spans="2:9" ht="30" customHeight="1" x14ac:dyDescent="0.25">
      <c r="B243" s="320"/>
      <c r="C243" s="272"/>
      <c r="D243" s="272"/>
      <c r="E243" s="272"/>
      <c r="F243" s="272"/>
      <c r="H243" s="272"/>
      <c r="I243" s="272"/>
    </row>
    <row r="244" spans="2:9" ht="30" customHeight="1" x14ac:dyDescent="0.25">
      <c r="B244" s="320"/>
      <c r="C244" s="272"/>
      <c r="D244" s="272"/>
      <c r="E244" s="272"/>
      <c r="F244" s="272"/>
      <c r="H244" s="272"/>
      <c r="I244" s="272"/>
    </row>
    <row r="245" spans="2:9" ht="30" customHeight="1" x14ac:dyDescent="0.25">
      <c r="B245" s="320"/>
      <c r="C245" s="272"/>
      <c r="D245" s="272"/>
      <c r="E245" s="272"/>
      <c r="F245" s="272"/>
      <c r="H245" s="272"/>
      <c r="I245" s="272"/>
    </row>
    <row r="246" spans="2:9" ht="30" customHeight="1" x14ac:dyDescent="0.25">
      <c r="B246" s="320"/>
      <c r="C246" s="272"/>
      <c r="D246" s="272"/>
      <c r="E246" s="272"/>
      <c r="F246" s="272"/>
      <c r="H246" s="272"/>
      <c r="I246" s="272"/>
    </row>
    <row r="247" spans="2:9" ht="30" customHeight="1" x14ac:dyDescent="0.25">
      <c r="B247" s="320"/>
      <c r="C247" s="272"/>
      <c r="D247" s="272"/>
      <c r="E247" s="272"/>
      <c r="F247" s="272"/>
      <c r="H247" s="272"/>
      <c r="I247" s="272"/>
    </row>
    <row r="248" spans="2:9" ht="30" customHeight="1" x14ac:dyDescent="0.25">
      <c r="B248" s="320"/>
      <c r="C248" s="272"/>
      <c r="D248" s="272"/>
      <c r="E248" s="272"/>
      <c r="F248" s="272"/>
      <c r="H248" s="316">
        <f>SUM(H226:H247)</f>
        <v>3.5280000000000062</v>
      </c>
      <c r="I248" s="316">
        <f>SUM(I226:I247)</f>
        <v>50.400000000000091</v>
      </c>
    </row>
  </sheetData>
  <mergeCells count="11">
    <mergeCell ref="B34:C34"/>
    <mergeCell ref="B64:C64"/>
    <mergeCell ref="A32:A33"/>
    <mergeCell ref="B32:B33"/>
    <mergeCell ref="C32:C33"/>
    <mergeCell ref="D32:N32"/>
    <mergeCell ref="O32:Y32"/>
    <mergeCell ref="Z32:AJ32"/>
    <mergeCell ref="I33:M33"/>
    <mergeCell ref="T33:X33"/>
    <mergeCell ref="AE33:AI33"/>
  </mergeCells>
  <phoneticPr fontId="23" type="noConversion"/>
  <pageMargins left="0.7" right="0.7" top="0.75" bottom="0.75" header="0.3" footer="0.3"/>
  <pageSetup orientation="portrait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83AA31-A05E-4017-BFBB-15A48FFE869F}">
  <dimension ref="A2:I164"/>
  <sheetViews>
    <sheetView topLeftCell="A44" zoomScale="90" zoomScaleNormal="90" workbookViewId="0">
      <selection activeCell="E65" sqref="E65"/>
    </sheetView>
  </sheetViews>
  <sheetFormatPr defaultRowHeight="20.100000000000001" customHeight="1" x14ac:dyDescent="0.25"/>
  <cols>
    <col min="1" max="1" width="9.140625" style="1"/>
    <col min="2" max="2" width="14.85546875" style="1" customWidth="1"/>
    <col min="3" max="3" width="11" style="1" customWidth="1"/>
    <col min="4" max="4" width="11.85546875" style="1" customWidth="1"/>
    <col min="5" max="5" width="11" style="1" customWidth="1"/>
    <col min="6" max="7" width="9.140625" style="1"/>
    <col min="8" max="8" width="12.5703125" style="1" customWidth="1"/>
    <col min="9" max="9" width="15.7109375" style="1" customWidth="1"/>
    <col min="10" max="16384" width="9.140625" style="1"/>
  </cols>
  <sheetData>
    <row r="2" spans="1:9" ht="20.100000000000001" customHeight="1" x14ac:dyDescent="0.25">
      <c r="A2" s="315"/>
      <c r="B2" s="317" t="s">
        <v>590</v>
      </c>
      <c r="C2" s="272"/>
      <c r="D2" s="272"/>
      <c r="E2" s="272"/>
    </row>
    <row r="3" spans="1:9" ht="20.100000000000001" customHeight="1" x14ac:dyDescent="0.25">
      <c r="A3" s="315"/>
      <c r="B3" s="317"/>
      <c r="C3" s="272"/>
      <c r="D3" s="316" t="s">
        <v>70</v>
      </c>
      <c r="E3" s="316" t="s">
        <v>90</v>
      </c>
    </row>
    <row r="4" spans="1:9" ht="20.100000000000001" customHeight="1" x14ac:dyDescent="0.25">
      <c r="A4" s="315">
        <v>1</v>
      </c>
      <c r="B4" s="317" t="s">
        <v>563</v>
      </c>
      <c r="C4" s="272"/>
      <c r="D4" s="272">
        <f>H58</f>
        <v>39.748362500000006</v>
      </c>
      <c r="E4" s="272">
        <f>I58</f>
        <v>28.504749999999994</v>
      </c>
      <c r="F4" s="1" t="s">
        <v>596</v>
      </c>
    </row>
    <row r="5" spans="1:9" ht="20.100000000000001" customHeight="1" x14ac:dyDescent="0.25">
      <c r="A5" s="315">
        <v>2</v>
      </c>
      <c r="B5" s="317" t="s">
        <v>561</v>
      </c>
      <c r="C5" s="272"/>
      <c r="D5" s="272">
        <f>H107</f>
        <v>39.403150000000004</v>
      </c>
      <c r="E5" s="272">
        <f>I107</f>
        <v>242.71980000000002</v>
      </c>
      <c r="F5" s="1" t="s">
        <v>596</v>
      </c>
    </row>
    <row r="6" spans="1:9" ht="20.100000000000001" customHeight="1" x14ac:dyDescent="0.25">
      <c r="A6" s="315">
        <v>3</v>
      </c>
      <c r="B6" s="317" t="s">
        <v>564</v>
      </c>
      <c r="C6" s="272"/>
      <c r="D6" s="272">
        <f>H152</f>
        <v>31.915674999999997</v>
      </c>
      <c r="E6" s="272">
        <f>I152</f>
        <v>229.89599999999999</v>
      </c>
    </row>
    <row r="7" spans="1:9" ht="20.100000000000001" customHeight="1" x14ac:dyDescent="0.25">
      <c r="A7" s="315">
        <v>4</v>
      </c>
      <c r="B7" s="317" t="s">
        <v>565</v>
      </c>
      <c r="C7" s="272"/>
      <c r="D7" s="272">
        <f>H164</f>
        <v>4.1450100000000001</v>
      </c>
      <c r="E7" s="272">
        <f>I164</f>
        <v>33.160080000000001</v>
      </c>
    </row>
    <row r="8" spans="1:9" ht="20.100000000000001" customHeight="1" x14ac:dyDescent="0.25">
      <c r="A8" s="315">
        <v>5</v>
      </c>
      <c r="B8" s="317"/>
      <c r="C8" s="272"/>
      <c r="D8" s="272"/>
      <c r="E8" s="272"/>
    </row>
    <row r="9" spans="1:9" ht="20.100000000000001" customHeight="1" x14ac:dyDescent="0.25">
      <c r="A9" s="315"/>
      <c r="B9" s="317"/>
      <c r="C9" s="272"/>
      <c r="D9" s="316">
        <f>SUM(D4:D8)</f>
        <v>115.2121975</v>
      </c>
      <c r="E9" s="316">
        <f>SUM(E4:E8)</f>
        <v>534.28062999999997</v>
      </c>
    </row>
    <row r="11" spans="1:9" ht="20.100000000000001" customHeight="1" x14ac:dyDescent="0.25">
      <c r="B11" s="1" t="s">
        <v>420</v>
      </c>
      <c r="C11" s="1">
        <v>0.125</v>
      </c>
      <c r="D11" s="1" t="s">
        <v>51</v>
      </c>
    </row>
    <row r="13" spans="1:9" ht="20.100000000000001" customHeight="1" x14ac:dyDescent="0.25">
      <c r="A13" s="318" t="s">
        <v>424</v>
      </c>
      <c r="B13" s="316" t="s">
        <v>1</v>
      </c>
      <c r="C13" s="316" t="s">
        <v>2</v>
      </c>
      <c r="D13" s="316" t="s">
        <v>469</v>
      </c>
      <c r="E13" s="316" t="s">
        <v>470</v>
      </c>
      <c r="F13" s="316" t="s">
        <v>471</v>
      </c>
      <c r="G13" s="316" t="s">
        <v>472</v>
      </c>
      <c r="H13" s="316" t="s">
        <v>473</v>
      </c>
      <c r="I13" s="319" t="s">
        <v>474</v>
      </c>
    </row>
    <row r="14" spans="1:9" ht="20.100000000000001" customHeight="1" x14ac:dyDescent="0.25">
      <c r="A14" s="315">
        <v>1</v>
      </c>
      <c r="B14" s="320" t="s">
        <v>521</v>
      </c>
      <c r="C14" s="272">
        <v>1</v>
      </c>
      <c r="D14" s="272">
        <v>1.5</v>
      </c>
      <c r="E14" s="272">
        <v>1.5</v>
      </c>
      <c r="F14" s="272">
        <v>0.125</v>
      </c>
      <c r="G14" s="272"/>
      <c r="H14" s="272">
        <f>C14*(D14*E14*F14)</f>
        <v>0.28125</v>
      </c>
      <c r="I14" s="272">
        <f>C14*(D14+E14)*F14</f>
        <v>0.375</v>
      </c>
    </row>
    <row r="15" spans="1:9" ht="20.100000000000001" customHeight="1" x14ac:dyDescent="0.25">
      <c r="A15" s="315">
        <v>2</v>
      </c>
      <c r="B15" s="320" t="s">
        <v>522</v>
      </c>
      <c r="C15" s="272">
        <v>1</v>
      </c>
      <c r="D15" s="272">
        <v>4.4000000000000004</v>
      </c>
      <c r="E15" s="272">
        <v>1.5</v>
      </c>
      <c r="F15" s="272">
        <v>0.125</v>
      </c>
      <c r="G15" s="272"/>
      <c r="H15" s="272">
        <f t="shared" ref="H15:H29" si="0">C15*(D15*E15*F15)</f>
        <v>0.82500000000000007</v>
      </c>
      <c r="I15" s="272">
        <f t="shared" ref="I15:I53" si="1">C15*(D15+E15)*F15</f>
        <v>0.73750000000000004</v>
      </c>
    </row>
    <row r="16" spans="1:9" ht="20.100000000000001" customHeight="1" x14ac:dyDescent="0.25">
      <c r="A16" s="315">
        <v>3</v>
      </c>
      <c r="B16" s="320" t="s">
        <v>523</v>
      </c>
      <c r="C16" s="272">
        <v>1</v>
      </c>
      <c r="D16" s="272">
        <v>2.1</v>
      </c>
      <c r="E16" s="272">
        <v>1.5</v>
      </c>
      <c r="F16" s="272">
        <v>0.125</v>
      </c>
      <c r="G16" s="272"/>
      <c r="H16" s="272">
        <f t="shared" si="0"/>
        <v>0.39375000000000004</v>
      </c>
      <c r="I16" s="272">
        <f t="shared" si="1"/>
        <v>0.45</v>
      </c>
    </row>
    <row r="17" spans="1:9" ht="20.100000000000001" customHeight="1" x14ac:dyDescent="0.25">
      <c r="A17" s="315">
        <v>4</v>
      </c>
      <c r="B17" s="320" t="s">
        <v>524</v>
      </c>
      <c r="C17" s="272">
        <v>1</v>
      </c>
      <c r="D17" s="272">
        <v>4.5</v>
      </c>
      <c r="E17" s="272">
        <v>1.5</v>
      </c>
      <c r="F17" s="272">
        <v>0.125</v>
      </c>
      <c r="G17" s="272"/>
      <c r="H17" s="272">
        <f t="shared" si="0"/>
        <v>0.84375</v>
      </c>
      <c r="I17" s="272">
        <f t="shared" si="1"/>
        <v>0.75</v>
      </c>
    </row>
    <row r="18" spans="1:9" ht="20.100000000000001" customHeight="1" x14ac:dyDescent="0.25">
      <c r="A18" s="315">
        <v>5</v>
      </c>
      <c r="B18" s="320" t="s">
        <v>525</v>
      </c>
      <c r="C18" s="272">
        <v>1</v>
      </c>
      <c r="D18" s="272">
        <v>1.5</v>
      </c>
      <c r="E18" s="272">
        <v>1.5</v>
      </c>
      <c r="F18" s="272">
        <v>0.125</v>
      </c>
      <c r="G18" s="272"/>
      <c r="H18" s="272">
        <f t="shared" si="0"/>
        <v>0.28125</v>
      </c>
      <c r="I18" s="272">
        <f t="shared" si="1"/>
        <v>0.375</v>
      </c>
    </row>
    <row r="19" spans="1:9" ht="20.100000000000001" customHeight="1" x14ac:dyDescent="0.25">
      <c r="A19" s="315">
        <v>6</v>
      </c>
      <c r="B19" s="320" t="s">
        <v>526</v>
      </c>
      <c r="C19" s="272">
        <v>1</v>
      </c>
      <c r="D19" s="272">
        <v>1.5</v>
      </c>
      <c r="E19" s="272">
        <v>5.2389999999999999</v>
      </c>
      <c r="F19" s="272">
        <v>0.125</v>
      </c>
      <c r="G19" s="272"/>
      <c r="H19" s="272">
        <f t="shared" si="0"/>
        <v>0.98231249999999992</v>
      </c>
      <c r="I19" s="272">
        <f t="shared" si="1"/>
        <v>0.84237499999999998</v>
      </c>
    </row>
    <row r="20" spans="1:9" ht="20.100000000000001" customHeight="1" x14ac:dyDescent="0.25">
      <c r="A20" s="315">
        <v>7</v>
      </c>
      <c r="B20" s="320" t="s">
        <v>527</v>
      </c>
      <c r="C20" s="272">
        <v>1</v>
      </c>
      <c r="D20" s="272">
        <v>2.9</v>
      </c>
      <c r="E20" s="272">
        <v>5.2</v>
      </c>
      <c r="F20" s="272">
        <v>0.125</v>
      </c>
      <c r="G20" s="272"/>
      <c r="H20" s="272">
        <f t="shared" si="0"/>
        <v>1.885</v>
      </c>
      <c r="I20" s="272">
        <f t="shared" si="1"/>
        <v>1.0125</v>
      </c>
    </row>
    <row r="21" spans="1:9" ht="20.100000000000001" customHeight="1" x14ac:dyDescent="0.25">
      <c r="A21" s="315">
        <v>8</v>
      </c>
      <c r="B21" s="320" t="s">
        <v>528</v>
      </c>
      <c r="C21" s="272">
        <v>1</v>
      </c>
      <c r="D21" s="272">
        <v>3.1619999999999999</v>
      </c>
      <c r="E21" s="272"/>
      <c r="F21" s="272">
        <v>0.125</v>
      </c>
      <c r="G21" s="272"/>
      <c r="H21" s="272">
        <f>C21*(D21*F21)</f>
        <v>0.39524999999999999</v>
      </c>
      <c r="I21" s="272">
        <f t="shared" si="1"/>
        <v>0.39524999999999999</v>
      </c>
    </row>
    <row r="22" spans="1:9" ht="20.100000000000001" customHeight="1" x14ac:dyDescent="0.25">
      <c r="A22" s="315">
        <v>9</v>
      </c>
      <c r="B22" s="320" t="s">
        <v>529</v>
      </c>
      <c r="C22" s="272">
        <v>1</v>
      </c>
      <c r="D22" s="272">
        <v>1.4</v>
      </c>
      <c r="E22" s="272">
        <v>2.5</v>
      </c>
      <c r="F22" s="272">
        <v>0.125</v>
      </c>
      <c r="G22" s="272"/>
      <c r="H22" s="272">
        <f t="shared" si="0"/>
        <v>0.4375</v>
      </c>
      <c r="I22" s="272">
        <f t="shared" si="1"/>
        <v>0.48749999999999999</v>
      </c>
    </row>
    <row r="23" spans="1:9" ht="20.100000000000001" customHeight="1" x14ac:dyDescent="0.25">
      <c r="A23" s="315">
        <v>10</v>
      </c>
      <c r="B23" s="320" t="s">
        <v>530</v>
      </c>
      <c r="C23" s="272">
        <v>1</v>
      </c>
      <c r="D23" s="272">
        <v>4.75</v>
      </c>
      <c r="E23" s="272">
        <v>3.6</v>
      </c>
      <c r="F23" s="272">
        <v>0.125</v>
      </c>
      <c r="G23" s="272"/>
      <c r="H23" s="272">
        <f t="shared" si="0"/>
        <v>2.1375000000000002</v>
      </c>
      <c r="I23" s="272">
        <f t="shared" si="1"/>
        <v>1.04375</v>
      </c>
    </row>
    <row r="24" spans="1:9" ht="20.100000000000001" customHeight="1" x14ac:dyDescent="0.25">
      <c r="A24" s="315">
        <v>11</v>
      </c>
      <c r="B24" s="320" t="s">
        <v>531</v>
      </c>
      <c r="C24" s="272">
        <v>1</v>
      </c>
      <c r="D24" s="272">
        <v>6.8179999999999996</v>
      </c>
      <c r="E24" s="272"/>
      <c r="F24" s="272">
        <v>0.125</v>
      </c>
      <c r="G24" s="272"/>
      <c r="H24" s="272">
        <f>C24*(D24*F24)</f>
        <v>0.85224999999999995</v>
      </c>
      <c r="I24" s="272">
        <f t="shared" si="1"/>
        <v>0.85224999999999995</v>
      </c>
    </row>
    <row r="25" spans="1:9" ht="20.100000000000001" customHeight="1" x14ac:dyDescent="0.25">
      <c r="A25" s="315">
        <v>12</v>
      </c>
      <c r="B25" s="320" t="s">
        <v>532</v>
      </c>
      <c r="C25" s="272">
        <v>1</v>
      </c>
      <c r="D25" s="272">
        <v>1.5</v>
      </c>
      <c r="E25" s="272">
        <v>3.55</v>
      </c>
      <c r="F25" s="272">
        <v>0.125</v>
      </c>
      <c r="G25" s="272"/>
      <c r="H25" s="272">
        <f t="shared" si="0"/>
        <v>0.66562499999999991</v>
      </c>
      <c r="I25" s="272">
        <f t="shared" si="1"/>
        <v>0.63124999999999998</v>
      </c>
    </row>
    <row r="26" spans="1:9" ht="20.100000000000001" customHeight="1" x14ac:dyDescent="0.25">
      <c r="A26" s="315">
        <v>13</v>
      </c>
      <c r="B26" s="320" t="s">
        <v>533</v>
      </c>
      <c r="C26" s="272">
        <v>1</v>
      </c>
      <c r="D26" s="272">
        <v>1.5</v>
      </c>
      <c r="E26" s="272">
        <v>3.79</v>
      </c>
      <c r="F26" s="272">
        <v>0.125</v>
      </c>
      <c r="G26" s="272"/>
      <c r="H26" s="272">
        <f t="shared" si="0"/>
        <v>0.71062500000000006</v>
      </c>
      <c r="I26" s="272">
        <f t="shared" si="1"/>
        <v>0.66125</v>
      </c>
    </row>
    <row r="27" spans="1:9" ht="20.100000000000001" customHeight="1" x14ac:dyDescent="0.25">
      <c r="A27" s="315">
        <v>14</v>
      </c>
      <c r="B27" s="320" t="s">
        <v>534</v>
      </c>
      <c r="C27" s="272">
        <v>1</v>
      </c>
      <c r="D27" s="272">
        <v>1.74</v>
      </c>
      <c r="E27" s="272">
        <v>3.34</v>
      </c>
      <c r="F27" s="272">
        <v>0.125</v>
      </c>
      <c r="G27" s="272"/>
      <c r="H27" s="272">
        <f t="shared" si="0"/>
        <v>0.72644999999999993</v>
      </c>
      <c r="I27" s="272">
        <f t="shared" si="1"/>
        <v>0.63500000000000001</v>
      </c>
    </row>
    <row r="28" spans="1:9" ht="20.100000000000001" customHeight="1" x14ac:dyDescent="0.25">
      <c r="A28" s="315">
        <v>15</v>
      </c>
      <c r="B28" s="320" t="s">
        <v>535</v>
      </c>
      <c r="C28" s="272">
        <v>1</v>
      </c>
      <c r="D28" s="272">
        <v>4.75</v>
      </c>
      <c r="E28" s="272">
        <v>3.74</v>
      </c>
      <c r="F28" s="272">
        <v>0.125</v>
      </c>
      <c r="G28" s="272"/>
      <c r="H28" s="272">
        <f t="shared" si="0"/>
        <v>2.2206250000000001</v>
      </c>
      <c r="I28" s="272">
        <f t="shared" si="1"/>
        <v>1.06125</v>
      </c>
    </row>
    <row r="29" spans="1:9" ht="20.100000000000001" customHeight="1" x14ac:dyDescent="0.25">
      <c r="A29" s="315">
        <v>16</v>
      </c>
      <c r="B29" s="320" t="s">
        <v>536</v>
      </c>
      <c r="C29" s="272">
        <v>1</v>
      </c>
      <c r="D29" s="272">
        <v>1.2</v>
      </c>
      <c r="E29" s="272">
        <v>2.14</v>
      </c>
      <c r="F29" s="272">
        <v>0.125</v>
      </c>
      <c r="G29" s="272"/>
      <c r="H29" s="272">
        <f t="shared" si="0"/>
        <v>0.32100000000000001</v>
      </c>
      <c r="I29" s="272">
        <f t="shared" si="1"/>
        <v>0.41749999999999998</v>
      </c>
    </row>
    <row r="30" spans="1:9" ht="20.100000000000001" customHeight="1" x14ac:dyDescent="0.25">
      <c r="A30" s="315">
        <v>16</v>
      </c>
      <c r="B30" s="320" t="s">
        <v>537</v>
      </c>
      <c r="C30" s="272">
        <v>1</v>
      </c>
      <c r="D30" s="272">
        <v>3.1</v>
      </c>
      <c r="E30" s="272">
        <v>2.14</v>
      </c>
      <c r="F30" s="272">
        <v>0.125</v>
      </c>
      <c r="G30" s="272"/>
      <c r="H30" s="272">
        <f t="shared" ref="H30:H47" si="2">C30*(D30*E30*F30)</f>
        <v>0.82925000000000004</v>
      </c>
      <c r="I30" s="272">
        <f t="shared" si="1"/>
        <v>0.65500000000000003</v>
      </c>
    </row>
    <row r="31" spans="1:9" ht="20.100000000000001" customHeight="1" x14ac:dyDescent="0.25">
      <c r="A31" s="315">
        <v>16</v>
      </c>
      <c r="B31" s="320" t="s">
        <v>538</v>
      </c>
      <c r="C31" s="272">
        <v>1</v>
      </c>
      <c r="D31" s="272">
        <v>1.5</v>
      </c>
      <c r="E31" s="272">
        <v>2.1</v>
      </c>
      <c r="F31" s="272">
        <v>0.125</v>
      </c>
      <c r="G31" s="272"/>
      <c r="H31" s="272">
        <f t="shared" si="2"/>
        <v>0.39375000000000004</v>
      </c>
      <c r="I31" s="272">
        <f t="shared" si="1"/>
        <v>0.45</v>
      </c>
    </row>
    <row r="32" spans="1:9" ht="20.100000000000001" customHeight="1" x14ac:dyDescent="0.25">
      <c r="A32" s="315">
        <v>16</v>
      </c>
      <c r="B32" s="320" t="s">
        <v>539</v>
      </c>
      <c r="C32" s="272">
        <v>1</v>
      </c>
      <c r="D32" s="272">
        <v>4.8</v>
      </c>
      <c r="E32" s="272">
        <v>3.641</v>
      </c>
      <c r="F32" s="272">
        <v>0.125</v>
      </c>
      <c r="G32" s="272"/>
      <c r="H32" s="272">
        <f t="shared" si="2"/>
        <v>2.1846000000000001</v>
      </c>
      <c r="I32" s="272">
        <f t="shared" si="1"/>
        <v>1.0551249999999999</v>
      </c>
    </row>
    <row r="33" spans="1:9" ht="20.100000000000001" customHeight="1" x14ac:dyDescent="0.25">
      <c r="A33" s="315">
        <v>16</v>
      </c>
      <c r="B33" s="320" t="s">
        <v>540</v>
      </c>
      <c r="C33" s="272">
        <v>1</v>
      </c>
      <c r="D33" s="272">
        <v>1.5</v>
      </c>
      <c r="E33" s="272">
        <v>4</v>
      </c>
      <c r="F33" s="272">
        <v>0.125</v>
      </c>
      <c r="G33" s="272"/>
      <c r="H33" s="272">
        <f t="shared" si="2"/>
        <v>0.75</v>
      </c>
      <c r="I33" s="272">
        <f t="shared" si="1"/>
        <v>0.6875</v>
      </c>
    </row>
    <row r="34" spans="1:9" ht="20.100000000000001" customHeight="1" x14ac:dyDescent="0.25">
      <c r="A34" s="315">
        <v>16</v>
      </c>
      <c r="B34" s="320" t="s">
        <v>541</v>
      </c>
      <c r="C34" s="272">
        <v>1</v>
      </c>
      <c r="D34" s="272">
        <v>4.5</v>
      </c>
      <c r="E34" s="272">
        <v>4</v>
      </c>
      <c r="F34" s="272">
        <v>0.125</v>
      </c>
      <c r="G34" s="272"/>
      <c r="H34" s="272">
        <f t="shared" si="2"/>
        <v>2.25</v>
      </c>
      <c r="I34" s="272">
        <f t="shared" si="1"/>
        <v>1.0625</v>
      </c>
    </row>
    <row r="35" spans="1:9" ht="20.100000000000001" customHeight="1" x14ac:dyDescent="0.25">
      <c r="A35" s="315">
        <v>16</v>
      </c>
      <c r="B35" s="320" t="s">
        <v>542</v>
      </c>
      <c r="C35" s="272">
        <v>1</v>
      </c>
      <c r="D35" s="272">
        <v>6.7</v>
      </c>
      <c r="E35" s="272">
        <v>4</v>
      </c>
      <c r="F35" s="272">
        <v>0.125</v>
      </c>
      <c r="G35" s="272"/>
      <c r="H35" s="272">
        <f t="shared" si="2"/>
        <v>3.35</v>
      </c>
      <c r="I35" s="272">
        <f t="shared" si="1"/>
        <v>1.3374999999999999</v>
      </c>
    </row>
    <row r="36" spans="1:9" ht="20.100000000000001" customHeight="1" x14ac:dyDescent="0.25">
      <c r="A36" s="315">
        <v>16</v>
      </c>
      <c r="B36" s="320" t="s">
        <v>543</v>
      </c>
      <c r="C36" s="272">
        <v>1</v>
      </c>
      <c r="D36" s="272">
        <v>1.5</v>
      </c>
      <c r="E36" s="272">
        <v>4</v>
      </c>
      <c r="F36" s="272">
        <v>0.125</v>
      </c>
      <c r="G36" s="272"/>
      <c r="H36" s="272">
        <f t="shared" si="2"/>
        <v>0.75</v>
      </c>
      <c r="I36" s="272">
        <f t="shared" si="1"/>
        <v>0.6875</v>
      </c>
    </row>
    <row r="37" spans="1:9" ht="20.100000000000001" customHeight="1" x14ac:dyDescent="0.25">
      <c r="A37" s="315">
        <v>16</v>
      </c>
      <c r="B37" s="320" t="s">
        <v>544</v>
      </c>
      <c r="C37" s="272">
        <v>1</v>
      </c>
      <c r="D37" s="272">
        <v>1.5</v>
      </c>
      <c r="E37" s="272">
        <v>1.1000000000000001</v>
      </c>
      <c r="F37" s="272">
        <v>0.125</v>
      </c>
      <c r="G37" s="272"/>
      <c r="H37" s="272">
        <f t="shared" si="2"/>
        <v>0.20625000000000002</v>
      </c>
      <c r="I37" s="272">
        <f t="shared" si="1"/>
        <v>0.32500000000000001</v>
      </c>
    </row>
    <row r="38" spans="1:9" ht="20.100000000000001" customHeight="1" x14ac:dyDescent="0.25">
      <c r="A38" s="315">
        <v>16</v>
      </c>
      <c r="B38" s="320" t="s">
        <v>545</v>
      </c>
      <c r="C38" s="272">
        <v>1</v>
      </c>
      <c r="D38" s="272">
        <v>1.9</v>
      </c>
      <c r="E38" s="272">
        <v>1.45</v>
      </c>
      <c r="F38" s="272">
        <v>0.125</v>
      </c>
      <c r="G38" s="272"/>
      <c r="H38" s="272">
        <f t="shared" si="2"/>
        <v>0.34437499999999999</v>
      </c>
      <c r="I38" s="272">
        <f t="shared" si="1"/>
        <v>0.41874999999999996</v>
      </c>
    </row>
    <row r="39" spans="1:9" ht="20.100000000000001" customHeight="1" x14ac:dyDescent="0.25">
      <c r="A39" s="315">
        <v>16</v>
      </c>
      <c r="B39" s="320" t="s">
        <v>546</v>
      </c>
      <c r="C39" s="272">
        <v>1</v>
      </c>
      <c r="D39" s="272">
        <v>1</v>
      </c>
      <c r="E39" s="272">
        <v>0.95</v>
      </c>
      <c r="F39" s="272">
        <v>0.125</v>
      </c>
      <c r="G39" s="272"/>
      <c r="H39" s="272">
        <f t="shared" si="2"/>
        <v>0.11874999999999999</v>
      </c>
      <c r="I39" s="272">
        <f t="shared" si="1"/>
        <v>0.24374999999999999</v>
      </c>
    </row>
    <row r="40" spans="1:9" ht="20.100000000000001" customHeight="1" x14ac:dyDescent="0.25">
      <c r="A40" s="315">
        <v>16</v>
      </c>
      <c r="B40" s="320" t="s">
        <v>547</v>
      </c>
      <c r="C40" s="272">
        <v>1</v>
      </c>
      <c r="D40" s="272">
        <v>1.95</v>
      </c>
      <c r="E40" s="272">
        <v>4</v>
      </c>
      <c r="F40" s="272">
        <v>0.125</v>
      </c>
      <c r="G40" s="272"/>
      <c r="H40" s="272">
        <f t="shared" si="2"/>
        <v>0.97499999999999998</v>
      </c>
      <c r="I40" s="272">
        <f t="shared" si="1"/>
        <v>0.74375000000000002</v>
      </c>
    </row>
    <row r="41" spans="1:9" ht="20.100000000000001" customHeight="1" x14ac:dyDescent="0.25">
      <c r="A41" s="315">
        <v>16</v>
      </c>
      <c r="B41" s="320" t="s">
        <v>548</v>
      </c>
      <c r="C41" s="272">
        <v>1</v>
      </c>
      <c r="D41" s="272">
        <v>1.7</v>
      </c>
      <c r="E41" s="272">
        <v>1</v>
      </c>
      <c r="F41" s="272">
        <v>0.125</v>
      </c>
      <c r="G41" s="272"/>
      <c r="H41" s="272">
        <f t="shared" si="2"/>
        <v>0.21249999999999999</v>
      </c>
      <c r="I41" s="272">
        <f t="shared" si="1"/>
        <v>0.33750000000000002</v>
      </c>
    </row>
    <row r="42" spans="1:9" ht="20.100000000000001" customHeight="1" x14ac:dyDescent="0.25">
      <c r="A42" s="315">
        <v>16</v>
      </c>
      <c r="B42" s="320" t="s">
        <v>549</v>
      </c>
      <c r="C42" s="272">
        <v>1</v>
      </c>
      <c r="D42" s="272">
        <v>4.0999999999999996</v>
      </c>
      <c r="E42" s="272">
        <v>4</v>
      </c>
      <c r="F42" s="272">
        <v>0.125</v>
      </c>
      <c r="G42" s="272"/>
      <c r="H42" s="272">
        <f t="shared" si="2"/>
        <v>2.0499999999999998</v>
      </c>
      <c r="I42" s="272">
        <f t="shared" si="1"/>
        <v>1.0125</v>
      </c>
    </row>
    <row r="43" spans="1:9" ht="20.100000000000001" customHeight="1" x14ac:dyDescent="0.25">
      <c r="A43" s="315">
        <v>16</v>
      </c>
      <c r="B43" s="320" t="s">
        <v>550</v>
      </c>
      <c r="C43" s="272">
        <v>1</v>
      </c>
      <c r="D43" s="272">
        <v>1.5</v>
      </c>
      <c r="E43" s="272">
        <v>1.1000000000000001</v>
      </c>
      <c r="F43" s="272">
        <v>0.125</v>
      </c>
      <c r="G43" s="272"/>
      <c r="H43" s="272">
        <f t="shared" si="2"/>
        <v>0.20625000000000002</v>
      </c>
      <c r="I43" s="272">
        <f t="shared" si="1"/>
        <v>0.32500000000000001</v>
      </c>
    </row>
    <row r="44" spans="1:9" ht="20.100000000000001" customHeight="1" x14ac:dyDescent="0.25">
      <c r="A44" s="315">
        <v>16</v>
      </c>
      <c r="B44" s="320" t="s">
        <v>551</v>
      </c>
      <c r="C44" s="272">
        <v>1</v>
      </c>
      <c r="D44" s="272">
        <v>1.5</v>
      </c>
      <c r="E44" s="272">
        <v>2.72</v>
      </c>
      <c r="F44" s="272">
        <v>0.125</v>
      </c>
      <c r="G44" s="272"/>
      <c r="H44" s="272">
        <f t="shared" si="2"/>
        <v>0.51</v>
      </c>
      <c r="I44" s="272">
        <f t="shared" si="1"/>
        <v>0.52750000000000008</v>
      </c>
    </row>
    <row r="45" spans="1:9" ht="20.100000000000001" customHeight="1" x14ac:dyDescent="0.25">
      <c r="A45" s="315">
        <v>16</v>
      </c>
      <c r="B45" s="320" t="s">
        <v>552</v>
      </c>
      <c r="C45" s="272">
        <v>1</v>
      </c>
      <c r="D45" s="272">
        <v>4.0979999999999999</v>
      </c>
      <c r="E45" s="272"/>
      <c r="F45" s="272">
        <v>0.125</v>
      </c>
      <c r="G45" s="272"/>
      <c r="H45" s="272">
        <f>C45*(D45*F45)</f>
        <v>0.51224999999999998</v>
      </c>
      <c r="I45" s="272">
        <f t="shared" si="1"/>
        <v>0.51224999999999998</v>
      </c>
    </row>
    <row r="46" spans="1:9" ht="20.100000000000001" customHeight="1" x14ac:dyDescent="0.25">
      <c r="A46" s="315">
        <v>16</v>
      </c>
      <c r="B46" s="320" t="s">
        <v>553</v>
      </c>
      <c r="C46" s="272">
        <v>1</v>
      </c>
      <c r="D46" s="272">
        <v>7.77</v>
      </c>
      <c r="E46" s="272"/>
      <c r="F46" s="272">
        <v>0.125</v>
      </c>
      <c r="G46" s="272"/>
      <c r="H46" s="272">
        <f>C46*(D46*F46)</f>
        <v>0.97124999999999995</v>
      </c>
      <c r="I46" s="272">
        <f t="shared" si="1"/>
        <v>0.97124999999999995</v>
      </c>
    </row>
    <row r="47" spans="1:9" ht="20.100000000000001" customHeight="1" x14ac:dyDescent="0.25">
      <c r="A47" s="315">
        <v>16</v>
      </c>
      <c r="B47" s="320" t="s">
        <v>554</v>
      </c>
      <c r="C47" s="272">
        <v>1</v>
      </c>
      <c r="D47" s="272">
        <v>1.5</v>
      </c>
      <c r="E47" s="272">
        <v>2.7</v>
      </c>
      <c r="F47" s="272">
        <v>0.125</v>
      </c>
      <c r="G47" s="272"/>
      <c r="H47" s="272">
        <f t="shared" si="2"/>
        <v>0.50625000000000009</v>
      </c>
      <c r="I47" s="272">
        <f t="shared" si="1"/>
        <v>0.52500000000000002</v>
      </c>
    </row>
    <row r="48" spans="1:9" ht="20.100000000000001" customHeight="1" x14ac:dyDescent="0.25">
      <c r="A48" s="315">
        <v>16</v>
      </c>
      <c r="B48" s="320" t="s">
        <v>555</v>
      </c>
      <c r="C48" s="272">
        <v>1</v>
      </c>
      <c r="D48" s="272">
        <v>1.5</v>
      </c>
      <c r="E48" s="272">
        <v>1.5</v>
      </c>
      <c r="F48" s="272">
        <v>0.125</v>
      </c>
      <c r="G48" s="272"/>
      <c r="H48" s="272">
        <f t="shared" ref="H48:H53" si="3">C48*(D48*E48*F48)</f>
        <v>0.28125</v>
      </c>
      <c r="I48" s="272">
        <f t="shared" si="1"/>
        <v>0.375</v>
      </c>
    </row>
    <row r="49" spans="1:9" ht="20.100000000000001" customHeight="1" x14ac:dyDescent="0.25">
      <c r="A49" s="315">
        <v>16</v>
      </c>
      <c r="B49" s="320" t="s">
        <v>556</v>
      </c>
      <c r="C49" s="272">
        <v>1</v>
      </c>
      <c r="D49" s="272">
        <v>3.05</v>
      </c>
      <c r="E49" s="272">
        <v>1.5</v>
      </c>
      <c r="F49" s="272">
        <v>0.125</v>
      </c>
      <c r="G49" s="272"/>
      <c r="H49" s="272">
        <f t="shared" si="3"/>
        <v>0.57187499999999991</v>
      </c>
      <c r="I49" s="272">
        <f t="shared" si="1"/>
        <v>0.56874999999999998</v>
      </c>
    </row>
    <row r="50" spans="1:9" ht="20.100000000000001" customHeight="1" x14ac:dyDescent="0.25">
      <c r="A50" s="315">
        <v>16</v>
      </c>
      <c r="B50" s="320" t="s">
        <v>557</v>
      </c>
      <c r="C50" s="272">
        <v>1</v>
      </c>
      <c r="D50" s="272">
        <v>1.7130000000000001</v>
      </c>
      <c r="E50" s="272">
        <v>1.5</v>
      </c>
      <c r="F50" s="272">
        <v>0.125</v>
      </c>
      <c r="G50" s="272"/>
      <c r="H50" s="272">
        <f t="shared" si="3"/>
        <v>0.32118750000000001</v>
      </c>
      <c r="I50" s="272">
        <f t="shared" si="1"/>
        <v>0.40162500000000001</v>
      </c>
    </row>
    <row r="51" spans="1:9" ht="20.100000000000001" customHeight="1" x14ac:dyDescent="0.25">
      <c r="A51" s="315">
        <v>16</v>
      </c>
      <c r="B51" s="320" t="s">
        <v>558</v>
      </c>
      <c r="C51" s="272">
        <v>1</v>
      </c>
      <c r="D51" s="272">
        <v>2.1720000000000002</v>
      </c>
      <c r="E51" s="272">
        <v>1.5</v>
      </c>
      <c r="F51" s="272">
        <v>0.125</v>
      </c>
      <c r="G51" s="272"/>
      <c r="H51" s="272">
        <f t="shared" si="3"/>
        <v>0.40725</v>
      </c>
      <c r="I51" s="272">
        <f t="shared" si="1"/>
        <v>0.45900000000000002</v>
      </c>
    </row>
    <row r="52" spans="1:9" ht="20.100000000000001" customHeight="1" x14ac:dyDescent="0.25">
      <c r="A52" s="315">
        <v>16</v>
      </c>
      <c r="B52" s="320" t="s">
        <v>559</v>
      </c>
      <c r="C52" s="272">
        <v>1</v>
      </c>
      <c r="D52" s="272">
        <v>3.8650000000000002</v>
      </c>
      <c r="E52" s="272">
        <v>1.5</v>
      </c>
      <c r="F52" s="272">
        <v>0.125</v>
      </c>
      <c r="G52" s="272"/>
      <c r="H52" s="272">
        <f t="shared" si="3"/>
        <v>0.72468750000000004</v>
      </c>
      <c r="I52" s="272">
        <f t="shared" si="1"/>
        <v>0.67062500000000003</v>
      </c>
    </row>
    <row r="53" spans="1:9" ht="20.100000000000001" customHeight="1" x14ac:dyDescent="0.25">
      <c r="A53" s="315">
        <v>16</v>
      </c>
      <c r="B53" s="320" t="s">
        <v>560</v>
      </c>
      <c r="C53" s="272">
        <v>1</v>
      </c>
      <c r="D53" s="272">
        <v>1.5</v>
      </c>
      <c r="E53" s="272">
        <v>1.5</v>
      </c>
      <c r="F53" s="272">
        <v>0.125</v>
      </c>
      <c r="G53" s="272"/>
      <c r="H53" s="272">
        <f t="shared" si="3"/>
        <v>0.28125</v>
      </c>
      <c r="I53" s="272">
        <f t="shared" si="1"/>
        <v>0.375</v>
      </c>
    </row>
    <row r="54" spans="1:9" ht="20.100000000000001" customHeight="1" x14ac:dyDescent="0.25">
      <c r="A54" s="315">
        <v>16</v>
      </c>
      <c r="B54" s="320" t="s">
        <v>595</v>
      </c>
      <c r="C54" s="272">
        <v>1</v>
      </c>
      <c r="D54" s="272">
        <v>6</v>
      </c>
      <c r="E54" s="272">
        <v>5.6</v>
      </c>
      <c r="F54" s="272">
        <v>0.125</v>
      </c>
      <c r="G54" s="272"/>
      <c r="H54" s="272">
        <f t="shared" ref="H54" si="4">C54*(D54*E54*F54)</f>
        <v>4.1999999999999993</v>
      </c>
      <c r="I54" s="272">
        <f t="shared" ref="I54" si="5">C54*(D54+E54)*F54</f>
        <v>1.45</v>
      </c>
    </row>
    <row r="55" spans="1:9" ht="20.100000000000001" customHeight="1" x14ac:dyDescent="0.25">
      <c r="A55" s="315">
        <v>16</v>
      </c>
      <c r="B55" s="320" t="s">
        <v>595</v>
      </c>
      <c r="C55" s="272">
        <v>1</v>
      </c>
      <c r="D55" s="272">
        <v>3.5</v>
      </c>
      <c r="E55" s="272">
        <v>2.8</v>
      </c>
      <c r="F55" s="272">
        <v>0.125</v>
      </c>
      <c r="G55" s="272"/>
      <c r="H55" s="272">
        <f t="shared" ref="H55:H57" si="6">C55*(D55*E55*F55)</f>
        <v>1.2249999999999999</v>
      </c>
      <c r="I55" s="272">
        <f t="shared" ref="I55:I57" si="7">C55*(D55+E55)*F55</f>
        <v>0.78749999999999998</v>
      </c>
    </row>
    <row r="56" spans="1:9" ht="20.100000000000001" customHeight="1" x14ac:dyDescent="0.25">
      <c r="A56" s="315">
        <v>16</v>
      </c>
      <c r="B56" s="320" t="s">
        <v>595</v>
      </c>
      <c r="C56" s="272">
        <v>1</v>
      </c>
      <c r="D56" s="272">
        <v>1.5</v>
      </c>
      <c r="E56" s="272">
        <v>1.1000000000000001</v>
      </c>
      <c r="F56" s="272">
        <v>0.125</v>
      </c>
      <c r="G56" s="272"/>
      <c r="H56" s="272">
        <f t="shared" si="6"/>
        <v>0.20625000000000002</v>
      </c>
      <c r="I56" s="272">
        <f t="shared" si="7"/>
        <v>0.32500000000000001</v>
      </c>
    </row>
    <row r="57" spans="1:9" ht="20.100000000000001" customHeight="1" x14ac:dyDescent="0.25">
      <c r="A57" s="315">
        <v>16</v>
      </c>
      <c r="B57" s="320" t="s">
        <v>595</v>
      </c>
      <c r="C57" s="272">
        <v>1</v>
      </c>
      <c r="D57" s="272">
        <v>2.4</v>
      </c>
      <c r="E57" s="272">
        <v>1.5</v>
      </c>
      <c r="F57" s="272">
        <v>0.125</v>
      </c>
      <c r="G57" s="272"/>
      <c r="H57" s="272">
        <f t="shared" si="6"/>
        <v>0.44999999999999996</v>
      </c>
      <c r="I57" s="272">
        <f t="shared" si="7"/>
        <v>0.48749999999999999</v>
      </c>
    </row>
    <row r="58" spans="1:9" ht="20.100000000000001" customHeight="1" x14ac:dyDescent="0.25">
      <c r="H58" s="323">
        <f>SUM(H14:H57)</f>
        <v>39.748362500000006</v>
      </c>
      <c r="I58" s="323">
        <f>SUM(I14:I57)</f>
        <v>28.504749999999994</v>
      </c>
    </row>
    <row r="61" spans="1:9" ht="20.100000000000001" customHeight="1" x14ac:dyDescent="0.25">
      <c r="A61" s="96" t="s">
        <v>561</v>
      </c>
    </row>
    <row r="62" spans="1:9" ht="20.100000000000001" customHeight="1" x14ac:dyDescent="0.25">
      <c r="A62" s="318" t="s">
        <v>424</v>
      </c>
      <c r="B62" s="316" t="s">
        <v>1</v>
      </c>
      <c r="C62" s="316" t="s">
        <v>2</v>
      </c>
      <c r="D62" s="316" t="s">
        <v>469</v>
      </c>
      <c r="E62" s="316" t="s">
        <v>470</v>
      </c>
      <c r="F62" s="316" t="s">
        <v>471</v>
      </c>
      <c r="G62" s="316" t="s">
        <v>472</v>
      </c>
      <c r="H62" s="316" t="s">
        <v>473</v>
      </c>
      <c r="I62" s="319" t="s">
        <v>474</v>
      </c>
    </row>
    <row r="63" spans="1:9" ht="20.100000000000001" customHeight="1" x14ac:dyDescent="0.25">
      <c r="A63" s="315">
        <v>1</v>
      </c>
      <c r="B63" s="320" t="s">
        <v>521</v>
      </c>
      <c r="C63" s="272">
        <v>1</v>
      </c>
      <c r="D63" s="272">
        <v>1.5</v>
      </c>
      <c r="E63" s="272">
        <v>1.5</v>
      </c>
      <c r="F63" s="272">
        <v>0.125</v>
      </c>
      <c r="G63" s="272"/>
      <c r="H63" s="272">
        <f>C63*(D63*E63*F63)</f>
        <v>0.28125</v>
      </c>
      <c r="I63" s="272">
        <f>C63*(D63*E63)</f>
        <v>2.25</v>
      </c>
    </row>
    <row r="64" spans="1:9" ht="20.100000000000001" customHeight="1" x14ac:dyDescent="0.25">
      <c r="A64" s="315">
        <v>2</v>
      </c>
      <c r="B64" s="320" t="s">
        <v>522</v>
      </c>
      <c r="C64" s="272">
        <v>1</v>
      </c>
      <c r="D64" s="272">
        <v>4.4000000000000004</v>
      </c>
      <c r="E64" s="272">
        <v>1.5</v>
      </c>
      <c r="F64" s="272">
        <v>0.125</v>
      </c>
      <c r="G64" s="272"/>
      <c r="H64" s="272">
        <f t="shared" ref="H64:H69" si="8">C64*(D64*E64*F64)</f>
        <v>0.82500000000000007</v>
      </c>
      <c r="I64" s="272">
        <f t="shared" ref="I64:I69" si="9">C64*(D64*E64)</f>
        <v>6.6000000000000005</v>
      </c>
    </row>
    <row r="65" spans="1:9" ht="20.100000000000001" customHeight="1" x14ac:dyDescent="0.25">
      <c r="A65" s="315">
        <v>3</v>
      </c>
      <c r="B65" s="320" t="s">
        <v>523</v>
      </c>
      <c r="C65" s="272">
        <v>1</v>
      </c>
      <c r="D65" s="272">
        <v>2.1</v>
      </c>
      <c r="E65" s="272">
        <v>1.5</v>
      </c>
      <c r="F65" s="272">
        <v>0.125</v>
      </c>
      <c r="G65" s="272"/>
      <c r="H65" s="272">
        <f t="shared" si="8"/>
        <v>0.39375000000000004</v>
      </c>
      <c r="I65" s="272">
        <f t="shared" si="9"/>
        <v>3.1500000000000004</v>
      </c>
    </row>
    <row r="66" spans="1:9" ht="20.100000000000001" customHeight="1" x14ac:dyDescent="0.25">
      <c r="A66" s="315">
        <v>4</v>
      </c>
      <c r="B66" s="320" t="s">
        <v>524</v>
      </c>
      <c r="C66" s="272">
        <v>1</v>
      </c>
      <c r="D66" s="272">
        <v>4.5</v>
      </c>
      <c r="E66" s="272">
        <v>1.5</v>
      </c>
      <c r="F66" s="272">
        <v>0.125</v>
      </c>
      <c r="G66" s="272"/>
      <c r="H66" s="272">
        <f t="shared" si="8"/>
        <v>0.84375</v>
      </c>
      <c r="I66" s="272">
        <f t="shared" si="9"/>
        <v>6.75</v>
      </c>
    </row>
    <row r="67" spans="1:9" ht="20.100000000000001" customHeight="1" x14ac:dyDescent="0.25">
      <c r="A67" s="315">
        <v>5</v>
      </c>
      <c r="B67" s="320" t="s">
        <v>525</v>
      </c>
      <c r="C67" s="272">
        <v>1</v>
      </c>
      <c r="D67" s="272">
        <v>1.5</v>
      </c>
      <c r="E67" s="272">
        <v>1.5</v>
      </c>
      <c r="F67" s="272">
        <v>0.125</v>
      </c>
      <c r="G67" s="272"/>
      <c r="H67" s="272">
        <f t="shared" si="8"/>
        <v>0.28125</v>
      </c>
      <c r="I67" s="272">
        <f t="shared" si="9"/>
        <v>2.25</v>
      </c>
    </row>
    <row r="68" spans="1:9" ht="20.100000000000001" customHeight="1" x14ac:dyDescent="0.25">
      <c r="A68" s="315">
        <v>6</v>
      </c>
      <c r="B68" s="320" t="s">
        <v>526</v>
      </c>
      <c r="C68" s="272">
        <v>1</v>
      </c>
      <c r="D68" s="272">
        <v>1.5</v>
      </c>
      <c r="E68" s="272">
        <v>5.2389999999999999</v>
      </c>
      <c r="F68" s="272">
        <v>0.125</v>
      </c>
      <c r="G68" s="272"/>
      <c r="H68" s="272">
        <f t="shared" si="8"/>
        <v>0.98231249999999992</v>
      </c>
      <c r="I68" s="272">
        <f t="shared" si="9"/>
        <v>7.8584999999999994</v>
      </c>
    </row>
    <row r="69" spans="1:9" ht="20.100000000000001" customHeight="1" x14ac:dyDescent="0.25">
      <c r="A69" s="315">
        <v>7</v>
      </c>
      <c r="B69" s="320" t="s">
        <v>527</v>
      </c>
      <c r="C69" s="272">
        <v>1</v>
      </c>
      <c r="D69" s="272">
        <v>4.5</v>
      </c>
      <c r="E69" s="272">
        <v>5.64</v>
      </c>
      <c r="F69" s="272">
        <v>0.17499999999999999</v>
      </c>
      <c r="G69" s="272"/>
      <c r="H69" s="272">
        <f t="shared" si="8"/>
        <v>4.4414999999999996</v>
      </c>
      <c r="I69" s="272">
        <f t="shared" si="9"/>
        <v>25.38</v>
      </c>
    </row>
    <row r="70" spans="1:9" ht="20.100000000000001" customHeight="1" x14ac:dyDescent="0.25">
      <c r="A70" s="315">
        <v>8</v>
      </c>
      <c r="B70" s="320" t="s">
        <v>528</v>
      </c>
      <c r="C70" s="272">
        <v>0</v>
      </c>
      <c r="D70" s="272"/>
      <c r="E70" s="272"/>
      <c r="F70" s="272">
        <v>0.125</v>
      </c>
      <c r="G70" s="272"/>
      <c r="H70" s="272">
        <f>C70*(D70*F70)</f>
        <v>0</v>
      </c>
      <c r="I70" s="272">
        <f>C70*(D70)</f>
        <v>0</v>
      </c>
    </row>
    <row r="71" spans="1:9" ht="20.100000000000001" customHeight="1" x14ac:dyDescent="0.25">
      <c r="A71" s="315">
        <v>9</v>
      </c>
      <c r="B71" s="320" t="s">
        <v>529</v>
      </c>
      <c r="C71" s="272">
        <v>1</v>
      </c>
      <c r="D71" s="272">
        <v>1.35</v>
      </c>
      <c r="E71" s="272">
        <v>1</v>
      </c>
      <c r="F71" s="272">
        <v>0.125</v>
      </c>
      <c r="G71" s="272"/>
      <c r="H71" s="272">
        <f t="shared" ref="H71:H72" si="10">C71*(D71*E71*F71)</f>
        <v>0.16875000000000001</v>
      </c>
      <c r="I71" s="272">
        <f t="shared" ref="I71:I72" si="11">C71*(D71*E71)</f>
        <v>1.35</v>
      </c>
    </row>
    <row r="72" spans="1:9" ht="20.100000000000001" customHeight="1" x14ac:dyDescent="0.25">
      <c r="A72" s="315">
        <v>10</v>
      </c>
      <c r="B72" s="320" t="s">
        <v>530</v>
      </c>
      <c r="C72" s="272">
        <v>1</v>
      </c>
      <c r="D72" s="272">
        <v>1.4</v>
      </c>
      <c r="E72" s="272">
        <v>2.4</v>
      </c>
      <c r="F72" s="272">
        <v>0.125</v>
      </c>
      <c r="G72" s="272"/>
      <c r="H72" s="272">
        <f t="shared" si="10"/>
        <v>0.42</v>
      </c>
      <c r="I72" s="272">
        <f t="shared" si="11"/>
        <v>3.36</v>
      </c>
    </row>
    <row r="73" spans="1:9" ht="20.100000000000001" customHeight="1" x14ac:dyDescent="0.25">
      <c r="A73" s="315">
        <v>11</v>
      </c>
      <c r="B73" s="320" t="s">
        <v>531</v>
      </c>
      <c r="C73" s="272">
        <v>1</v>
      </c>
      <c r="D73" s="272">
        <v>17.966999999999999</v>
      </c>
      <c r="E73" s="272"/>
      <c r="F73" s="272">
        <v>0.15</v>
      </c>
      <c r="G73" s="272"/>
      <c r="H73" s="272">
        <f>C73*(D73*F73)</f>
        <v>2.6950499999999997</v>
      </c>
      <c r="I73" s="272">
        <f>C73*(D73)</f>
        <v>17.966999999999999</v>
      </c>
    </row>
    <row r="74" spans="1:9" ht="20.100000000000001" customHeight="1" x14ac:dyDescent="0.25">
      <c r="A74" s="315">
        <v>12</v>
      </c>
      <c r="B74" s="320" t="s">
        <v>532</v>
      </c>
      <c r="C74" s="272">
        <v>1</v>
      </c>
      <c r="D74" s="272">
        <v>1.5</v>
      </c>
      <c r="E74" s="272">
        <v>3.55</v>
      </c>
      <c r="F74" s="272">
        <v>0.125</v>
      </c>
      <c r="G74" s="272"/>
      <c r="H74" s="272">
        <f t="shared" ref="H74:H93" si="12">C74*(D74*E74*F74)</f>
        <v>0.66562499999999991</v>
      </c>
      <c r="I74" s="272">
        <f t="shared" ref="I74:I93" si="13">C74*(D74*E74)</f>
        <v>5.3249999999999993</v>
      </c>
    </row>
    <row r="75" spans="1:9" ht="20.100000000000001" customHeight="1" x14ac:dyDescent="0.25">
      <c r="A75" s="315">
        <v>13</v>
      </c>
      <c r="B75" s="320" t="s">
        <v>533</v>
      </c>
      <c r="C75" s="272">
        <v>1</v>
      </c>
      <c r="D75" s="272">
        <v>1.5</v>
      </c>
      <c r="E75" s="272">
        <v>3.79</v>
      </c>
      <c r="F75" s="272">
        <v>0.125</v>
      </c>
      <c r="G75" s="272"/>
      <c r="H75" s="272">
        <f t="shared" si="12"/>
        <v>0.71062500000000006</v>
      </c>
      <c r="I75" s="272">
        <f t="shared" si="13"/>
        <v>5.6850000000000005</v>
      </c>
    </row>
    <row r="76" spans="1:9" ht="20.100000000000001" customHeight="1" x14ac:dyDescent="0.25">
      <c r="A76" s="315">
        <v>14</v>
      </c>
      <c r="B76" s="320" t="s">
        <v>534</v>
      </c>
      <c r="C76" s="272">
        <v>1</v>
      </c>
      <c r="D76" s="272">
        <v>6.2649999999999997</v>
      </c>
      <c r="E76" s="272"/>
      <c r="F76" s="272">
        <v>0.125</v>
      </c>
      <c r="G76" s="272"/>
      <c r="H76" s="272">
        <f>C76*(D76*F76)</f>
        <v>0.78312499999999996</v>
      </c>
      <c r="I76" s="272">
        <f>C76*(D76)</f>
        <v>6.2649999999999997</v>
      </c>
    </row>
    <row r="77" spans="1:9" ht="20.100000000000001" customHeight="1" x14ac:dyDescent="0.25">
      <c r="A77" s="315">
        <v>15</v>
      </c>
      <c r="B77" s="320" t="s">
        <v>535</v>
      </c>
      <c r="C77" s="272">
        <v>1</v>
      </c>
      <c r="D77" s="272">
        <v>1.1000000000000001</v>
      </c>
      <c r="E77" s="272">
        <v>3.74</v>
      </c>
      <c r="F77" s="272">
        <v>0.125</v>
      </c>
      <c r="G77" s="272"/>
      <c r="H77" s="272">
        <f t="shared" si="12"/>
        <v>0.5142500000000001</v>
      </c>
      <c r="I77" s="272">
        <f t="shared" si="13"/>
        <v>4.1140000000000008</v>
      </c>
    </row>
    <row r="78" spans="1:9" ht="20.100000000000001" customHeight="1" x14ac:dyDescent="0.25">
      <c r="A78" s="315">
        <v>16</v>
      </c>
      <c r="B78" s="320" t="s">
        <v>536</v>
      </c>
      <c r="C78" s="272">
        <v>1</v>
      </c>
      <c r="D78" s="272">
        <v>1.55</v>
      </c>
      <c r="E78" s="272">
        <v>1.7</v>
      </c>
      <c r="F78" s="272">
        <v>0.125</v>
      </c>
      <c r="G78" s="272"/>
      <c r="H78" s="272">
        <f t="shared" si="12"/>
        <v>0.32937499999999997</v>
      </c>
      <c r="I78" s="272">
        <f t="shared" si="13"/>
        <v>2.6349999999999998</v>
      </c>
    </row>
    <row r="79" spans="1:9" ht="20.100000000000001" customHeight="1" x14ac:dyDescent="0.25">
      <c r="A79" s="315">
        <v>16</v>
      </c>
      <c r="B79" s="320" t="s">
        <v>537</v>
      </c>
      <c r="C79" s="272">
        <v>1</v>
      </c>
      <c r="D79" s="272">
        <v>4.3</v>
      </c>
      <c r="E79" s="272"/>
      <c r="F79" s="272">
        <v>0.125</v>
      </c>
      <c r="G79" s="272"/>
      <c r="H79" s="272">
        <f>C79*(D79*F79)</f>
        <v>0.53749999999999998</v>
      </c>
      <c r="I79" s="272">
        <f>C79*(D79)</f>
        <v>4.3</v>
      </c>
    </row>
    <row r="80" spans="1:9" ht="20.100000000000001" customHeight="1" x14ac:dyDescent="0.25">
      <c r="A80" s="315">
        <v>16</v>
      </c>
      <c r="B80" s="320" t="s">
        <v>538</v>
      </c>
      <c r="C80" s="272">
        <v>1</v>
      </c>
      <c r="D80" s="272">
        <v>1.5</v>
      </c>
      <c r="E80" s="272">
        <v>2.1</v>
      </c>
      <c r="F80" s="272">
        <v>0.125</v>
      </c>
      <c r="G80" s="272"/>
      <c r="H80" s="272">
        <f t="shared" si="12"/>
        <v>0.39375000000000004</v>
      </c>
      <c r="I80" s="272">
        <f t="shared" si="13"/>
        <v>3.1500000000000004</v>
      </c>
    </row>
    <row r="81" spans="1:9" ht="20.100000000000001" customHeight="1" x14ac:dyDescent="0.25">
      <c r="A81" s="315">
        <v>16</v>
      </c>
      <c r="B81" s="320" t="s">
        <v>539</v>
      </c>
      <c r="C81" s="272">
        <v>1</v>
      </c>
      <c r="D81" s="272">
        <v>4.8</v>
      </c>
      <c r="E81" s="272">
        <v>3.641</v>
      </c>
      <c r="F81" s="272">
        <v>0.125</v>
      </c>
      <c r="G81" s="272"/>
      <c r="H81" s="272">
        <f t="shared" si="12"/>
        <v>2.1846000000000001</v>
      </c>
      <c r="I81" s="272">
        <f t="shared" si="13"/>
        <v>17.476800000000001</v>
      </c>
    </row>
    <row r="82" spans="1:9" ht="20.100000000000001" customHeight="1" x14ac:dyDescent="0.25">
      <c r="A82" s="315">
        <v>16</v>
      </c>
      <c r="B82" s="320" t="s">
        <v>540</v>
      </c>
      <c r="C82" s="272">
        <v>1</v>
      </c>
      <c r="D82" s="272">
        <v>1.5</v>
      </c>
      <c r="E82" s="272">
        <v>4</v>
      </c>
      <c r="F82" s="272">
        <v>0.125</v>
      </c>
      <c r="G82" s="272"/>
      <c r="H82" s="272">
        <f t="shared" si="12"/>
        <v>0.75</v>
      </c>
      <c r="I82" s="272">
        <f t="shared" si="13"/>
        <v>6</v>
      </c>
    </row>
    <row r="83" spans="1:9" ht="20.100000000000001" customHeight="1" x14ac:dyDescent="0.25">
      <c r="A83" s="315">
        <v>16</v>
      </c>
      <c r="B83" s="320" t="s">
        <v>541</v>
      </c>
      <c r="C83" s="272">
        <v>0</v>
      </c>
      <c r="D83" s="272">
        <v>4.5</v>
      </c>
      <c r="E83" s="272">
        <v>4</v>
      </c>
      <c r="F83" s="272">
        <v>0.125</v>
      </c>
      <c r="G83" s="272"/>
      <c r="H83" s="272">
        <f t="shared" si="12"/>
        <v>0</v>
      </c>
      <c r="I83" s="272">
        <f t="shared" si="13"/>
        <v>0</v>
      </c>
    </row>
    <row r="84" spans="1:9" ht="20.100000000000001" customHeight="1" x14ac:dyDescent="0.25">
      <c r="A84" s="315">
        <v>16</v>
      </c>
      <c r="B84" s="320" t="s">
        <v>542</v>
      </c>
      <c r="C84" s="272">
        <v>1</v>
      </c>
      <c r="D84" s="272">
        <v>6.7</v>
      </c>
      <c r="E84" s="272">
        <v>4</v>
      </c>
      <c r="F84" s="272">
        <v>0.17499999999999999</v>
      </c>
      <c r="G84" s="272"/>
      <c r="H84" s="272">
        <f t="shared" si="12"/>
        <v>4.6899999999999995</v>
      </c>
      <c r="I84" s="272">
        <f t="shared" si="13"/>
        <v>26.8</v>
      </c>
    </row>
    <row r="85" spans="1:9" ht="20.100000000000001" customHeight="1" x14ac:dyDescent="0.25">
      <c r="A85" s="315">
        <v>16</v>
      </c>
      <c r="B85" s="320" t="s">
        <v>543</v>
      </c>
      <c r="C85" s="272">
        <v>1</v>
      </c>
      <c r="D85" s="272">
        <v>1.5</v>
      </c>
      <c r="E85" s="272">
        <v>4</v>
      </c>
      <c r="F85" s="272">
        <v>0.125</v>
      </c>
      <c r="G85" s="272"/>
      <c r="H85" s="272">
        <f t="shared" si="12"/>
        <v>0.75</v>
      </c>
      <c r="I85" s="272">
        <f t="shared" si="13"/>
        <v>6</v>
      </c>
    </row>
    <row r="86" spans="1:9" ht="20.100000000000001" customHeight="1" x14ac:dyDescent="0.25">
      <c r="A86" s="315">
        <v>16</v>
      </c>
      <c r="B86" s="320" t="s">
        <v>544</v>
      </c>
      <c r="C86" s="272">
        <v>1</v>
      </c>
      <c r="D86" s="272">
        <v>1.5</v>
      </c>
      <c r="E86" s="272">
        <v>4</v>
      </c>
      <c r="F86" s="272">
        <v>0.125</v>
      </c>
      <c r="G86" s="272"/>
      <c r="H86" s="272">
        <f t="shared" si="12"/>
        <v>0.75</v>
      </c>
      <c r="I86" s="272">
        <f t="shared" si="13"/>
        <v>6</v>
      </c>
    </row>
    <row r="87" spans="1:9" ht="20.100000000000001" customHeight="1" x14ac:dyDescent="0.25">
      <c r="A87" s="315">
        <v>16</v>
      </c>
      <c r="B87" s="320" t="s">
        <v>545</v>
      </c>
      <c r="C87" s="272">
        <v>1</v>
      </c>
      <c r="D87" s="272">
        <v>3.05</v>
      </c>
      <c r="E87" s="272">
        <v>4</v>
      </c>
      <c r="F87" s="272">
        <v>0.15</v>
      </c>
      <c r="G87" s="272"/>
      <c r="H87" s="272">
        <f t="shared" si="12"/>
        <v>1.8299999999999998</v>
      </c>
      <c r="I87" s="272">
        <f t="shared" si="13"/>
        <v>12.2</v>
      </c>
    </row>
    <row r="88" spans="1:9" ht="20.100000000000001" customHeight="1" x14ac:dyDescent="0.25">
      <c r="A88" s="315">
        <v>16</v>
      </c>
      <c r="B88" s="320" t="s">
        <v>546</v>
      </c>
      <c r="C88" s="272">
        <v>0</v>
      </c>
      <c r="D88" s="272"/>
      <c r="E88" s="272"/>
      <c r="F88" s="272"/>
      <c r="G88" s="272"/>
      <c r="H88" s="272">
        <f t="shared" si="12"/>
        <v>0</v>
      </c>
      <c r="I88" s="272">
        <f t="shared" si="13"/>
        <v>0</v>
      </c>
    </row>
    <row r="89" spans="1:9" ht="20.100000000000001" customHeight="1" x14ac:dyDescent="0.25">
      <c r="A89" s="315">
        <v>16</v>
      </c>
      <c r="B89" s="320" t="s">
        <v>547</v>
      </c>
      <c r="C89" s="272">
        <v>1</v>
      </c>
      <c r="D89" s="272">
        <v>3.85</v>
      </c>
      <c r="E89" s="272">
        <v>1</v>
      </c>
      <c r="F89" s="272">
        <v>0.125</v>
      </c>
      <c r="G89" s="272"/>
      <c r="H89" s="272">
        <f t="shared" si="12"/>
        <v>0.48125000000000001</v>
      </c>
      <c r="I89" s="272">
        <f t="shared" si="13"/>
        <v>3.85</v>
      </c>
    </row>
    <row r="90" spans="1:9" ht="20.100000000000001" customHeight="1" x14ac:dyDescent="0.25">
      <c r="A90" s="315">
        <v>16</v>
      </c>
      <c r="B90" s="320" t="s">
        <v>548</v>
      </c>
      <c r="C90" s="272">
        <v>1</v>
      </c>
      <c r="D90" s="272">
        <v>1.95</v>
      </c>
      <c r="E90" s="272">
        <v>2.8</v>
      </c>
      <c r="F90" s="272">
        <v>0.125</v>
      </c>
      <c r="G90" s="272"/>
      <c r="H90" s="272">
        <f t="shared" si="12"/>
        <v>0.6825</v>
      </c>
      <c r="I90" s="272">
        <f t="shared" si="13"/>
        <v>5.46</v>
      </c>
    </row>
    <row r="91" spans="1:9" ht="20.100000000000001" customHeight="1" x14ac:dyDescent="0.25">
      <c r="A91" s="315">
        <v>16</v>
      </c>
      <c r="B91" s="320" t="s">
        <v>549</v>
      </c>
      <c r="C91" s="272">
        <v>1</v>
      </c>
      <c r="D91" s="272">
        <v>4.0999999999999996</v>
      </c>
      <c r="E91" s="272">
        <v>4</v>
      </c>
      <c r="F91" s="272">
        <v>0.125</v>
      </c>
      <c r="G91" s="272"/>
      <c r="H91" s="272">
        <f t="shared" ref="H91" si="14">C91*(D91*E91*F91)</f>
        <v>2.0499999999999998</v>
      </c>
      <c r="I91" s="272">
        <f>C91*(D91*E91)</f>
        <v>16.399999999999999</v>
      </c>
    </row>
    <row r="92" spans="1:9" ht="20.100000000000001" customHeight="1" x14ac:dyDescent="0.25">
      <c r="A92" s="315">
        <v>16</v>
      </c>
      <c r="B92" s="320" t="s">
        <v>550</v>
      </c>
      <c r="C92" s="272">
        <v>1</v>
      </c>
      <c r="D92" s="272">
        <v>1.5</v>
      </c>
      <c r="E92" s="272">
        <v>4</v>
      </c>
      <c r="F92" s="272">
        <v>0.125</v>
      </c>
      <c r="G92" s="272"/>
      <c r="H92" s="272">
        <f t="shared" si="12"/>
        <v>0.75</v>
      </c>
      <c r="I92" s="272">
        <f t="shared" si="13"/>
        <v>6</v>
      </c>
    </row>
    <row r="93" spans="1:9" ht="20.100000000000001" customHeight="1" x14ac:dyDescent="0.25">
      <c r="A93" s="315">
        <v>16</v>
      </c>
      <c r="B93" s="320" t="s">
        <v>551</v>
      </c>
      <c r="C93" s="272">
        <v>0</v>
      </c>
      <c r="D93" s="272"/>
      <c r="E93" s="272"/>
      <c r="F93" s="272"/>
      <c r="G93" s="272"/>
      <c r="H93" s="272">
        <f t="shared" si="12"/>
        <v>0</v>
      </c>
      <c r="I93" s="272">
        <f t="shared" si="13"/>
        <v>0</v>
      </c>
    </row>
    <row r="94" spans="1:9" ht="20.100000000000001" customHeight="1" x14ac:dyDescent="0.25">
      <c r="A94" s="315">
        <v>16</v>
      </c>
      <c r="B94" s="320" t="s">
        <v>552</v>
      </c>
      <c r="C94" s="272">
        <v>1</v>
      </c>
      <c r="D94" s="272">
        <v>4.0979999999999999</v>
      </c>
      <c r="E94" s="272"/>
      <c r="F94" s="272">
        <v>0.125</v>
      </c>
      <c r="G94" s="272"/>
      <c r="H94" s="272">
        <f>C94*(D94*F94)</f>
        <v>0.51224999999999998</v>
      </c>
      <c r="I94" s="272">
        <f>C94*(D94)</f>
        <v>4.0979999999999999</v>
      </c>
    </row>
    <row r="95" spans="1:9" ht="20.100000000000001" customHeight="1" x14ac:dyDescent="0.25">
      <c r="A95" s="315">
        <v>16</v>
      </c>
      <c r="B95" s="320" t="s">
        <v>553</v>
      </c>
      <c r="C95" s="272">
        <v>0</v>
      </c>
      <c r="D95" s="272"/>
      <c r="E95" s="272"/>
      <c r="F95" s="272"/>
      <c r="G95" s="272"/>
      <c r="H95" s="272">
        <f>C95*(D95*F95)</f>
        <v>0</v>
      </c>
      <c r="I95" s="272">
        <f>C95*(D95)</f>
        <v>0</v>
      </c>
    </row>
    <row r="96" spans="1:9" ht="20.100000000000001" customHeight="1" x14ac:dyDescent="0.25">
      <c r="A96" s="315">
        <v>16</v>
      </c>
      <c r="B96" s="320" t="s">
        <v>554</v>
      </c>
      <c r="C96" s="272">
        <v>0</v>
      </c>
      <c r="D96" s="272"/>
      <c r="E96" s="272"/>
      <c r="F96" s="272"/>
      <c r="G96" s="272"/>
      <c r="H96" s="272">
        <f t="shared" ref="H96:H106" si="15">C96*(D96*E96*F96)</f>
        <v>0</v>
      </c>
      <c r="I96" s="272">
        <f t="shared" ref="I96:I102" si="16">C96*(D96*E96)</f>
        <v>0</v>
      </c>
    </row>
    <row r="97" spans="1:9" ht="20.100000000000001" customHeight="1" x14ac:dyDescent="0.25">
      <c r="A97" s="315">
        <v>16</v>
      </c>
      <c r="B97" s="320" t="s">
        <v>555</v>
      </c>
      <c r="C97" s="272">
        <v>1</v>
      </c>
      <c r="D97" s="272">
        <v>1.5</v>
      </c>
      <c r="E97" s="272">
        <v>1.5</v>
      </c>
      <c r="F97" s="272">
        <v>0.125</v>
      </c>
      <c r="G97" s="272"/>
      <c r="H97" s="272">
        <f t="shared" si="15"/>
        <v>0.28125</v>
      </c>
      <c r="I97" s="272">
        <f t="shared" si="16"/>
        <v>2.25</v>
      </c>
    </row>
    <row r="98" spans="1:9" ht="20.100000000000001" customHeight="1" x14ac:dyDescent="0.25">
      <c r="A98" s="315">
        <v>16</v>
      </c>
      <c r="B98" s="320" t="s">
        <v>556</v>
      </c>
      <c r="C98" s="272">
        <v>1</v>
      </c>
      <c r="D98" s="272">
        <v>3.05</v>
      </c>
      <c r="E98" s="272">
        <v>1.5</v>
      </c>
      <c r="F98" s="272">
        <v>0.125</v>
      </c>
      <c r="G98" s="272"/>
      <c r="H98" s="272">
        <f t="shared" si="15"/>
        <v>0.57187499999999991</v>
      </c>
      <c r="I98" s="272">
        <f t="shared" si="16"/>
        <v>4.5749999999999993</v>
      </c>
    </row>
    <row r="99" spans="1:9" ht="20.100000000000001" customHeight="1" x14ac:dyDescent="0.25">
      <c r="A99" s="315">
        <v>16</v>
      </c>
      <c r="B99" s="320" t="s">
        <v>557</v>
      </c>
      <c r="C99" s="272">
        <v>1</v>
      </c>
      <c r="D99" s="272">
        <v>1.5</v>
      </c>
      <c r="E99" s="272">
        <v>4.0819999999999999</v>
      </c>
      <c r="F99" s="272">
        <v>0.125</v>
      </c>
      <c r="G99" s="272"/>
      <c r="H99" s="272">
        <f t="shared" si="15"/>
        <v>0.76537499999999992</v>
      </c>
      <c r="I99" s="272">
        <f t="shared" si="16"/>
        <v>6.1229999999999993</v>
      </c>
    </row>
    <row r="100" spans="1:9" ht="20.100000000000001" customHeight="1" x14ac:dyDescent="0.25">
      <c r="A100" s="315">
        <v>16</v>
      </c>
      <c r="B100" s="320" t="s">
        <v>558</v>
      </c>
      <c r="C100" s="272">
        <v>0</v>
      </c>
      <c r="D100" s="272"/>
      <c r="E100" s="272"/>
      <c r="F100" s="272"/>
      <c r="G100" s="272"/>
      <c r="H100" s="272">
        <f t="shared" si="15"/>
        <v>0</v>
      </c>
      <c r="I100" s="272">
        <f t="shared" si="16"/>
        <v>0</v>
      </c>
    </row>
    <row r="101" spans="1:9" ht="20.100000000000001" customHeight="1" x14ac:dyDescent="0.25">
      <c r="A101" s="315">
        <v>16</v>
      </c>
      <c r="B101" s="320" t="s">
        <v>559</v>
      </c>
      <c r="C101" s="272">
        <v>1</v>
      </c>
      <c r="D101" s="272">
        <v>3.8650000000000002</v>
      </c>
      <c r="E101" s="272">
        <v>1.5</v>
      </c>
      <c r="F101" s="272">
        <v>0.125</v>
      </c>
      <c r="G101" s="272"/>
      <c r="H101" s="272">
        <f t="shared" si="15"/>
        <v>0.72468750000000004</v>
      </c>
      <c r="I101" s="272">
        <f t="shared" si="16"/>
        <v>5.7975000000000003</v>
      </c>
    </row>
    <row r="102" spans="1:9" ht="20.100000000000001" customHeight="1" x14ac:dyDescent="0.25">
      <c r="A102" s="315">
        <v>16</v>
      </c>
      <c r="B102" s="320" t="s">
        <v>560</v>
      </c>
      <c r="C102" s="272">
        <v>1</v>
      </c>
      <c r="D102" s="272">
        <v>1.5</v>
      </c>
      <c r="E102" s="272">
        <v>1.5</v>
      </c>
      <c r="F102" s="272">
        <v>0.125</v>
      </c>
      <c r="G102" s="272"/>
      <c r="H102" s="272">
        <f t="shared" si="15"/>
        <v>0.28125</v>
      </c>
      <c r="I102" s="272">
        <f t="shared" si="16"/>
        <v>2.25</v>
      </c>
    </row>
    <row r="103" spans="1:9" ht="20.100000000000001" customHeight="1" x14ac:dyDescent="0.25">
      <c r="A103" s="315">
        <v>16</v>
      </c>
      <c r="B103" s="320" t="s">
        <v>595</v>
      </c>
      <c r="C103" s="272">
        <v>1</v>
      </c>
      <c r="D103" s="272">
        <v>6</v>
      </c>
      <c r="E103" s="272">
        <v>5.6</v>
      </c>
      <c r="F103" s="272">
        <v>0.125</v>
      </c>
      <c r="G103" s="272"/>
      <c r="H103" s="272">
        <f t="shared" si="15"/>
        <v>4.1999999999999993</v>
      </c>
      <c r="I103" s="272">
        <f t="shared" ref="I103:I106" si="17">C103*(D103+E103)*F103</f>
        <v>1.45</v>
      </c>
    </row>
    <row r="104" spans="1:9" ht="20.100000000000001" customHeight="1" x14ac:dyDescent="0.25">
      <c r="A104" s="315">
        <v>16</v>
      </c>
      <c r="B104" s="320" t="s">
        <v>595</v>
      </c>
      <c r="C104" s="272">
        <v>1</v>
      </c>
      <c r="D104" s="272">
        <v>3.5</v>
      </c>
      <c r="E104" s="272">
        <v>2.8</v>
      </c>
      <c r="F104" s="272">
        <v>0.125</v>
      </c>
      <c r="G104" s="272"/>
      <c r="H104" s="272">
        <f t="shared" si="15"/>
        <v>1.2249999999999999</v>
      </c>
      <c r="I104" s="272">
        <f t="shared" si="17"/>
        <v>0.78749999999999998</v>
      </c>
    </row>
    <row r="105" spans="1:9" ht="20.100000000000001" customHeight="1" x14ac:dyDescent="0.25">
      <c r="A105" s="315">
        <v>16</v>
      </c>
      <c r="B105" s="320" t="s">
        <v>595</v>
      </c>
      <c r="C105" s="272">
        <v>1</v>
      </c>
      <c r="D105" s="272">
        <v>1.5</v>
      </c>
      <c r="E105" s="272">
        <v>1.1000000000000001</v>
      </c>
      <c r="F105" s="272">
        <v>0.125</v>
      </c>
      <c r="G105" s="272"/>
      <c r="H105" s="272">
        <f t="shared" si="15"/>
        <v>0.20625000000000002</v>
      </c>
      <c r="I105" s="272">
        <f t="shared" si="17"/>
        <v>0.32500000000000001</v>
      </c>
    </row>
    <row r="106" spans="1:9" ht="20.100000000000001" customHeight="1" x14ac:dyDescent="0.25">
      <c r="A106" s="315">
        <v>16</v>
      </c>
      <c r="B106" s="320" t="s">
        <v>595</v>
      </c>
      <c r="C106" s="272">
        <v>1</v>
      </c>
      <c r="D106" s="272">
        <v>2.4</v>
      </c>
      <c r="E106" s="272">
        <v>1.5</v>
      </c>
      <c r="F106" s="272">
        <v>0.125</v>
      </c>
      <c r="G106" s="272"/>
      <c r="H106" s="272">
        <f t="shared" si="15"/>
        <v>0.44999999999999996</v>
      </c>
      <c r="I106" s="272">
        <f t="shared" si="17"/>
        <v>0.48749999999999999</v>
      </c>
    </row>
    <row r="107" spans="1:9" ht="20.100000000000001" customHeight="1" x14ac:dyDescent="0.25">
      <c r="H107" s="323">
        <f>SUM(H63:H106)</f>
        <v>39.403150000000004</v>
      </c>
      <c r="I107" s="323">
        <f>SUM(I63:I106)</f>
        <v>242.71980000000002</v>
      </c>
    </row>
    <row r="110" spans="1:9" ht="20.100000000000001" customHeight="1" x14ac:dyDescent="0.25">
      <c r="A110" s="96" t="s">
        <v>562</v>
      </c>
    </row>
    <row r="111" spans="1:9" ht="20.100000000000001" customHeight="1" x14ac:dyDescent="0.25">
      <c r="A111" s="318" t="s">
        <v>424</v>
      </c>
      <c r="B111" s="316" t="s">
        <v>1</v>
      </c>
      <c r="C111" s="316" t="s">
        <v>2</v>
      </c>
      <c r="D111" s="316" t="s">
        <v>469</v>
      </c>
      <c r="E111" s="316" t="s">
        <v>470</v>
      </c>
      <c r="F111" s="316" t="s">
        <v>471</v>
      </c>
      <c r="G111" s="316" t="s">
        <v>472</v>
      </c>
      <c r="H111" s="316" t="s">
        <v>473</v>
      </c>
      <c r="I111" s="319" t="s">
        <v>474</v>
      </c>
    </row>
    <row r="112" spans="1:9" ht="20.100000000000001" customHeight="1" x14ac:dyDescent="0.25">
      <c r="A112" s="315">
        <v>1</v>
      </c>
      <c r="B112" s="320" t="s">
        <v>521</v>
      </c>
      <c r="C112" s="272">
        <v>1</v>
      </c>
      <c r="D112" s="272">
        <v>1.5</v>
      </c>
      <c r="E112" s="272">
        <v>1.5</v>
      </c>
      <c r="F112" s="272">
        <v>0.125</v>
      </c>
      <c r="G112" s="272"/>
      <c r="H112" s="272">
        <f>C112*(D112*E112*F112)</f>
        <v>0.28125</v>
      </c>
      <c r="I112" s="272">
        <f>C112*(D112*E112)</f>
        <v>2.25</v>
      </c>
    </row>
    <row r="113" spans="1:9" ht="20.100000000000001" customHeight="1" x14ac:dyDescent="0.25">
      <c r="A113" s="315">
        <v>2</v>
      </c>
      <c r="B113" s="320" t="s">
        <v>522</v>
      </c>
      <c r="C113" s="272">
        <v>1</v>
      </c>
      <c r="D113" s="272">
        <v>4.4000000000000004</v>
      </c>
      <c r="E113" s="272">
        <v>1.5</v>
      </c>
      <c r="F113" s="272">
        <v>0.125</v>
      </c>
      <c r="G113" s="272"/>
      <c r="H113" s="272">
        <f t="shared" ref="H113:H118" si="18">C113*(D113*E113*F113)</f>
        <v>0.82500000000000007</v>
      </c>
      <c r="I113" s="272">
        <f t="shared" ref="I113:I118" si="19">C113*(D113*E113)</f>
        <v>6.6000000000000005</v>
      </c>
    </row>
    <row r="114" spans="1:9" ht="20.100000000000001" customHeight="1" x14ac:dyDescent="0.25">
      <c r="A114" s="315">
        <v>3</v>
      </c>
      <c r="B114" s="320" t="s">
        <v>523</v>
      </c>
      <c r="C114" s="272">
        <v>1</v>
      </c>
      <c r="D114" s="272">
        <v>2.1</v>
      </c>
      <c r="E114" s="272">
        <v>1.5</v>
      </c>
      <c r="F114" s="272">
        <v>0.125</v>
      </c>
      <c r="G114" s="272"/>
      <c r="H114" s="272">
        <f t="shared" si="18"/>
        <v>0.39375000000000004</v>
      </c>
      <c r="I114" s="272">
        <f t="shared" si="19"/>
        <v>3.1500000000000004</v>
      </c>
    </row>
    <row r="115" spans="1:9" ht="20.100000000000001" customHeight="1" x14ac:dyDescent="0.25">
      <c r="A115" s="315">
        <v>4</v>
      </c>
      <c r="B115" s="320" t="s">
        <v>524</v>
      </c>
      <c r="C115" s="272">
        <v>1</v>
      </c>
      <c r="D115" s="272">
        <v>4.5</v>
      </c>
      <c r="E115" s="272">
        <v>1.5</v>
      </c>
      <c r="F115" s="272">
        <v>0.125</v>
      </c>
      <c r="G115" s="272"/>
      <c r="H115" s="272">
        <f t="shared" si="18"/>
        <v>0.84375</v>
      </c>
      <c r="I115" s="272">
        <f t="shared" si="19"/>
        <v>6.75</v>
      </c>
    </row>
    <row r="116" spans="1:9" ht="20.100000000000001" customHeight="1" x14ac:dyDescent="0.25">
      <c r="A116" s="315">
        <v>5</v>
      </c>
      <c r="B116" s="320" t="s">
        <v>525</v>
      </c>
      <c r="C116" s="272">
        <v>1</v>
      </c>
      <c r="D116" s="272">
        <v>1.5</v>
      </c>
      <c r="E116" s="272">
        <v>1.5</v>
      </c>
      <c r="F116" s="272">
        <v>0.125</v>
      </c>
      <c r="G116" s="272"/>
      <c r="H116" s="272">
        <f t="shared" si="18"/>
        <v>0.28125</v>
      </c>
      <c r="I116" s="272">
        <f t="shared" si="19"/>
        <v>2.25</v>
      </c>
    </row>
    <row r="117" spans="1:9" ht="20.100000000000001" customHeight="1" x14ac:dyDescent="0.25">
      <c r="A117" s="315">
        <v>6</v>
      </c>
      <c r="B117" s="320" t="s">
        <v>526</v>
      </c>
      <c r="C117" s="272">
        <v>1</v>
      </c>
      <c r="D117" s="272">
        <v>1.5</v>
      </c>
      <c r="E117" s="272">
        <v>5.2389999999999999</v>
      </c>
      <c r="F117" s="272">
        <v>0.125</v>
      </c>
      <c r="G117" s="272"/>
      <c r="H117" s="272">
        <f t="shared" si="18"/>
        <v>0.98231249999999992</v>
      </c>
      <c r="I117" s="272">
        <f t="shared" si="19"/>
        <v>7.8584999999999994</v>
      </c>
    </row>
    <row r="118" spans="1:9" ht="20.100000000000001" customHeight="1" x14ac:dyDescent="0.25">
      <c r="A118" s="315">
        <v>7</v>
      </c>
      <c r="B118" s="320" t="s">
        <v>527</v>
      </c>
      <c r="C118" s="272">
        <v>1</v>
      </c>
      <c r="D118" s="272">
        <v>4.5</v>
      </c>
      <c r="E118" s="272">
        <v>5.64</v>
      </c>
      <c r="F118" s="272">
        <v>0.15</v>
      </c>
      <c r="G118" s="272"/>
      <c r="H118" s="272">
        <f t="shared" si="18"/>
        <v>3.8069999999999995</v>
      </c>
      <c r="I118" s="272">
        <f t="shared" si="19"/>
        <v>25.38</v>
      </c>
    </row>
    <row r="119" spans="1:9" ht="20.100000000000001" customHeight="1" x14ac:dyDescent="0.25">
      <c r="A119" s="315">
        <v>8</v>
      </c>
      <c r="B119" s="320" t="s">
        <v>528</v>
      </c>
      <c r="C119" s="272">
        <v>0</v>
      </c>
      <c r="D119" s="272"/>
      <c r="E119" s="272"/>
      <c r="F119" s="272"/>
      <c r="G119" s="272"/>
      <c r="H119" s="272">
        <f>C119*(D119*F119)</f>
        <v>0</v>
      </c>
      <c r="I119" s="272">
        <f>C119*(D119)</f>
        <v>0</v>
      </c>
    </row>
    <row r="120" spans="1:9" ht="20.100000000000001" customHeight="1" x14ac:dyDescent="0.25">
      <c r="A120" s="315">
        <v>9</v>
      </c>
      <c r="B120" s="320" t="s">
        <v>529</v>
      </c>
      <c r="C120" s="272">
        <v>1</v>
      </c>
      <c r="D120" s="272">
        <v>1.4</v>
      </c>
      <c r="E120" s="272">
        <v>3.6</v>
      </c>
      <c r="F120" s="272">
        <v>0.125</v>
      </c>
      <c r="G120" s="272"/>
      <c r="H120" s="272">
        <f t="shared" ref="H120:H121" si="20">C120*(D120*E120*F120)</f>
        <v>0.63</v>
      </c>
      <c r="I120" s="272">
        <f t="shared" ref="I120:I121" si="21">C120*(D120*E120)</f>
        <v>5.04</v>
      </c>
    </row>
    <row r="121" spans="1:9" ht="20.100000000000001" customHeight="1" x14ac:dyDescent="0.25">
      <c r="A121" s="315">
        <v>10</v>
      </c>
      <c r="B121" s="320" t="s">
        <v>530</v>
      </c>
      <c r="C121" s="272">
        <v>0</v>
      </c>
      <c r="D121" s="272"/>
      <c r="E121" s="272"/>
      <c r="F121" s="272"/>
      <c r="G121" s="272"/>
      <c r="H121" s="272">
        <f t="shared" si="20"/>
        <v>0</v>
      </c>
      <c r="I121" s="272">
        <f t="shared" si="21"/>
        <v>0</v>
      </c>
    </row>
    <row r="122" spans="1:9" ht="20.100000000000001" customHeight="1" x14ac:dyDescent="0.25">
      <c r="A122" s="315">
        <v>11</v>
      </c>
      <c r="B122" s="320" t="s">
        <v>531</v>
      </c>
      <c r="C122" s="272">
        <v>1</v>
      </c>
      <c r="D122" s="272">
        <v>17.966999999999999</v>
      </c>
      <c r="E122" s="272"/>
      <c r="F122" s="272">
        <v>0.15</v>
      </c>
      <c r="G122" s="272"/>
      <c r="H122" s="272">
        <f>C122*(D122*F122)</f>
        <v>2.6950499999999997</v>
      </c>
      <c r="I122" s="272">
        <f>C122*(D122)</f>
        <v>17.966999999999999</v>
      </c>
    </row>
    <row r="123" spans="1:9" ht="20.100000000000001" customHeight="1" x14ac:dyDescent="0.25">
      <c r="A123" s="315">
        <v>12</v>
      </c>
      <c r="B123" s="320" t="s">
        <v>532</v>
      </c>
      <c r="C123" s="272">
        <v>1</v>
      </c>
      <c r="D123" s="272">
        <v>1.5</v>
      </c>
      <c r="E123" s="272">
        <v>3.55</v>
      </c>
      <c r="F123" s="272">
        <v>0.125</v>
      </c>
      <c r="G123" s="272"/>
      <c r="H123" s="272">
        <f t="shared" ref="H123:H124" si="22">C123*(D123*E123*F123)</f>
        <v>0.66562499999999991</v>
      </c>
      <c r="I123" s="272">
        <f t="shared" ref="I123:I124" si="23">C123*(D123*E123)</f>
        <v>5.3249999999999993</v>
      </c>
    </row>
    <row r="124" spans="1:9" ht="20.100000000000001" customHeight="1" x14ac:dyDescent="0.25">
      <c r="A124" s="315">
        <v>13</v>
      </c>
      <c r="B124" s="320" t="s">
        <v>533</v>
      </c>
      <c r="C124" s="272">
        <v>0</v>
      </c>
      <c r="D124" s="272"/>
      <c r="E124" s="272"/>
      <c r="F124" s="272"/>
      <c r="G124" s="272"/>
      <c r="H124" s="272">
        <f t="shared" si="22"/>
        <v>0</v>
      </c>
      <c r="I124" s="272">
        <f t="shared" si="23"/>
        <v>0</v>
      </c>
    </row>
    <row r="125" spans="1:9" ht="20.100000000000001" customHeight="1" x14ac:dyDescent="0.25">
      <c r="A125" s="315">
        <v>14</v>
      </c>
      <c r="B125" s="320" t="s">
        <v>534</v>
      </c>
      <c r="C125" s="272">
        <v>0</v>
      </c>
      <c r="D125" s="272"/>
      <c r="E125" s="272"/>
      <c r="F125" s="272"/>
      <c r="G125" s="272"/>
      <c r="H125" s="272">
        <f>C125*(D125*F125)</f>
        <v>0</v>
      </c>
      <c r="I125" s="272">
        <f>C125*(D125)</f>
        <v>0</v>
      </c>
    </row>
    <row r="126" spans="1:9" ht="20.100000000000001" customHeight="1" x14ac:dyDescent="0.25">
      <c r="A126" s="315">
        <v>15</v>
      </c>
      <c r="B126" s="320" t="s">
        <v>535</v>
      </c>
      <c r="C126" s="272">
        <v>1</v>
      </c>
      <c r="D126" s="272">
        <v>1.1000000000000001</v>
      </c>
      <c r="E126" s="272">
        <v>3.74</v>
      </c>
      <c r="F126" s="272">
        <v>0.125</v>
      </c>
      <c r="G126" s="272"/>
      <c r="H126" s="272">
        <f t="shared" ref="H126:H127" si="24">C126*(D126*E126*F126)</f>
        <v>0.5142500000000001</v>
      </c>
      <c r="I126" s="272">
        <f t="shared" ref="I126:I127" si="25">C126*(D126*E126)</f>
        <v>4.1140000000000008</v>
      </c>
    </row>
    <row r="127" spans="1:9" ht="20.100000000000001" customHeight="1" x14ac:dyDescent="0.25">
      <c r="A127" s="315">
        <v>16</v>
      </c>
      <c r="B127" s="320" t="s">
        <v>536</v>
      </c>
      <c r="C127" s="272">
        <v>1</v>
      </c>
      <c r="D127" s="272">
        <v>1.55</v>
      </c>
      <c r="E127" s="272">
        <v>1.7</v>
      </c>
      <c r="F127" s="272">
        <v>0.125</v>
      </c>
      <c r="G127" s="272"/>
      <c r="H127" s="272">
        <f t="shared" si="24"/>
        <v>0.32937499999999997</v>
      </c>
      <c r="I127" s="272">
        <f t="shared" si="25"/>
        <v>2.6349999999999998</v>
      </c>
    </row>
    <row r="128" spans="1:9" ht="20.100000000000001" customHeight="1" x14ac:dyDescent="0.25">
      <c r="A128" s="315">
        <v>16</v>
      </c>
      <c r="B128" s="320" t="s">
        <v>537</v>
      </c>
      <c r="C128" s="272">
        <v>1</v>
      </c>
      <c r="D128" s="272">
        <v>4.3</v>
      </c>
      <c r="E128" s="272"/>
      <c r="F128" s="272">
        <v>0.125</v>
      </c>
      <c r="G128" s="272"/>
      <c r="H128" s="272">
        <f>C128*(D128*F128)</f>
        <v>0.53749999999999998</v>
      </c>
      <c r="I128" s="272">
        <f>C128*(D128)</f>
        <v>4.3</v>
      </c>
    </row>
    <row r="129" spans="1:9" ht="20.100000000000001" customHeight="1" x14ac:dyDescent="0.25">
      <c r="A129" s="315">
        <v>16</v>
      </c>
      <c r="B129" s="320" t="s">
        <v>538</v>
      </c>
      <c r="C129" s="272">
        <v>1</v>
      </c>
      <c r="D129" s="272">
        <v>1.5</v>
      </c>
      <c r="E129" s="272">
        <v>2.1</v>
      </c>
      <c r="F129" s="272">
        <v>0.125</v>
      </c>
      <c r="G129" s="272"/>
      <c r="H129" s="272">
        <f t="shared" ref="H129:H142" si="26">C129*(D129*E129*F129)</f>
        <v>0.39375000000000004</v>
      </c>
      <c r="I129" s="272">
        <f t="shared" ref="I129:I142" si="27">C129*(D129*E129)</f>
        <v>3.1500000000000004</v>
      </c>
    </row>
    <row r="130" spans="1:9" ht="20.100000000000001" customHeight="1" x14ac:dyDescent="0.25">
      <c r="A130" s="315">
        <v>16</v>
      </c>
      <c r="B130" s="320" t="s">
        <v>539</v>
      </c>
      <c r="C130" s="272">
        <v>0</v>
      </c>
      <c r="D130" s="272"/>
      <c r="E130" s="272"/>
      <c r="F130" s="272"/>
      <c r="G130" s="272"/>
      <c r="H130" s="272">
        <f t="shared" si="26"/>
        <v>0</v>
      </c>
      <c r="I130" s="272">
        <f t="shared" si="27"/>
        <v>0</v>
      </c>
    </row>
    <row r="131" spans="1:9" ht="20.100000000000001" customHeight="1" x14ac:dyDescent="0.25">
      <c r="A131" s="315">
        <v>16</v>
      </c>
      <c r="B131" s="320" t="s">
        <v>540</v>
      </c>
      <c r="C131" s="272">
        <v>1</v>
      </c>
      <c r="D131" s="272">
        <v>1.5</v>
      </c>
      <c r="E131" s="272">
        <v>4</v>
      </c>
      <c r="F131" s="272">
        <v>0.125</v>
      </c>
      <c r="G131" s="272"/>
      <c r="H131" s="272">
        <f t="shared" si="26"/>
        <v>0.75</v>
      </c>
      <c r="I131" s="272">
        <f t="shared" si="27"/>
        <v>6</v>
      </c>
    </row>
    <row r="132" spans="1:9" ht="20.100000000000001" customHeight="1" x14ac:dyDescent="0.25">
      <c r="A132" s="315">
        <v>16</v>
      </c>
      <c r="B132" s="320" t="s">
        <v>541</v>
      </c>
      <c r="C132" s="272">
        <v>1</v>
      </c>
      <c r="D132" s="272">
        <v>4.5</v>
      </c>
      <c r="E132" s="272">
        <v>4</v>
      </c>
      <c r="F132" s="272">
        <v>0.15</v>
      </c>
      <c r="G132" s="272"/>
      <c r="H132" s="272">
        <f t="shared" si="26"/>
        <v>2.6999999999999997</v>
      </c>
      <c r="I132" s="272">
        <f>C132*(D132*E132)</f>
        <v>18</v>
      </c>
    </row>
    <row r="133" spans="1:9" ht="20.100000000000001" customHeight="1" x14ac:dyDescent="0.25">
      <c r="A133" s="315">
        <v>16</v>
      </c>
      <c r="B133" s="320" t="s">
        <v>542</v>
      </c>
      <c r="C133" s="272">
        <v>1</v>
      </c>
      <c r="D133" s="272">
        <v>6.7</v>
      </c>
      <c r="E133" s="272">
        <v>4</v>
      </c>
      <c r="F133" s="272">
        <v>0.17499999999999999</v>
      </c>
      <c r="G133" s="272"/>
      <c r="H133" s="272">
        <f t="shared" si="26"/>
        <v>4.6899999999999995</v>
      </c>
      <c r="I133" s="272">
        <f t="shared" si="27"/>
        <v>26.8</v>
      </c>
    </row>
    <row r="134" spans="1:9" ht="20.100000000000001" customHeight="1" x14ac:dyDescent="0.25">
      <c r="A134" s="315">
        <v>16</v>
      </c>
      <c r="B134" s="320" t="s">
        <v>543</v>
      </c>
      <c r="C134" s="272">
        <v>1</v>
      </c>
      <c r="D134" s="272">
        <v>1.5</v>
      </c>
      <c r="E134" s="272">
        <v>4</v>
      </c>
      <c r="F134" s="272">
        <v>0.125</v>
      </c>
      <c r="G134" s="272"/>
      <c r="H134" s="272">
        <f t="shared" si="26"/>
        <v>0.75</v>
      </c>
      <c r="I134" s="272">
        <f t="shared" si="27"/>
        <v>6</v>
      </c>
    </row>
    <row r="135" spans="1:9" ht="20.100000000000001" customHeight="1" x14ac:dyDescent="0.25">
      <c r="A135" s="315">
        <v>16</v>
      </c>
      <c r="B135" s="320" t="s">
        <v>544</v>
      </c>
      <c r="C135" s="272">
        <v>1</v>
      </c>
      <c r="D135" s="272">
        <v>1.5</v>
      </c>
      <c r="E135" s="272">
        <v>4</v>
      </c>
      <c r="F135" s="272">
        <v>0.125</v>
      </c>
      <c r="G135" s="272"/>
      <c r="H135" s="272">
        <f t="shared" si="26"/>
        <v>0.75</v>
      </c>
      <c r="I135" s="272">
        <f t="shared" si="27"/>
        <v>6</v>
      </c>
    </row>
    <row r="136" spans="1:9" ht="20.100000000000001" customHeight="1" x14ac:dyDescent="0.25">
      <c r="A136" s="315">
        <v>16</v>
      </c>
      <c r="B136" s="320" t="s">
        <v>545</v>
      </c>
      <c r="C136" s="272">
        <v>1</v>
      </c>
      <c r="D136" s="272">
        <v>3.05</v>
      </c>
      <c r="E136" s="272">
        <v>4</v>
      </c>
      <c r="F136" s="272">
        <v>0.15</v>
      </c>
      <c r="G136" s="272"/>
      <c r="H136" s="272">
        <f t="shared" si="26"/>
        <v>1.8299999999999998</v>
      </c>
      <c r="I136" s="272">
        <f t="shared" si="27"/>
        <v>12.2</v>
      </c>
    </row>
    <row r="137" spans="1:9" ht="20.100000000000001" customHeight="1" x14ac:dyDescent="0.25">
      <c r="A137" s="315">
        <v>16</v>
      </c>
      <c r="B137" s="320" t="s">
        <v>546</v>
      </c>
      <c r="C137" s="272">
        <v>0</v>
      </c>
      <c r="D137" s="272"/>
      <c r="E137" s="272"/>
      <c r="F137" s="272"/>
      <c r="G137" s="272"/>
      <c r="H137" s="272">
        <f t="shared" si="26"/>
        <v>0</v>
      </c>
      <c r="I137" s="272">
        <f t="shared" si="27"/>
        <v>0</v>
      </c>
    </row>
    <row r="138" spans="1:9" ht="20.100000000000001" customHeight="1" x14ac:dyDescent="0.25">
      <c r="A138" s="315">
        <v>16</v>
      </c>
      <c r="B138" s="320" t="s">
        <v>547</v>
      </c>
      <c r="C138" s="272">
        <v>1</v>
      </c>
      <c r="D138" s="272">
        <v>14.731</v>
      </c>
      <c r="E138" s="272">
        <v>0</v>
      </c>
      <c r="F138" s="272">
        <v>0.125</v>
      </c>
      <c r="G138" s="272"/>
      <c r="H138" s="272">
        <f>C138*(D138*F138)</f>
        <v>1.841375</v>
      </c>
      <c r="I138" s="272">
        <f>C138*(D138)</f>
        <v>14.731</v>
      </c>
    </row>
    <row r="139" spans="1:9" ht="20.100000000000001" customHeight="1" x14ac:dyDescent="0.25">
      <c r="A139" s="315">
        <v>16</v>
      </c>
      <c r="B139" s="320" t="s">
        <v>548</v>
      </c>
      <c r="C139" s="272">
        <v>0</v>
      </c>
      <c r="D139" s="272"/>
      <c r="E139" s="272"/>
      <c r="F139" s="272"/>
      <c r="G139" s="272"/>
      <c r="H139" s="272">
        <f t="shared" si="26"/>
        <v>0</v>
      </c>
      <c r="I139" s="272">
        <f t="shared" si="27"/>
        <v>0</v>
      </c>
    </row>
    <row r="140" spans="1:9" ht="20.100000000000001" customHeight="1" x14ac:dyDescent="0.25">
      <c r="A140" s="315">
        <v>16</v>
      </c>
      <c r="B140" s="320" t="s">
        <v>549</v>
      </c>
      <c r="C140" s="272">
        <v>1</v>
      </c>
      <c r="D140" s="272">
        <v>4.0999999999999996</v>
      </c>
      <c r="E140" s="272">
        <v>4</v>
      </c>
      <c r="F140" s="272">
        <v>0.125</v>
      </c>
      <c r="G140" s="272"/>
      <c r="H140" s="272">
        <f t="shared" si="26"/>
        <v>2.0499999999999998</v>
      </c>
      <c r="I140" s="272">
        <f t="shared" si="27"/>
        <v>16.399999999999999</v>
      </c>
    </row>
    <row r="141" spans="1:9" ht="20.100000000000001" customHeight="1" x14ac:dyDescent="0.25">
      <c r="A141" s="315">
        <v>16</v>
      </c>
      <c r="B141" s="320" t="s">
        <v>550</v>
      </c>
      <c r="C141" s="272">
        <v>1</v>
      </c>
      <c r="D141" s="272">
        <v>1.5</v>
      </c>
      <c r="E141" s="272">
        <v>4</v>
      </c>
      <c r="F141" s="272">
        <v>0.125</v>
      </c>
      <c r="G141" s="272"/>
      <c r="H141" s="272">
        <f t="shared" si="26"/>
        <v>0.75</v>
      </c>
      <c r="I141" s="272">
        <f t="shared" si="27"/>
        <v>6</v>
      </c>
    </row>
    <row r="142" spans="1:9" ht="20.100000000000001" customHeight="1" x14ac:dyDescent="0.25">
      <c r="A142" s="315">
        <v>16</v>
      </c>
      <c r="B142" s="320" t="s">
        <v>551</v>
      </c>
      <c r="C142" s="272">
        <v>0</v>
      </c>
      <c r="D142" s="272"/>
      <c r="E142" s="272"/>
      <c r="F142" s="272"/>
      <c r="G142" s="272"/>
      <c r="H142" s="272">
        <f t="shared" si="26"/>
        <v>0</v>
      </c>
      <c r="I142" s="272">
        <f t="shared" si="27"/>
        <v>0</v>
      </c>
    </row>
    <row r="143" spans="1:9" ht="20.100000000000001" customHeight="1" x14ac:dyDescent="0.25">
      <c r="A143" s="315">
        <v>16</v>
      </c>
      <c r="B143" s="320" t="s">
        <v>552</v>
      </c>
      <c r="C143" s="272">
        <v>0</v>
      </c>
      <c r="D143" s="272"/>
      <c r="E143" s="272"/>
      <c r="F143" s="272"/>
      <c r="G143" s="272"/>
      <c r="H143" s="272">
        <f>C143*(D143*F143)</f>
        <v>0</v>
      </c>
      <c r="I143" s="272">
        <f>C143*(D143)</f>
        <v>0</v>
      </c>
    </row>
    <row r="144" spans="1:9" ht="20.100000000000001" customHeight="1" x14ac:dyDescent="0.25">
      <c r="A144" s="315">
        <v>16</v>
      </c>
      <c r="B144" s="320" t="s">
        <v>553</v>
      </c>
      <c r="C144" s="272">
        <v>0</v>
      </c>
      <c r="D144" s="272"/>
      <c r="E144" s="272"/>
      <c r="F144" s="272"/>
      <c r="G144" s="272"/>
      <c r="H144" s="272">
        <f>C144*(D144*F144)</f>
        <v>0</v>
      </c>
      <c r="I144" s="272">
        <f>C144*(D144)</f>
        <v>0</v>
      </c>
    </row>
    <row r="145" spans="1:9" ht="20.100000000000001" customHeight="1" x14ac:dyDescent="0.25">
      <c r="A145" s="315">
        <v>16</v>
      </c>
      <c r="B145" s="320" t="s">
        <v>554</v>
      </c>
      <c r="C145" s="272">
        <v>0</v>
      </c>
      <c r="D145" s="272"/>
      <c r="E145" s="272"/>
      <c r="F145" s="272"/>
      <c r="G145" s="272"/>
      <c r="H145" s="272">
        <f t="shared" ref="H145:H151" si="28">C145*(D145*E145*F145)</f>
        <v>0</v>
      </c>
      <c r="I145" s="272">
        <f t="shared" ref="I145:I151" si="29">C145*(D145*E145)</f>
        <v>0</v>
      </c>
    </row>
    <row r="146" spans="1:9" ht="20.100000000000001" customHeight="1" x14ac:dyDescent="0.25">
      <c r="A146" s="315">
        <v>16</v>
      </c>
      <c r="B146" s="320" t="s">
        <v>555</v>
      </c>
      <c r="C146" s="272">
        <v>1</v>
      </c>
      <c r="D146" s="272">
        <v>1.5</v>
      </c>
      <c r="E146" s="272">
        <v>1.5</v>
      </c>
      <c r="F146" s="272">
        <v>0.125</v>
      </c>
      <c r="G146" s="272"/>
      <c r="H146" s="272">
        <f t="shared" si="28"/>
        <v>0.28125</v>
      </c>
      <c r="I146" s="272">
        <f t="shared" si="29"/>
        <v>2.25</v>
      </c>
    </row>
    <row r="147" spans="1:9" ht="20.100000000000001" customHeight="1" x14ac:dyDescent="0.25">
      <c r="A147" s="315">
        <v>16</v>
      </c>
      <c r="B147" s="320" t="s">
        <v>556</v>
      </c>
      <c r="C147" s="272">
        <v>1</v>
      </c>
      <c r="D147" s="272">
        <v>3.05</v>
      </c>
      <c r="E147" s="272">
        <v>1.5</v>
      </c>
      <c r="F147" s="272">
        <v>0.125</v>
      </c>
      <c r="G147" s="272"/>
      <c r="H147" s="272">
        <f t="shared" si="28"/>
        <v>0.57187499999999991</v>
      </c>
      <c r="I147" s="272">
        <f t="shared" si="29"/>
        <v>4.5749999999999993</v>
      </c>
    </row>
    <row r="148" spans="1:9" ht="20.100000000000001" customHeight="1" x14ac:dyDescent="0.25">
      <c r="A148" s="315">
        <v>16</v>
      </c>
      <c r="B148" s="320" t="s">
        <v>557</v>
      </c>
      <c r="C148" s="272">
        <v>1</v>
      </c>
      <c r="D148" s="272">
        <v>1.5</v>
      </c>
      <c r="E148" s="272">
        <v>4.0819999999999999</v>
      </c>
      <c r="F148" s="272">
        <v>0.125</v>
      </c>
      <c r="G148" s="272"/>
      <c r="H148" s="272">
        <f t="shared" si="28"/>
        <v>0.76537499999999992</v>
      </c>
      <c r="I148" s="272">
        <f t="shared" si="29"/>
        <v>6.1229999999999993</v>
      </c>
    </row>
    <row r="149" spans="1:9" ht="20.100000000000001" customHeight="1" x14ac:dyDescent="0.25">
      <c r="A149" s="315">
        <v>16</v>
      </c>
      <c r="B149" s="320" t="s">
        <v>558</v>
      </c>
      <c r="C149" s="272">
        <v>0</v>
      </c>
      <c r="D149" s="272"/>
      <c r="E149" s="272"/>
      <c r="F149" s="272"/>
      <c r="G149" s="272"/>
      <c r="H149" s="272">
        <f t="shared" si="28"/>
        <v>0</v>
      </c>
      <c r="I149" s="272">
        <f t="shared" si="29"/>
        <v>0</v>
      </c>
    </row>
    <row r="150" spans="1:9" ht="20.100000000000001" customHeight="1" x14ac:dyDescent="0.25">
      <c r="A150" s="315">
        <v>16</v>
      </c>
      <c r="B150" s="320" t="s">
        <v>559</v>
      </c>
      <c r="C150" s="272">
        <v>1</v>
      </c>
      <c r="D150" s="272">
        <v>3.8650000000000002</v>
      </c>
      <c r="E150" s="272">
        <v>1.5</v>
      </c>
      <c r="F150" s="272">
        <v>0.125</v>
      </c>
      <c r="G150" s="272"/>
      <c r="H150" s="272">
        <f t="shared" si="28"/>
        <v>0.72468750000000004</v>
      </c>
      <c r="I150" s="272">
        <f t="shared" si="29"/>
        <v>5.7975000000000003</v>
      </c>
    </row>
    <row r="151" spans="1:9" ht="20.100000000000001" customHeight="1" x14ac:dyDescent="0.25">
      <c r="A151" s="315">
        <v>16</v>
      </c>
      <c r="B151" s="320" t="s">
        <v>560</v>
      </c>
      <c r="C151" s="272">
        <v>1</v>
      </c>
      <c r="D151" s="272">
        <v>1.5</v>
      </c>
      <c r="E151" s="272">
        <v>1.5</v>
      </c>
      <c r="F151" s="272">
        <v>0.125</v>
      </c>
      <c r="G151" s="272"/>
      <c r="H151" s="272">
        <f t="shared" si="28"/>
        <v>0.28125</v>
      </c>
      <c r="I151" s="272">
        <f t="shared" si="29"/>
        <v>2.25</v>
      </c>
    </row>
    <row r="152" spans="1:9" ht="20.100000000000001" customHeight="1" x14ac:dyDescent="0.25">
      <c r="H152" s="323">
        <f>SUM(H112:H151)</f>
        <v>31.915674999999997</v>
      </c>
      <c r="I152" s="323">
        <f>SUM(I112:I151)</f>
        <v>229.89599999999999</v>
      </c>
    </row>
    <row r="155" spans="1:9" ht="20.100000000000001" customHeight="1" x14ac:dyDescent="0.25">
      <c r="A155" s="318" t="s">
        <v>424</v>
      </c>
      <c r="B155" s="316" t="s">
        <v>1</v>
      </c>
      <c r="C155" s="316" t="s">
        <v>2</v>
      </c>
      <c r="D155" s="316" t="s">
        <v>469</v>
      </c>
      <c r="E155" s="316" t="s">
        <v>470</v>
      </c>
      <c r="F155" s="316" t="s">
        <v>471</v>
      </c>
      <c r="G155" s="316" t="s">
        <v>472</v>
      </c>
      <c r="H155" s="316" t="s">
        <v>473</v>
      </c>
      <c r="I155" s="319" t="s">
        <v>474</v>
      </c>
    </row>
    <row r="156" spans="1:9" ht="20.100000000000001" customHeight="1" x14ac:dyDescent="0.25">
      <c r="A156" s="315">
        <v>1</v>
      </c>
      <c r="B156" s="320" t="s">
        <v>521</v>
      </c>
      <c r="C156" s="272">
        <v>1</v>
      </c>
      <c r="D156" s="272">
        <v>3.4</v>
      </c>
      <c r="E156" s="272">
        <v>3.74</v>
      </c>
      <c r="F156" s="272">
        <v>0.125</v>
      </c>
      <c r="G156" s="272"/>
      <c r="H156" s="272">
        <f>C156*(D156*E156*F156)</f>
        <v>1.5895000000000001</v>
      </c>
      <c r="I156" s="272">
        <f>C156*(D156*E156)</f>
        <v>12.716000000000001</v>
      </c>
    </row>
    <row r="157" spans="1:9" ht="20.100000000000001" customHeight="1" x14ac:dyDescent="0.25">
      <c r="A157" s="315">
        <v>2</v>
      </c>
      <c r="B157" s="320" t="s">
        <v>522</v>
      </c>
      <c r="C157" s="272">
        <v>1</v>
      </c>
      <c r="D157" s="272">
        <v>3.4</v>
      </c>
      <c r="E157" s="272">
        <v>1.8</v>
      </c>
      <c r="F157" s="272">
        <v>0.125</v>
      </c>
      <c r="G157" s="272"/>
      <c r="H157" s="272">
        <f t="shared" ref="H157:H158" si="30">C157*(D157*E157*F157)</f>
        <v>0.76500000000000001</v>
      </c>
      <c r="I157" s="272">
        <f t="shared" ref="I157:I158" si="31">C157*(D157*E157)</f>
        <v>6.12</v>
      </c>
    </row>
    <row r="158" spans="1:9" ht="20.100000000000001" customHeight="1" x14ac:dyDescent="0.25">
      <c r="A158" s="315">
        <v>3</v>
      </c>
      <c r="B158" s="320" t="s">
        <v>523</v>
      </c>
      <c r="C158" s="272">
        <v>1</v>
      </c>
      <c r="D158" s="272">
        <v>1.1519999999999999</v>
      </c>
      <c r="E158" s="272">
        <v>1.8</v>
      </c>
      <c r="F158" s="272">
        <v>0.125</v>
      </c>
      <c r="G158" s="272"/>
      <c r="H158" s="272">
        <f t="shared" si="30"/>
        <v>0.25919999999999999</v>
      </c>
      <c r="I158" s="272">
        <f t="shared" si="31"/>
        <v>2.0735999999999999</v>
      </c>
    </row>
    <row r="159" spans="1:9" ht="20.100000000000001" customHeight="1" x14ac:dyDescent="0.25">
      <c r="A159" s="315">
        <v>4</v>
      </c>
      <c r="B159" s="320" t="s">
        <v>524</v>
      </c>
      <c r="C159" s="272">
        <v>1</v>
      </c>
      <c r="D159" s="272">
        <v>0.8</v>
      </c>
      <c r="E159" s="272">
        <v>1.8</v>
      </c>
      <c r="F159" s="272">
        <v>0.125</v>
      </c>
      <c r="G159" s="272"/>
      <c r="H159" s="272">
        <f t="shared" ref="H159:H163" si="32">C159*(D159*E159*F159)</f>
        <v>0.18000000000000002</v>
      </c>
      <c r="I159" s="272">
        <f t="shared" ref="I159:I163" si="33">C159*(D159*E159)</f>
        <v>1.4400000000000002</v>
      </c>
    </row>
    <row r="160" spans="1:9" ht="20.100000000000001" customHeight="1" x14ac:dyDescent="0.25">
      <c r="A160" s="315">
        <v>5</v>
      </c>
      <c r="B160" s="320" t="s">
        <v>525</v>
      </c>
      <c r="C160" s="272">
        <v>1</v>
      </c>
      <c r="D160" s="272">
        <v>3.74</v>
      </c>
      <c r="E160" s="272">
        <v>1.1519999999999999</v>
      </c>
      <c r="F160" s="272">
        <v>0.125</v>
      </c>
      <c r="G160" s="272"/>
      <c r="H160" s="272">
        <f t="shared" si="32"/>
        <v>0.53856000000000004</v>
      </c>
      <c r="I160" s="272">
        <f t="shared" si="33"/>
        <v>4.3084800000000003</v>
      </c>
    </row>
    <row r="161" spans="1:9" ht="20.100000000000001" customHeight="1" x14ac:dyDescent="0.25">
      <c r="A161" s="315">
        <v>6</v>
      </c>
      <c r="B161" s="320" t="s">
        <v>526</v>
      </c>
      <c r="C161" s="272">
        <v>1</v>
      </c>
      <c r="D161" s="272">
        <v>3.74</v>
      </c>
      <c r="E161" s="272">
        <v>0.8</v>
      </c>
      <c r="F161" s="272">
        <v>0.125</v>
      </c>
      <c r="G161" s="272"/>
      <c r="H161" s="272">
        <f t="shared" si="32"/>
        <v>0.37400000000000005</v>
      </c>
      <c r="I161" s="272">
        <f t="shared" si="33"/>
        <v>2.9920000000000004</v>
      </c>
    </row>
    <row r="162" spans="1:9" ht="20.100000000000001" customHeight="1" x14ac:dyDescent="0.25">
      <c r="A162" s="315">
        <v>7</v>
      </c>
      <c r="B162" s="320" t="s">
        <v>527</v>
      </c>
      <c r="C162" s="272">
        <v>1</v>
      </c>
      <c r="D162" s="272">
        <v>1.1499999999999999</v>
      </c>
      <c r="E162" s="272">
        <v>1.8</v>
      </c>
      <c r="F162" s="272">
        <v>0.125</v>
      </c>
      <c r="G162" s="272"/>
      <c r="H162" s="272">
        <f t="shared" si="32"/>
        <v>0.25874999999999998</v>
      </c>
      <c r="I162" s="272">
        <f t="shared" si="33"/>
        <v>2.0699999999999998</v>
      </c>
    </row>
    <row r="163" spans="1:9" ht="20.100000000000001" customHeight="1" x14ac:dyDescent="0.25">
      <c r="A163" s="315">
        <v>8</v>
      </c>
      <c r="B163" s="320" t="s">
        <v>528</v>
      </c>
      <c r="C163" s="272">
        <v>1</v>
      </c>
      <c r="D163" s="272">
        <v>0.8</v>
      </c>
      <c r="E163" s="272">
        <v>1.8</v>
      </c>
      <c r="F163" s="272">
        <v>0.125</v>
      </c>
      <c r="G163" s="272"/>
      <c r="H163" s="272">
        <f t="shared" si="32"/>
        <v>0.18000000000000002</v>
      </c>
      <c r="I163" s="272">
        <f t="shared" si="33"/>
        <v>1.4400000000000002</v>
      </c>
    </row>
    <row r="164" spans="1:9" ht="20.100000000000001" customHeight="1" x14ac:dyDescent="0.25">
      <c r="H164" s="323">
        <f>SUM(H156:H163)</f>
        <v>4.1450100000000001</v>
      </c>
      <c r="I164" s="323">
        <f>SUM(I156:I163)</f>
        <v>33.160080000000001</v>
      </c>
    </row>
  </sheetData>
  <phoneticPr fontId="23" type="noConversion"/>
  <pageMargins left="0.7" right="0.7" top="0.75" bottom="0.75" header="0.3" footer="0.3"/>
  <ignoredErrors>
    <ignoredError sqref="H137:I138 H119:J129 H73:I79 H21" formula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Footing</vt:lpstr>
      <vt:lpstr>Beams</vt:lpstr>
      <vt:lpstr>Staircase</vt:lpstr>
      <vt:lpstr>RW</vt:lpstr>
      <vt:lpstr>columns</vt:lpstr>
      <vt:lpstr>Slabs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Jashwanth A</dc:creator>
  <cp:lastModifiedBy>Jashwanth A</cp:lastModifiedBy>
  <cp:lastPrinted>2024-02-29T09:06:19Z</cp:lastPrinted>
  <dcterms:created xsi:type="dcterms:W3CDTF">2024-02-29T06:50:05Z</dcterms:created>
  <dcterms:modified xsi:type="dcterms:W3CDTF">2025-07-11T11:42:49Z</dcterms:modified>
</cp:coreProperties>
</file>